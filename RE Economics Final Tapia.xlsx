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1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4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5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6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tap3\Downloads\"/>
    </mc:Choice>
  </mc:AlternateContent>
  <xr:revisionPtr revIDLastSave="0" documentId="13_ncr:1_{97CE11E6-8EB6-4AE6-96A0-7F6B01C474C4}" xr6:coauthVersionLast="47" xr6:coauthVersionMax="47" xr10:uidLastSave="{00000000-0000-0000-0000-000000000000}"/>
  <bookViews>
    <workbookView xWindow="-28920" yWindow="1335" windowWidth="29040" windowHeight="15720" firstSheet="20" activeTab="20" xr2:uid="{00000000-000D-0000-FFFF-FFFF00000000}"/>
  </bookViews>
  <sheets>
    <sheet name="composit" sheetId="8" r:id="rId1"/>
    <sheet name="Model 1 ATL" sheetId="23" r:id="rId2"/>
    <sheet name="Model 2 ATL" sheetId="31" r:id="rId3"/>
    <sheet name="Atlanta" sheetId="9" r:id="rId4"/>
    <sheet name="Model1 Bos" sheetId="22" r:id="rId5"/>
    <sheet name="Model 2 Bos" sheetId="32" r:id="rId6"/>
    <sheet name="Boston" sheetId="10" r:id="rId7"/>
    <sheet name="Model 1 Chi" sheetId="21" r:id="rId8"/>
    <sheet name="Model 2 Chi" sheetId="33" r:id="rId9"/>
    <sheet name="Chicago" sheetId="11" r:id="rId10"/>
    <sheet name="Model1 Dallas" sheetId="20" r:id="rId11"/>
    <sheet name="Model 2 DAL" sheetId="34" r:id="rId12"/>
    <sheet name="Dallas" sheetId="12" r:id="rId13"/>
    <sheet name="Model1 NY" sheetId="24" r:id="rId14"/>
    <sheet name="Model 2 NY" sheetId="35" r:id="rId15"/>
    <sheet name="NewYork" sheetId="13" r:id="rId16"/>
    <sheet name="Model1 OC" sheetId="25" r:id="rId17"/>
    <sheet name="Model 2 OC" sheetId="36" r:id="rId18"/>
    <sheet name="OrangeCounty" sheetId="14" r:id="rId19"/>
    <sheet name="Model1 SD" sheetId="26" r:id="rId20"/>
    <sheet name="Model 2 SD" sheetId="37" r:id="rId21"/>
    <sheet name="SanDiego" sheetId="15" r:id="rId22"/>
    <sheet name="Model1 San Jose" sheetId="28" r:id="rId23"/>
    <sheet name="Model 2 San Jose" sheetId="38" r:id="rId24"/>
    <sheet name="SanJose" sheetId="16" r:id="rId25"/>
    <sheet name="Model 1 Summary" sheetId="30" r:id="rId26"/>
    <sheet name="Model 2 Summary" sheetId="39" r:id="rId27"/>
    <sheet name="Rt Coefficient Comparison" sheetId="40" r:id="rId28"/>
    <sheet name="Long Run T10 Coefficient" sheetId="41" r:id="rId29"/>
    <sheet name="T10 vs Avg Growth Comparison" sheetId="42" r:id="rId30"/>
    <sheet name="Residual Analysis (Last 2 Yrs)" sheetId="43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43" l="1"/>
  <c r="K6" i="43"/>
  <c r="K7" i="43"/>
  <c r="K8" i="43"/>
  <c r="K9" i="43"/>
  <c r="K10" i="43"/>
  <c r="K11" i="43"/>
  <c r="K12" i="43"/>
  <c r="B5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B6" i="39"/>
  <c r="C6" i="39"/>
  <c r="D6" i="39"/>
  <c r="E6" i="39"/>
  <c r="F6" i="39"/>
  <c r="G6" i="39"/>
  <c r="H6" i="39"/>
  <c r="I6" i="39"/>
  <c r="J6" i="39"/>
  <c r="K6" i="39"/>
  <c r="L6" i="39"/>
  <c r="M6" i="39"/>
  <c r="N6" i="39"/>
  <c r="O6" i="39"/>
  <c r="B7" i="39"/>
  <c r="C7" i="39"/>
  <c r="D7" i="39"/>
  <c r="E7" i="39"/>
  <c r="F7" i="39"/>
  <c r="G7" i="39"/>
  <c r="H7" i="39"/>
  <c r="I7" i="39"/>
  <c r="J7" i="39"/>
  <c r="K7" i="39"/>
  <c r="L7" i="39"/>
  <c r="M7" i="39"/>
  <c r="N7" i="39"/>
  <c r="O7" i="39"/>
  <c r="B8" i="39"/>
  <c r="C8" i="39"/>
  <c r="D8" i="39"/>
  <c r="E8" i="39"/>
  <c r="F8" i="39"/>
  <c r="G8" i="39"/>
  <c r="H8" i="39"/>
  <c r="I8" i="39"/>
  <c r="J8" i="39"/>
  <c r="K8" i="39"/>
  <c r="L8" i="39"/>
  <c r="M8" i="39"/>
  <c r="N8" i="39"/>
  <c r="O8" i="39"/>
  <c r="B9" i="39"/>
  <c r="C9" i="39"/>
  <c r="D9" i="39"/>
  <c r="E9" i="39"/>
  <c r="F9" i="39"/>
  <c r="G9" i="39"/>
  <c r="H9" i="39"/>
  <c r="I9" i="39"/>
  <c r="J9" i="39"/>
  <c r="K9" i="39"/>
  <c r="L9" i="39"/>
  <c r="M9" i="39"/>
  <c r="N9" i="39"/>
  <c r="O9" i="39"/>
  <c r="B10" i="39"/>
  <c r="C10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B11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B12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B5" i="30"/>
  <c r="C5" i="30"/>
  <c r="D5" i="30"/>
  <c r="E5" i="30"/>
  <c r="F5" i="30"/>
  <c r="G5" i="30"/>
  <c r="H5" i="30"/>
  <c r="I5" i="30"/>
  <c r="J5" i="30"/>
  <c r="K5" i="30"/>
  <c r="L5" i="30"/>
  <c r="M5" i="30"/>
  <c r="B6" i="30"/>
  <c r="C6" i="30"/>
  <c r="D6" i="30"/>
  <c r="E6" i="30"/>
  <c r="F6" i="30"/>
  <c r="G6" i="30"/>
  <c r="H6" i="30"/>
  <c r="I6" i="30"/>
  <c r="J6" i="30"/>
  <c r="K6" i="30"/>
  <c r="L6" i="30"/>
  <c r="M6" i="30"/>
  <c r="B7" i="30"/>
  <c r="C7" i="30"/>
  <c r="D7" i="30"/>
  <c r="E7" i="30"/>
  <c r="F7" i="30"/>
  <c r="G7" i="30"/>
  <c r="H7" i="30"/>
  <c r="I7" i="30"/>
  <c r="J7" i="30"/>
  <c r="K7" i="30"/>
  <c r="L7" i="30"/>
  <c r="M7" i="30"/>
  <c r="B8" i="30"/>
  <c r="C8" i="30"/>
  <c r="D8" i="30"/>
  <c r="E8" i="30"/>
  <c r="F8" i="30"/>
  <c r="G8" i="30"/>
  <c r="H8" i="30"/>
  <c r="I8" i="30"/>
  <c r="J8" i="30"/>
  <c r="K8" i="30"/>
  <c r="L8" i="30"/>
  <c r="M8" i="30"/>
  <c r="B9" i="30"/>
  <c r="C9" i="30"/>
  <c r="D9" i="30"/>
  <c r="E9" i="30"/>
  <c r="F9" i="30"/>
  <c r="G9" i="30"/>
  <c r="H9" i="30"/>
  <c r="I9" i="30"/>
  <c r="J9" i="30"/>
  <c r="K9" i="30"/>
  <c r="L9" i="30"/>
  <c r="M9" i="30"/>
  <c r="B10" i="30"/>
  <c r="C10" i="30"/>
  <c r="D10" i="30"/>
  <c r="E10" i="30"/>
  <c r="F10" i="30"/>
  <c r="G10" i="30"/>
  <c r="H10" i="30"/>
  <c r="I10" i="30"/>
  <c r="J10" i="30"/>
  <c r="K10" i="30"/>
  <c r="L10" i="30"/>
  <c r="M10" i="30"/>
  <c r="B11" i="30"/>
  <c r="C11" i="30"/>
  <c r="D11" i="30"/>
  <c r="E11" i="30"/>
  <c r="F11" i="30"/>
  <c r="G11" i="30"/>
  <c r="H11" i="30"/>
  <c r="I11" i="30"/>
  <c r="J11" i="30"/>
  <c r="K11" i="30"/>
  <c r="L11" i="30"/>
  <c r="M11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B5" i="40"/>
  <c r="C5" i="40"/>
  <c r="D5" i="40"/>
  <c r="E5" i="40"/>
  <c r="B6" i="40"/>
  <c r="C6" i="40"/>
  <c r="D6" i="40"/>
  <c r="E6" i="40"/>
  <c r="B7" i="40"/>
  <c r="C7" i="40"/>
  <c r="D7" i="40"/>
  <c r="E7" i="40"/>
  <c r="B8" i="40"/>
  <c r="F8" i="40" s="1"/>
  <c r="C8" i="40"/>
  <c r="D8" i="40"/>
  <c r="E8" i="40"/>
  <c r="B9" i="40"/>
  <c r="C9" i="40"/>
  <c r="D9" i="40"/>
  <c r="F9" i="40" s="1"/>
  <c r="E9" i="40"/>
  <c r="B10" i="40"/>
  <c r="C10" i="40"/>
  <c r="D10" i="40"/>
  <c r="F10" i="40" s="1"/>
  <c r="E10" i="40"/>
  <c r="B11" i="40"/>
  <c r="F11" i="40" s="1"/>
  <c r="C11" i="40"/>
  <c r="D11" i="40"/>
  <c r="E11" i="40"/>
  <c r="B12" i="40"/>
  <c r="C12" i="40"/>
  <c r="D12" i="40"/>
  <c r="E12" i="40"/>
  <c r="B5" i="41"/>
  <c r="C5" i="41"/>
  <c r="B6" i="41"/>
  <c r="C6" i="41"/>
  <c r="B7" i="41"/>
  <c r="C7" i="41"/>
  <c r="B8" i="41"/>
  <c r="D8" i="41" s="1"/>
  <c r="C8" i="41"/>
  <c r="E8" i="41" s="1"/>
  <c r="B9" i="41"/>
  <c r="D9" i="41" s="1"/>
  <c r="E9" i="41" s="1"/>
  <c r="C9" i="41"/>
  <c r="B10" i="41"/>
  <c r="D10" i="41" s="1"/>
  <c r="E10" i="41" s="1"/>
  <c r="C10" i="41"/>
  <c r="B11" i="41"/>
  <c r="C11" i="41"/>
  <c r="B12" i="41"/>
  <c r="C12" i="41"/>
  <c r="B5" i="42"/>
  <c r="B14" i="42" s="1"/>
  <c r="C5" i="42"/>
  <c r="D5" i="42"/>
  <c r="B6" i="42"/>
  <c r="G6" i="42" s="1"/>
  <c r="C6" i="42"/>
  <c r="D6" i="42"/>
  <c r="B7" i="42"/>
  <c r="C7" i="42"/>
  <c r="E7" i="42" s="1"/>
  <c r="F7" i="42" s="1"/>
  <c r="G7" i="42" s="1"/>
  <c r="D7" i="42"/>
  <c r="D14" i="42" s="1"/>
  <c r="B8" i="42"/>
  <c r="C8" i="42"/>
  <c r="E8" i="42" s="1"/>
  <c r="F8" i="42" s="1"/>
  <c r="G8" i="42" s="1"/>
  <c r="D8" i="42"/>
  <c r="B9" i="42"/>
  <c r="G9" i="42" s="1"/>
  <c r="C9" i="42"/>
  <c r="D9" i="42"/>
  <c r="B10" i="42"/>
  <c r="C10" i="42"/>
  <c r="D10" i="42"/>
  <c r="B11" i="42"/>
  <c r="C11" i="42"/>
  <c r="D11" i="42"/>
  <c r="B12" i="42"/>
  <c r="C12" i="42"/>
  <c r="E12" i="42" s="1"/>
  <c r="F12" i="42" s="1"/>
  <c r="G12" i="42" s="1"/>
  <c r="D12" i="42"/>
  <c r="C18" i="43"/>
  <c r="C19" i="43"/>
  <c r="C20" i="43"/>
  <c r="C21" i="43"/>
  <c r="C22" i="43"/>
  <c r="C23" i="43"/>
  <c r="C24" i="43"/>
  <c r="C25" i="43"/>
  <c r="B12" i="43"/>
  <c r="C12" i="43"/>
  <c r="D12" i="43"/>
  <c r="E12" i="43"/>
  <c r="F12" i="43"/>
  <c r="G12" i="43"/>
  <c r="H12" i="43"/>
  <c r="J12" i="43" s="1"/>
  <c r="I12" i="43"/>
  <c r="B11" i="43"/>
  <c r="C11" i="43"/>
  <c r="D11" i="43"/>
  <c r="E11" i="43"/>
  <c r="F11" i="43"/>
  <c r="G11" i="43"/>
  <c r="H11" i="43"/>
  <c r="I11" i="43"/>
  <c r="B10" i="43"/>
  <c r="C10" i="43"/>
  <c r="D10" i="43"/>
  <c r="E10" i="43"/>
  <c r="F10" i="43"/>
  <c r="G10" i="43"/>
  <c r="H10" i="43"/>
  <c r="J10" i="43" s="1"/>
  <c r="I10" i="43"/>
  <c r="B9" i="43"/>
  <c r="C9" i="43"/>
  <c r="D9" i="43"/>
  <c r="E9" i="43"/>
  <c r="F9" i="43"/>
  <c r="G9" i="43"/>
  <c r="H9" i="43"/>
  <c r="I9" i="43"/>
  <c r="B8" i="43"/>
  <c r="C8" i="43"/>
  <c r="D8" i="43"/>
  <c r="E8" i="43"/>
  <c r="F8" i="43"/>
  <c r="G8" i="43"/>
  <c r="H8" i="43"/>
  <c r="J8" i="43" s="1"/>
  <c r="I8" i="43"/>
  <c r="B7" i="43"/>
  <c r="C7" i="43"/>
  <c r="D7" i="43"/>
  <c r="E7" i="43"/>
  <c r="F7" i="43"/>
  <c r="G7" i="43"/>
  <c r="H7" i="43"/>
  <c r="I7" i="43"/>
  <c r="B6" i="43"/>
  <c r="C6" i="43"/>
  <c r="D6" i="43"/>
  <c r="E6" i="43"/>
  <c r="F6" i="43"/>
  <c r="G6" i="43"/>
  <c r="H6" i="43"/>
  <c r="J6" i="43" s="1"/>
  <c r="I6" i="43"/>
  <c r="B5" i="43"/>
  <c r="J5" i="43" s="1"/>
  <c r="C5" i="43"/>
  <c r="D5" i="43"/>
  <c r="E5" i="43"/>
  <c r="F5" i="43"/>
  <c r="G5" i="43"/>
  <c r="H5" i="43"/>
  <c r="I5" i="43"/>
  <c r="J11" i="43"/>
  <c r="J9" i="43"/>
  <c r="J7" i="43"/>
  <c r="E5" i="42"/>
  <c r="F5" i="42"/>
  <c r="G5" i="42"/>
  <c r="E6" i="42"/>
  <c r="F6" i="42" s="1"/>
  <c r="E9" i="42"/>
  <c r="F9" i="42"/>
  <c r="E10" i="42"/>
  <c r="F10" i="42"/>
  <c r="G10" i="42"/>
  <c r="E11" i="42"/>
  <c r="F11" i="42" s="1"/>
  <c r="G11" i="42" s="1"/>
  <c r="D5" i="41"/>
  <c r="E5" i="41"/>
  <c r="D6" i="41"/>
  <c r="E6" i="41"/>
  <c r="D7" i="41"/>
  <c r="E7" i="41"/>
  <c r="D11" i="41"/>
  <c r="E11" i="41"/>
  <c r="D12" i="41"/>
  <c r="E12" i="41"/>
  <c r="F5" i="40"/>
  <c r="F6" i="40"/>
  <c r="F7" i="40"/>
  <c r="F12" i="40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P106" i="15"/>
  <c r="P107" i="15"/>
  <c r="P108" i="15"/>
  <c r="P109" i="15"/>
  <c r="P110" i="15"/>
  <c r="P111" i="15"/>
  <c r="P112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6" i="9"/>
  <c r="E14" i="41" l="1"/>
  <c r="G14" i="42"/>
  <c r="F14" i="42"/>
  <c r="E14" i="42"/>
  <c r="C14" i="42"/>
  <c r="O6" i="16" l="1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6" i="9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6" i="9"/>
  <c r="E550" i="8"/>
  <c r="E551" i="8" s="1"/>
  <c r="E552" i="8" l="1"/>
  <c r="E553" i="8" l="1"/>
  <c r="E554" i="8" s="1"/>
  <c r="E555" i="8" l="1"/>
  <c r="E556" i="8" l="1"/>
  <c r="E557" i="8" s="1"/>
  <c r="E558" i="8" l="1"/>
  <c r="E559" i="8" l="1"/>
  <c r="E560" i="8" l="1"/>
  <c r="E561" i="8" l="1"/>
  <c r="E562" i="8" l="1"/>
  <c r="E563" i="8" l="1"/>
  <c r="E564" i="8" l="1"/>
  <c r="E565" i="8" l="1"/>
  <c r="E566" i="8" l="1"/>
  <c r="E567" i="8" l="1"/>
  <c r="E568" i="8" l="1"/>
  <c r="E569" i="8" l="1"/>
  <c r="E570" i="8" l="1"/>
  <c r="E571" i="8" l="1"/>
  <c r="E572" i="8" l="1"/>
  <c r="E573" i="8" l="1"/>
  <c r="E574" i="8" l="1"/>
  <c r="E575" i="8" l="1"/>
  <c r="E576" i="8" l="1"/>
  <c r="E577" i="8" l="1"/>
  <c r="E578" i="8" l="1"/>
  <c r="E579" i="8" l="1"/>
  <c r="E580" i="8" l="1"/>
  <c r="E581" i="8" l="1"/>
  <c r="E582" i="8" l="1"/>
  <c r="E583" i="8" l="1"/>
  <c r="E584" i="8" l="1"/>
  <c r="E585" i="8" l="1"/>
  <c r="E586" i="8" l="1"/>
  <c r="E587" i="8" l="1"/>
  <c r="E588" i="8" l="1"/>
  <c r="E589" i="8" l="1"/>
  <c r="E590" i="8" l="1"/>
  <c r="E591" i="8" l="1"/>
  <c r="E592" i="8" l="1"/>
  <c r="E593" i="8" l="1"/>
  <c r="E594" i="8" l="1"/>
  <c r="E595" i="8" l="1"/>
  <c r="E596" i="8" l="1"/>
  <c r="E597" i="8" l="1"/>
  <c r="E598" i="8" l="1"/>
  <c r="E599" i="8" l="1"/>
  <c r="E600" i="8" l="1"/>
  <c r="E601" i="8" l="1"/>
  <c r="E602" i="8" l="1"/>
  <c r="E603" i="8" l="1"/>
  <c r="E604" i="8" l="1"/>
  <c r="E605" i="8" l="1"/>
  <c r="E606" i="8" l="1"/>
  <c r="E607" i="8" l="1"/>
  <c r="E608" i="8" l="1"/>
  <c r="E609" i="8" l="1"/>
  <c r="E610" i="8" l="1"/>
  <c r="E611" i="8" l="1"/>
  <c r="E612" i="8" l="1"/>
  <c r="E613" i="8" l="1"/>
  <c r="E614" i="8" l="1"/>
  <c r="E615" i="8" l="1"/>
  <c r="E616" i="8" l="1"/>
</calcChain>
</file>

<file path=xl/sharedStrings.xml><?xml version="1.0" encoding="utf-8"?>
<sst xmlns="http://schemas.openxmlformats.org/spreadsheetml/2006/main" count="2733" uniqueCount="96">
  <si>
    <t>yearq</t>
  </si>
  <si>
    <t>Dallas</t>
  </si>
  <si>
    <t>Chicago</t>
  </si>
  <si>
    <t>Boston</t>
  </si>
  <si>
    <t>T10</t>
  </si>
  <si>
    <t>MKT</t>
  </si>
  <si>
    <t>NewYork</t>
  </si>
  <si>
    <t>SanDiego</t>
  </si>
  <si>
    <t>SanJose</t>
  </si>
  <si>
    <t>COMP</t>
  </si>
  <si>
    <t>R</t>
  </si>
  <si>
    <t>STK</t>
  </si>
  <si>
    <t>CAP</t>
  </si>
  <si>
    <t>CPI</t>
  </si>
  <si>
    <t>Atlanta</t>
  </si>
  <si>
    <t>OrangeCounty</t>
  </si>
  <si>
    <t>CAP(t-4)</t>
  </si>
  <si>
    <t>Rt/Rt-4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</si>
  <si>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</si>
  <si>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</si>
  <si>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</si>
  <si>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</si>
  <si>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</si>
  <si>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</si>
  <si>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</si>
  <si>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</si>
  <si>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</si>
  <si>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</si>
  <si>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</si>
  <si>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</si>
  <si>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</si>
  <si>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</si>
  <si>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</si>
  <si>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</si>
  <si>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</si>
  <si>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</si>
  <si>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</si>
  <si>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</si>
  <si>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</si>
  <si>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</si>
  <si>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</si>
  <si>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</si>
  <si>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</si>
  <si>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</si>
  <si>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</si>
  <si>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RESIDUAL OUTPUT</t>
  </si>
  <si>
    <t>Observation</t>
  </si>
  <si>
    <t>Predicted Y</t>
  </si>
  <si>
    <t>Residuals</t>
  </si>
  <si>
    <t>Model 1 Summary: CAP = β + α₁CAP(t-4) + α₂T10 + α₃(Rt/Rt-4)</t>
  </si>
  <si>
    <t>P-values</t>
  </si>
  <si>
    <t>City</t>
  </si>
  <si>
    <t>R²</t>
  </si>
  <si>
    <t>Adj R²</t>
  </si>
  <si>
    <t>Std Error</t>
  </si>
  <si>
    <t>Obs</t>
  </si>
  <si>
    <t>Intercept (β)</t>
  </si>
  <si>
    <t>CAP(t-4) (α₁)</t>
  </si>
  <si>
    <t>T10 (α₂)</t>
  </si>
  <si>
    <t>Rt/Rt-4 (α₃)</t>
  </si>
  <si>
    <t>CPIt/CPI(t-4)</t>
  </si>
  <si>
    <t>X Variable 4</t>
  </si>
  <si>
    <t>Model 2 Summary: CAP = β + α₁CAP(t-4) + α₂T10 + α₃(Rt/Rt-4) + α₄(CPIt/CPIt-4)</t>
  </si>
  <si>
    <t>CPIt/CPIt-4 (α₄)</t>
  </si>
  <si>
    <t>CPIt/CPIt-4</t>
  </si>
  <si>
    <t>Rt/Rt-4 Coefficient Comparison: Model 1 vs Model 2</t>
  </si>
  <si>
    <t>Model 1</t>
  </si>
  <si>
    <t>Model 2</t>
  </si>
  <si>
    <t>Coefficient (α₃)</t>
  </si>
  <si>
    <t>Change</t>
  </si>
  <si>
    <t>Model 1: CAP = β + α₁CAP(t-4) + α₂T10 + α₃(Rt/Rt-4)</t>
  </si>
  <si>
    <t>Model 2: CAP = β + α₁CAP(t-4) + α₂T10 + α₃(Rt/Rt-4) + α₄(CPIt/CPIt-4)</t>
  </si>
  <si>
    <t>Note: In Model 2, the rent growth coefficient represents REAL rent growth (controlling for inflation)</t>
  </si>
  <si>
    <t>Long Run Coefficient on T10 (Model 2)</t>
  </si>
  <si>
    <t>Formula: Long Run T10 = α₂ / (1 - α₁)</t>
  </si>
  <si>
    <t>α₁ (CAP t-4)</t>
  </si>
  <si>
    <t>α₂ (T10)</t>
  </si>
  <si>
    <t>1 - α₁</t>
  </si>
  <si>
    <t>Long Run T10</t>
  </si>
  <si>
    <t>Average</t>
  </si>
  <si>
    <t>Note: In the Gordon Growth Formula, the long-run coefficient on T10 should be near 1.</t>
  </si>
  <si>
    <t>This represents the full pass-through of interest rate changes to cap rates in equilibrium.</t>
  </si>
  <si>
    <t>Model 2: T10 Coefficient vs Average of Rent Growth &amp; Inflation Coefficients</t>
  </si>
  <si>
    <t>Per GGF theory: CAP = r - g, so coefficient on T10 should equal (opposite sign of) average of growth coefficients</t>
  </si>
  <si>
    <t>α₃ (Rt/Rt-4)</t>
  </si>
  <si>
    <t>α₄ (CPIt/CPIt-4)</t>
  </si>
  <si>
    <t>Avg of α₃ &amp; α₄</t>
  </si>
  <si>
    <t>Avg (abs value)</t>
  </si>
  <si>
    <t>Difference</t>
  </si>
  <si>
    <t>Residual = Actual CAP - Predicted CAP | Positive = Undervalued (buy signal) | Negative = Overvalued (sell signal)</t>
  </si>
  <si>
    <t>Avg Residual</t>
  </si>
  <si>
    <t>Interpretation</t>
  </si>
  <si>
    <t>Market Ranking (Best to Worst Investment Opportunity)</t>
  </si>
  <si>
    <t>Rank</t>
  </si>
  <si>
    <t>Residual Analysis: Last 2 Years (2015.4 - 2017.3)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</si>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</sst>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3" xfId="0" applyNumberFormat="1" applyBorder="1"/>
    <xf numFmtId="0" fontId="0" fillId="0" borderId="3" xfId="0" applyBorder="1"/>
    <xf numFmtId="11" fontId="0" fillId="0" borderId="3" xfId="0" applyNumberFormat="1" applyBorder="1"/>
    <xf numFmtId="0" fontId="1" fillId="0" borderId="3" xfId="0" applyFont="1" applyBorder="1"/>
    <xf numFmtId="0" fontId="0" fillId="2" borderId="0" xfId="0" applyFill="1" applyAlignment="1">
      <alignment horizontal="center"/>
    </xf>
    <xf numFmtId="0" fontId="1" fillId="2" borderId="3" xfId="0" applyFont="1" applyFill="1" applyBorder="1"/>
    <xf numFmtId="0" fontId="0" fillId="3" borderId="0" xfId="0" applyFill="1" applyAlignment="1">
      <alignment horizontal="center"/>
    </xf>
    <xf numFmtId="0" fontId="1" fillId="3" borderId="3" xfId="0" applyFont="1" applyFill="1" applyBorder="1"/>
    <xf numFmtId="0" fontId="0" fillId="4" borderId="0" xfId="0" applyFill="1" applyAlignment="1">
      <alignment horizontal="center"/>
    </xf>
    <xf numFmtId="0" fontId="1" fillId="4" borderId="3" xfId="0" applyFont="1" applyFill="1" applyBorder="1"/>
    <xf numFmtId="0" fontId="2" fillId="0" borderId="0" xfId="0" applyFont="1"/>
    <xf numFmtId="0" fontId="4" fillId="0" borderId="0" xfId="0" applyFont="1"/>
    <xf numFmtId="164" fontId="1" fillId="3" borderId="3" xfId="0" applyNumberFormat="1" applyFont="1" applyFill="1" applyBorder="1"/>
    <xf numFmtId="164" fontId="1" fillId="3" borderId="0" xfId="0" applyNumberFormat="1" applyFont="1" applyFill="1" applyBorder="1"/>
    <xf numFmtId="0" fontId="1" fillId="5" borderId="3" xfId="0" applyFont="1" applyFill="1" applyBorder="1"/>
    <xf numFmtId="164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164" fontId="0" fillId="6" borderId="3" xfId="0" applyNumberFormat="1" applyFill="1" applyBorder="1"/>
    <xf numFmtId="164" fontId="0" fillId="7" borderId="3" xfId="0" applyNumberFormat="1" applyFill="1" applyBorder="1"/>
    <xf numFmtId="164" fontId="0" fillId="8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Atlanta!$M$6:$M$124</c:f>
              <c:numCache>
                <c:formatCode>General</c:formatCode>
                <c:ptCount val="119"/>
                <c:pt idx="0">
                  <c:v>7.2896830000000001</c:v>
                </c:pt>
                <c:pt idx="1">
                  <c:v>7.2487120000000003</c:v>
                </c:pt>
                <c:pt idx="2">
                  <c:v>6.6185099999999997</c:v>
                </c:pt>
                <c:pt idx="3">
                  <c:v>6.5050850000000002</c:v>
                </c:pt>
                <c:pt idx="4">
                  <c:v>6.5675420000000004</c:v>
                </c:pt>
                <c:pt idx="5">
                  <c:v>6.6774709999999997</c:v>
                </c:pt>
                <c:pt idx="6">
                  <c:v>7.5098440000000002</c:v>
                </c:pt>
                <c:pt idx="7">
                  <c:v>7.6250619999999998</c:v>
                </c:pt>
                <c:pt idx="8">
                  <c:v>7.7636000000000003</c:v>
                </c:pt>
                <c:pt idx="9">
                  <c:v>8.0551340000000007</c:v>
                </c:pt>
                <c:pt idx="10">
                  <c:v>7.4915209999999997</c:v>
                </c:pt>
                <c:pt idx="11">
                  <c:v>7.2158340000000001</c:v>
                </c:pt>
                <c:pt idx="12">
                  <c:v>6.8610720000000001</c:v>
                </c:pt>
                <c:pt idx="13">
                  <c:v>6.10832</c:v>
                </c:pt>
                <c:pt idx="14">
                  <c:v>5.7353310000000004</c:v>
                </c:pt>
                <c:pt idx="15">
                  <c:v>5.1118249999999996</c:v>
                </c:pt>
                <c:pt idx="16">
                  <c:v>4.6699780000000004</c:v>
                </c:pt>
                <c:pt idx="17">
                  <c:v>4.7843340000000003</c:v>
                </c:pt>
                <c:pt idx="18">
                  <c:v>5.1722869999999999</c:v>
                </c:pt>
                <c:pt idx="19">
                  <c:v>5.7476349999999998</c:v>
                </c:pt>
                <c:pt idx="20">
                  <c:v>6.3311640000000002</c:v>
                </c:pt>
                <c:pt idx="21">
                  <c:v>6.5356920000000001</c:v>
                </c:pt>
                <c:pt idx="22">
                  <c:v>6.727271</c:v>
                </c:pt>
                <c:pt idx="23">
                  <c:v>7.3258549999999998</c:v>
                </c:pt>
                <c:pt idx="24">
                  <c:v>7.6387700000000001</c:v>
                </c:pt>
                <c:pt idx="25">
                  <c:v>8.1077779999999997</c:v>
                </c:pt>
                <c:pt idx="26">
                  <c:v>8.3363119999999995</c:v>
                </c:pt>
                <c:pt idx="27">
                  <c:v>8.4628669999999993</c:v>
                </c:pt>
                <c:pt idx="28">
                  <c:v>8.988016</c:v>
                </c:pt>
                <c:pt idx="29">
                  <c:v>8.8221810000000005</c:v>
                </c:pt>
                <c:pt idx="30">
                  <c:v>9.1030289999999994</c:v>
                </c:pt>
                <c:pt idx="31">
                  <c:v>9.227665</c:v>
                </c:pt>
                <c:pt idx="32">
                  <c:v>9.3454280000000001</c:v>
                </c:pt>
                <c:pt idx="33">
                  <c:v>9.8368640000000003</c:v>
                </c:pt>
                <c:pt idx="34">
                  <c:v>9.7539689999999997</c:v>
                </c:pt>
                <c:pt idx="35">
                  <c:v>9.4386460000000003</c:v>
                </c:pt>
                <c:pt idx="36">
                  <c:v>8.528708</c:v>
                </c:pt>
                <c:pt idx="37">
                  <c:v>7.8766679999999996</c:v>
                </c:pt>
                <c:pt idx="38">
                  <c:v>7.4703039999999996</c:v>
                </c:pt>
                <c:pt idx="39">
                  <c:v>7.010389</c:v>
                </c:pt>
                <c:pt idx="40">
                  <c:v>7.4058780000000004</c:v>
                </c:pt>
                <c:pt idx="41">
                  <c:v>7.79718</c:v>
                </c:pt>
                <c:pt idx="42">
                  <c:v>8.2763039999999997</c:v>
                </c:pt>
                <c:pt idx="43">
                  <c:v>8.7404379999999993</c:v>
                </c:pt>
                <c:pt idx="44">
                  <c:v>9.0089640000000006</c:v>
                </c:pt>
                <c:pt idx="45">
                  <c:v>9.0166649999999997</c:v>
                </c:pt>
                <c:pt idx="46">
                  <c:v>8.6404619999999994</c:v>
                </c:pt>
                <c:pt idx="47">
                  <c:v>8.4864680000000003</c:v>
                </c:pt>
                <c:pt idx="48">
                  <c:v>8.2581050000000005</c:v>
                </c:pt>
                <c:pt idx="49">
                  <c:v>7.7942600000000004</c:v>
                </c:pt>
                <c:pt idx="50">
                  <c:v>7.5262399999999996</c:v>
                </c:pt>
                <c:pt idx="51">
                  <c:v>7.1146310000000001</c:v>
                </c:pt>
                <c:pt idx="52">
                  <c:v>6.9809279999999996</c:v>
                </c:pt>
                <c:pt idx="53">
                  <c:v>7.4948430000000004</c:v>
                </c:pt>
                <c:pt idx="54">
                  <c:v>7.8561500000000004</c:v>
                </c:pt>
                <c:pt idx="55">
                  <c:v>8.3442589999999992</c:v>
                </c:pt>
                <c:pt idx="56">
                  <c:v>8.6486289999999997</c:v>
                </c:pt>
                <c:pt idx="57">
                  <c:v>8.7219809999999995</c:v>
                </c:pt>
                <c:pt idx="58">
                  <c:v>9.0888290000000005</c:v>
                </c:pt>
                <c:pt idx="59">
                  <c:v>9.1939080000000004</c:v>
                </c:pt>
                <c:pt idx="60">
                  <c:v>9.3096150000000009</c:v>
                </c:pt>
                <c:pt idx="61">
                  <c:v>9.3392440000000008</c:v>
                </c:pt>
                <c:pt idx="62">
                  <c:v>9.3640419999999995</c:v>
                </c:pt>
                <c:pt idx="63">
                  <c:v>9.3571010000000001</c:v>
                </c:pt>
                <c:pt idx="64">
                  <c:v>9.2450089999999996</c:v>
                </c:pt>
                <c:pt idx="65">
                  <c:v>9.1346120000000006</c:v>
                </c:pt>
                <c:pt idx="66">
                  <c:v>8.8990650000000002</c:v>
                </c:pt>
                <c:pt idx="67">
                  <c:v>8.7601139999999997</c:v>
                </c:pt>
                <c:pt idx="68">
                  <c:v>8.725733</c:v>
                </c:pt>
                <c:pt idx="69">
                  <c:v>8.8509539999999998</c:v>
                </c:pt>
                <c:pt idx="70">
                  <c:v>8.4882729999999995</c:v>
                </c:pt>
                <c:pt idx="71">
                  <c:v>8.1421349999999997</c:v>
                </c:pt>
                <c:pt idx="72">
                  <c:v>7.6113</c:v>
                </c:pt>
                <c:pt idx="73">
                  <c:v>6.7988619999999997</c:v>
                </c:pt>
                <c:pt idx="74">
                  <c:v>6.2962809999999996</c:v>
                </c:pt>
                <c:pt idx="75">
                  <c:v>6.2198659999999997</c:v>
                </c:pt>
                <c:pt idx="76">
                  <c:v>6.0138350000000003</c:v>
                </c:pt>
                <c:pt idx="77">
                  <c:v>5.8697340000000002</c:v>
                </c:pt>
                <c:pt idx="78">
                  <c:v>5.875019</c:v>
                </c:pt>
                <c:pt idx="79">
                  <c:v>5.6554010000000003</c:v>
                </c:pt>
                <c:pt idx="80">
                  <c:v>5.6121230000000004</c:v>
                </c:pt>
                <c:pt idx="81">
                  <c:v>5.6666319999999999</c:v>
                </c:pt>
                <c:pt idx="82">
                  <c:v>5.5785780000000003</c:v>
                </c:pt>
                <c:pt idx="83">
                  <c:v>5.6450680000000002</c:v>
                </c:pt>
                <c:pt idx="84">
                  <c:v>5.6987199999999998</c:v>
                </c:pt>
                <c:pt idx="85">
                  <c:v>5.7376079999999998</c:v>
                </c:pt>
                <c:pt idx="86">
                  <c:v>5.9115799999999998</c:v>
                </c:pt>
                <c:pt idx="87">
                  <c:v>6.1200989999999997</c:v>
                </c:pt>
                <c:pt idx="88">
                  <c:v>6.4231990000000003</c:v>
                </c:pt>
                <c:pt idx="89">
                  <c:v>6.7822449999999996</c:v>
                </c:pt>
                <c:pt idx="90">
                  <c:v>7.1906080000000001</c:v>
                </c:pt>
                <c:pt idx="91">
                  <c:v>7.2920449999999999</c:v>
                </c:pt>
                <c:pt idx="92">
                  <c:v>7.4326400000000001</c:v>
                </c:pt>
                <c:pt idx="93">
                  <c:v>7.48177</c:v>
                </c:pt>
                <c:pt idx="94">
                  <c:v>7.3929070000000001</c:v>
                </c:pt>
                <c:pt idx="95">
                  <c:v>7.1570119999999999</c:v>
                </c:pt>
                <c:pt idx="96">
                  <c:v>6.9285410000000001</c:v>
                </c:pt>
                <c:pt idx="97">
                  <c:v>6.6448010000000002</c:v>
                </c:pt>
                <c:pt idx="98">
                  <c:v>6.3874709999999997</c:v>
                </c:pt>
                <c:pt idx="99">
                  <c:v>6.3539770000000004</c:v>
                </c:pt>
                <c:pt idx="100">
                  <c:v>6.242451</c:v>
                </c:pt>
                <c:pt idx="101">
                  <c:v>6.2805350000000004</c:v>
                </c:pt>
                <c:pt idx="102">
                  <c:v>6.3966130000000003</c:v>
                </c:pt>
                <c:pt idx="103">
                  <c:v>6.4501140000000001</c:v>
                </c:pt>
                <c:pt idx="104">
                  <c:v>6.5276870000000002</c:v>
                </c:pt>
                <c:pt idx="105">
                  <c:v>6.3991740000000004</c:v>
                </c:pt>
                <c:pt idx="106">
                  <c:v>6.3621619999999997</c:v>
                </c:pt>
                <c:pt idx="107">
                  <c:v>6.21882</c:v>
                </c:pt>
                <c:pt idx="108">
                  <c:v>6.0789960000000001</c:v>
                </c:pt>
                <c:pt idx="109">
                  <c:v>6.1592529999999996</c:v>
                </c:pt>
                <c:pt idx="110">
                  <c:v>6.0589219999999999</c:v>
                </c:pt>
                <c:pt idx="111">
                  <c:v>6.3039810000000003</c:v>
                </c:pt>
                <c:pt idx="112">
                  <c:v>6.1847640000000004</c:v>
                </c:pt>
                <c:pt idx="113">
                  <c:v>5.985792</c:v>
                </c:pt>
                <c:pt idx="114">
                  <c:v>5.6294659999999999</c:v>
                </c:pt>
                <c:pt idx="115">
                  <c:v>5.2687119999999998</c:v>
                </c:pt>
                <c:pt idx="116">
                  <c:v>5.1644329999999998</c:v>
                </c:pt>
                <c:pt idx="117">
                  <c:v>5.0326639999999996</c:v>
                </c:pt>
                <c:pt idx="118">
                  <c:v>5.1709490000000002</c:v>
                </c:pt>
              </c:numCache>
            </c:numRef>
          </c:xVal>
          <c:yVal>
            <c:numRef>
              <c:f>'Model 1 ATL'!$C$27:$C$145</c:f>
              <c:numCache>
                <c:formatCode>General</c:formatCode>
                <c:ptCount val="119"/>
                <c:pt idx="0">
                  <c:v>-0.91446518597921145</c:v>
                </c:pt>
                <c:pt idx="1">
                  <c:v>-0.77832711622109496</c:v>
                </c:pt>
                <c:pt idx="2">
                  <c:v>0.50293525378865844</c:v>
                </c:pt>
                <c:pt idx="3">
                  <c:v>0.72438012323743539</c:v>
                </c:pt>
                <c:pt idx="4">
                  <c:v>0.7262081375104863</c:v>
                </c:pt>
                <c:pt idx="5">
                  <c:v>0.90195565986910253</c:v>
                </c:pt>
                <c:pt idx="6">
                  <c:v>-0.23218720257826497</c:v>
                </c:pt>
                <c:pt idx="7">
                  <c:v>-0.60050983257255819</c:v>
                </c:pt>
                <c:pt idx="8">
                  <c:v>-1.0704903385193028</c:v>
                </c:pt>
                <c:pt idx="9">
                  <c:v>-2.026687422066634</c:v>
                </c:pt>
                <c:pt idx="10">
                  <c:v>-1.9760946145720943</c:v>
                </c:pt>
                <c:pt idx="11">
                  <c:v>-2.358849672817505</c:v>
                </c:pt>
                <c:pt idx="12">
                  <c:v>-2.5040241197044555</c:v>
                </c:pt>
                <c:pt idx="13">
                  <c:v>-1.8445407206794711</c:v>
                </c:pt>
                <c:pt idx="14">
                  <c:v>-1.1739796026536871</c:v>
                </c:pt>
                <c:pt idx="15">
                  <c:v>-0.10338306907246242</c:v>
                </c:pt>
                <c:pt idx="16">
                  <c:v>0.78550526349123917</c:v>
                </c:pt>
                <c:pt idx="17">
                  <c:v>0.88975654524708503</c:v>
                </c:pt>
                <c:pt idx="18">
                  <c:v>0.82255817960695854</c:v>
                </c:pt>
                <c:pt idx="19">
                  <c:v>0.96180981790256403</c:v>
                </c:pt>
                <c:pt idx="20">
                  <c:v>0.92975958658640767</c:v>
                </c:pt>
                <c:pt idx="21">
                  <c:v>1.3096191339416841</c:v>
                </c:pt>
                <c:pt idx="22">
                  <c:v>1.5470820211023613</c:v>
                </c:pt>
                <c:pt idx="23">
                  <c:v>1.3728842158383765</c:v>
                </c:pt>
                <c:pt idx="24">
                  <c:v>1.5975081905858204</c:v>
                </c:pt>
                <c:pt idx="25">
                  <c:v>0.98094653058839043</c:v>
                </c:pt>
                <c:pt idx="26">
                  <c:v>1.0521100448621805</c:v>
                </c:pt>
                <c:pt idx="27">
                  <c:v>1.0206721369308696</c:v>
                </c:pt>
                <c:pt idx="28">
                  <c:v>0.83178430730270669</c:v>
                </c:pt>
                <c:pt idx="29">
                  <c:v>1.550580865616995</c:v>
                </c:pt>
                <c:pt idx="30">
                  <c:v>1.2664119972600094</c:v>
                </c:pt>
                <c:pt idx="31">
                  <c:v>0.87459802715691204</c:v>
                </c:pt>
                <c:pt idx="32">
                  <c:v>-8.1382797302405052E-2</c:v>
                </c:pt>
                <c:pt idx="33">
                  <c:v>-1.1053326269580728</c:v>
                </c:pt>
                <c:pt idx="34">
                  <c:v>-1.4422062053350357</c:v>
                </c:pt>
                <c:pt idx="35">
                  <c:v>-1.6301026114553263</c:v>
                </c:pt>
                <c:pt idx="36">
                  <c:v>-0.66754212538872704</c:v>
                </c:pt>
                <c:pt idx="37">
                  <c:v>0.11366039218350288</c:v>
                </c:pt>
                <c:pt idx="38">
                  <c:v>0.84013787344935231</c:v>
                </c:pt>
                <c:pt idx="39">
                  <c:v>1.5833423286060597</c:v>
                </c:pt>
                <c:pt idx="40">
                  <c:v>1.6667008880715475</c:v>
                </c:pt>
                <c:pt idx="41">
                  <c:v>1.4712386377172688</c:v>
                </c:pt>
                <c:pt idx="42">
                  <c:v>0.79884062360226782</c:v>
                </c:pt>
                <c:pt idx="43">
                  <c:v>0.37039593527162396</c:v>
                </c:pt>
                <c:pt idx="44">
                  <c:v>-0.13149586751371167</c:v>
                </c:pt>
                <c:pt idx="45">
                  <c:v>-0.69595497320141231</c:v>
                </c:pt>
                <c:pt idx="46">
                  <c:v>-0.75277941629807188</c:v>
                </c:pt>
                <c:pt idx="47">
                  <c:v>-1.1059443933579596</c:v>
                </c:pt>
                <c:pt idx="48">
                  <c:v>-1.0512515545126613</c:v>
                </c:pt>
                <c:pt idx="49">
                  <c:v>-0.13485927218406157</c:v>
                </c:pt>
                <c:pt idx="50">
                  <c:v>0.47833999204585087</c:v>
                </c:pt>
                <c:pt idx="51">
                  <c:v>1.323980838180848</c:v>
                </c:pt>
                <c:pt idx="52">
                  <c:v>1.6854905573824235</c:v>
                </c:pt>
                <c:pt idx="53">
                  <c:v>1.3002743346702434</c:v>
                </c:pt>
                <c:pt idx="54">
                  <c:v>1.4152420731570148</c:v>
                </c:pt>
                <c:pt idx="55">
                  <c:v>1.1744217911064538</c:v>
                </c:pt>
                <c:pt idx="56">
                  <c:v>1.036870154190801</c:v>
                </c:pt>
                <c:pt idx="57">
                  <c:v>1.0009158724549145</c:v>
                </c:pt>
                <c:pt idx="58">
                  <c:v>0.79795881827819493</c:v>
                </c:pt>
                <c:pt idx="59">
                  <c:v>0.7067001851187058</c:v>
                </c:pt>
                <c:pt idx="60">
                  <c:v>0.51583877144685353</c:v>
                </c:pt>
                <c:pt idx="61">
                  <c:v>0.40323837637316196</c:v>
                </c:pt>
                <c:pt idx="62">
                  <c:v>0.12497578076917826</c:v>
                </c:pt>
                <c:pt idx="63">
                  <c:v>1.0037798152863431E-2</c:v>
                </c:pt>
                <c:pt idx="64">
                  <c:v>0.1107927400874793</c:v>
                </c:pt>
                <c:pt idx="65">
                  <c:v>0.28122826193681405</c:v>
                </c:pt>
                <c:pt idx="66">
                  <c:v>0.1340240070194767</c:v>
                </c:pt>
                <c:pt idx="67">
                  <c:v>-7.801010419461285E-2</c:v>
                </c:pt>
                <c:pt idx="68">
                  <c:v>-0.58070510007444831</c:v>
                </c:pt>
                <c:pt idx="69">
                  <c:v>-1.4471038440420632</c:v>
                </c:pt>
                <c:pt idx="70">
                  <c:v>-1.6928000674166315</c:v>
                </c:pt>
                <c:pt idx="71">
                  <c:v>-1.5393183850403265</c:v>
                </c:pt>
                <c:pt idx="72">
                  <c:v>-1.3961375701691381</c:v>
                </c:pt>
                <c:pt idx="73">
                  <c:v>-1.020678183453005</c:v>
                </c:pt>
                <c:pt idx="74">
                  <c:v>-0.66972034910257339</c:v>
                </c:pt>
                <c:pt idx="75">
                  <c:v>-0.84051491475334839</c:v>
                </c:pt>
                <c:pt idx="76">
                  <c:v>-0.70926024062221593</c:v>
                </c:pt>
                <c:pt idx="77">
                  <c:v>-0.55899241754319995</c:v>
                </c:pt>
                <c:pt idx="78">
                  <c:v>-0.60922835912122597</c:v>
                </c:pt>
                <c:pt idx="79">
                  <c:v>-0.3208564227337094</c:v>
                </c:pt>
                <c:pt idx="80">
                  <c:v>-0.19861268332336834</c:v>
                </c:pt>
                <c:pt idx="81">
                  <c:v>-0.1833748395357695</c:v>
                </c:pt>
                <c:pt idx="82">
                  <c:v>6.1669664957013204E-2</c:v>
                </c:pt>
                <c:pt idx="83">
                  <c:v>0.26253346109053588</c:v>
                </c:pt>
                <c:pt idx="84">
                  <c:v>0.52912476636069261</c:v>
                </c:pt>
                <c:pt idx="85">
                  <c:v>0.71381129381006048</c:v>
                </c:pt>
                <c:pt idx="86">
                  <c:v>0.98687955058589072</c:v>
                </c:pt>
                <c:pt idx="87">
                  <c:v>0.92230086156388769</c:v>
                </c:pt>
                <c:pt idx="88">
                  <c:v>0.80444162256281793</c:v>
                </c:pt>
                <c:pt idx="89">
                  <c:v>0.66710227688316603</c:v>
                </c:pt>
                <c:pt idx="90">
                  <c:v>0.28866091608370237</c:v>
                </c:pt>
                <c:pt idx="91">
                  <c:v>-2.8382832820730286E-2</c:v>
                </c:pt>
                <c:pt idx="92">
                  <c:v>-0.36373626366983469</c:v>
                </c:pt>
                <c:pt idx="93">
                  <c:v>-0.63919253458777003</c:v>
                </c:pt>
                <c:pt idx="94">
                  <c:v>-0.75574576978390251</c:v>
                </c:pt>
                <c:pt idx="95">
                  <c:v>-0.57547181898330813</c:v>
                </c:pt>
                <c:pt idx="96">
                  <c:v>-0.5675719393944183</c:v>
                </c:pt>
                <c:pt idx="97">
                  <c:v>-0.22191884923029903</c:v>
                </c:pt>
                <c:pt idx="98">
                  <c:v>1.2965908185906372E-2</c:v>
                </c:pt>
                <c:pt idx="99">
                  <c:v>7.8063088805793157E-3</c:v>
                </c:pt>
                <c:pt idx="100">
                  <c:v>0.2045639207201706</c:v>
                </c:pt>
                <c:pt idx="101">
                  <c:v>-2.7345098915078303E-2</c:v>
                </c:pt>
                <c:pt idx="102">
                  <c:v>-9.8191397654838752E-2</c:v>
                </c:pt>
                <c:pt idx="103">
                  <c:v>-0.18450372164808027</c:v>
                </c:pt>
                <c:pt idx="104">
                  <c:v>-0.38095725315520834</c:v>
                </c:pt>
                <c:pt idx="105">
                  <c:v>-0.10782482058958021</c:v>
                </c:pt>
                <c:pt idx="106">
                  <c:v>-0.21474770304426372</c:v>
                </c:pt>
                <c:pt idx="107">
                  <c:v>0.1867732708265919</c:v>
                </c:pt>
                <c:pt idx="108">
                  <c:v>0.23708076020514302</c:v>
                </c:pt>
                <c:pt idx="109">
                  <c:v>-0.12186645452539491</c:v>
                </c:pt>
                <c:pt idx="110">
                  <c:v>-0.34735586448102307</c:v>
                </c:pt>
                <c:pt idx="111">
                  <c:v>-0.92788154263872524</c:v>
                </c:pt>
                <c:pt idx="112">
                  <c:v>-0.97321519139833423</c:v>
                </c:pt>
                <c:pt idx="113">
                  <c:v>-0.9370109004871674</c:v>
                </c:pt>
                <c:pt idx="114">
                  <c:v>-0.54226048999118426</c:v>
                </c:pt>
                <c:pt idx="115">
                  <c:v>-0.52757620659087046</c:v>
                </c:pt>
                <c:pt idx="116">
                  <c:v>-0.47464446761676271</c:v>
                </c:pt>
                <c:pt idx="117">
                  <c:v>-0.34321531095440871</c:v>
                </c:pt>
                <c:pt idx="118">
                  <c:v>-0.29110699818449604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62-4BF1-8138-A92A9CB7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34960"/>
        <c:axId val="1022644080"/>
      </c:scatterChart>
      <c:valAx>
        <c:axId val="102263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4080"/>
        <c:crosses val="autoZero"/>
        <c:crossBetween val="midCat"/>
      </c:valAx>
      <c:valAx>
        <c:axId val="1022644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349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1 ATL'!$C$27:$C$145</c:f>
              <c:numCache>
                <c:formatCode>General</c:formatCode>
                <c:ptCount val="119"/>
                <c:pt idx="0">
                  <c:v>-0.91446518597921145</c:v>
                </c:pt>
                <c:pt idx="1">
                  <c:v>-0.77832711622109496</c:v>
                </c:pt>
                <c:pt idx="2">
                  <c:v>0.50293525378865844</c:v>
                </c:pt>
                <c:pt idx="3">
                  <c:v>0.72438012323743539</c:v>
                </c:pt>
                <c:pt idx="4">
                  <c:v>0.7262081375104863</c:v>
                </c:pt>
                <c:pt idx="5">
                  <c:v>0.90195565986910253</c:v>
                </c:pt>
                <c:pt idx="6">
                  <c:v>-0.23218720257826497</c:v>
                </c:pt>
                <c:pt idx="7">
                  <c:v>-0.60050983257255819</c:v>
                </c:pt>
                <c:pt idx="8">
                  <c:v>-1.0704903385193028</c:v>
                </c:pt>
                <c:pt idx="9">
                  <c:v>-2.026687422066634</c:v>
                </c:pt>
                <c:pt idx="10">
                  <c:v>-1.9760946145720943</c:v>
                </c:pt>
                <c:pt idx="11">
                  <c:v>-2.358849672817505</c:v>
                </c:pt>
                <c:pt idx="12">
                  <c:v>-2.5040241197044555</c:v>
                </c:pt>
                <c:pt idx="13">
                  <c:v>-1.8445407206794711</c:v>
                </c:pt>
                <c:pt idx="14">
                  <c:v>-1.1739796026536871</c:v>
                </c:pt>
                <c:pt idx="15">
                  <c:v>-0.10338306907246242</c:v>
                </c:pt>
                <c:pt idx="16">
                  <c:v>0.78550526349123917</c:v>
                </c:pt>
                <c:pt idx="17">
                  <c:v>0.88975654524708503</c:v>
                </c:pt>
                <c:pt idx="18">
                  <c:v>0.82255817960695854</c:v>
                </c:pt>
                <c:pt idx="19">
                  <c:v>0.96180981790256403</c:v>
                </c:pt>
                <c:pt idx="20">
                  <c:v>0.92975958658640767</c:v>
                </c:pt>
                <c:pt idx="21">
                  <c:v>1.3096191339416841</c:v>
                </c:pt>
                <c:pt idx="22">
                  <c:v>1.5470820211023613</c:v>
                </c:pt>
                <c:pt idx="23">
                  <c:v>1.3728842158383765</c:v>
                </c:pt>
                <c:pt idx="24">
                  <c:v>1.5975081905858204</c:v>
                </c:pt>
                <c:pt idx="25">
                  <c:v>0.98094653058839043</c:v>
                </c:pt>
                <c:pt idx="26">
                  <c:v>1.0521100448621805</c:v>
                </c:pt>
                <c:pt idx="27">
                  <c:v>1.0206721369308696</c:v>
                </c:pt>
                <c:pt idx="28">
                  <c:v>0.83178430730270669</c:v>
                </c:pt>
                <c:pt idx="29">
                  <c:v>1.550580865616995</c:v>
                </c:pt>
                <c:pt idx="30">
                  <c:v>1.2664119972600094</c:v>
                </c:pt>
                <c:pt idx="31">
                  <c:v>0.87459802715691204</c:v>
                </c:pt>
                <c:pt idx="32">
                  <c:v>-8.1382797302405052E-2</c:v>
                </c:pt>
                <c:pt idx="33">
                  <c:v>-1.1053326269580728</c:v>
                </c:pt>
                <c:pt idx="34">
                  <c:v>-1.4422062053350357</c:v>
                </c:pt>
                <c:pt idx="35">
                  <c:v>-1.6301026114553263</c:v>
                </c:pt>
                <c:pt idx="36">
                  <c:v>-0.66754212538872704</c:v>
                </c:pt>
                <c:pt idx="37">
                  <c:v>0.11366039218350288</c:v>
                </c:pt>
                <c:pt idx="38">
                  <c:v>0.84013787344935231</c:v>
                </c:pt>
                <c:pt idx="39">
                  <c:v>1.5833423286060597</c:v>
                </c:pt>
                <c:pt idx="40">
                  <c:v>1.6667008880715475</c:v>
                </c:pt>
                <c:pt idx="41">
                  <c:v>1.4712386377172688</c:v>
                </c:pt>
                <c:pt idx="42">
                  <c:v>0.79884062360226782</c:v>
                </c:pt>
                <c:pt idx="43">
                  <c:v>0.37039593527162396</c:v>
                </c:pt>
                <c:pt idx="44">
                  <c:v>-0.13149586751371167</c:v>
                </c:pt>
                <c:pt idx="45">
                  <c:v>-0.69595497320141231</c:v>
                </c:pt>
                <c:pt idx="46">
                  <c:v>-0.75277941629807188</c:v>
                </c:pt>
                <c:pt idx="47">
                  <c:v>-1.1059443933579596</c:v>
                </c:pt>
                <c:pt idx="48">
                  <c:v>-1.0512515545126613</c:v>
                </c:pt>
                <c:pt idx="49">
                  <c:v>-0.13485927218406157</c:v>
                </c:pt>
                <c:pt idx="50">
                  <c:v>0.47833999204585087</c:v>
                </c:pt>
                <c:pt idx="51">
                  <c:v>1.323980838180848</c:v>
                </c:pt>
                <c:pt idx="52">
                  <c:v>1.6854905573824235</c:v>
                </c:pt>
                <c:pt idx="53">
                  <c:v>1.3002743346702434</c:v>
                </c:pt>
                <c:pt idx="54">
                  <c:v>1.4152420731570148</c:v>
                </c:pt>
                <c:pt idx="55">
                  <c:v>1.1744217911064538</c:v>
                </c:pt>
                <c:pt idx="56">
                  <c:v>1.036870154190801</c:v>
                </c:pt>
                <c:pt idx="57">
                  <c:v>1.0009158724549145</c:v>
                </c:pt>
                <c:pt idx="58">
                  <c:v>0.79795881827819493</c:v>
                </c:pt>
                <c:pt idx="59">
                  <c:v>0.7067001851187058</c:v>
                </c:pt>
                <c:pt idx="60">
                  <c:v>0.51583877144685353</c:v>
                </c:pt>
                <c:pt idx="61">
                  <c:v>0.40323837637316196</c:v>
                </c:pt>
                <c:pt idx="62">
                  <c:v>0.12497578076917826</c:v>
                </c:pt>
                <c:pt idx="63">
                  <c:v>1.0037798152863431E-2</c:v>
                </c:pt>
                <c:pt idx="64">
                  <c:v>0.1107927400874793</c:v>
                </c:pt>
                <c:pt idx="65">
                  <c:v>0.28122826193681405</c:v>
                </c:pt>
                <c:pt idx="66">
                  <c:v>0.1340240070194767</c:v>
                </c:pt>
                <c:pt idx="67">
                  <c:v>-7.801010419461285E-2</c:v>
                </c:pt>
                <c:pt idx="68">
                  <c:v>-0.58070510007444831</c:v>
                </c:pt>
                <c:pt idx="69">
                  <c:v>-1.4471038440420632</c:v>
                </c:pt>
                <c:pt idx="70">
                  <c:v>-1.6928000674166315</c:v>
                </c:pt>
                <c:pt idx="71">
                  <c:v>-1.5393183850403265</c:v>
                </c:pt>
                <c:pt idx="72">
                  <c:v>-1.3961375701691381</c:v>
                </c:pt>
                <c:pt idx="73">
                  <c:v>-1.020678183453005</c:v>
                </c:pt>
                <c:pt idx="74">
                  <c:v>-0.66972034910257339</c:v>
                </c:pt>
                <c:pt idx="75">
                  <c:v>-0.84051491475334839</c:v>
                </c:pt>
                <c:pt idx="76">
                  <c:v>-0.70926024062221593</c:v>
                </c:pt>
                <c:pt idx="77">
                  <c:v>-0.55899241754319995</c:v>
                </c:pt>
                <c:pt idx="78">
                  <c:v>-0.60922835912122597</c:v>
                </c:pt>
                <c:pt idx="79">
                  <c:v>-0.3208564227337094</c:v>
                </c:pt>
                <c:pt idx="80">
                  <c:v>-0.19861268332336834</c:v>
                </c:pt>
                <c:pt idx="81">
                  <c:v>-0.1833748395357695</c:v>
                </c:pt>
                <c:pt idx="82">
                  <c:v>6.1669664957013204E-2</c:v>
                </c:pt>
                <c:pt idx="83">
                  <c:v>0.26253346109053588</c:v>
                </c:pt>
                <c:pt idx="84">
                  <c:v>0.52912476636069261</c:v>
                </c:pt>
                <c:pt idx="85">
                  <c:v>0.71381129381006048</c:v>
                </c:pt>
                <c:pt idx="86">
                  <c:v>0.98687955058589072</c:v>
                </c:pt>
                <c:pt idx="87">
                  <c:v>0.92230086156388769</c:v>
                </c:pt>
                <c:pt idx="88">
                  <c:v>0.80444162256281793</c:v>
                </c:pt>
                <c:pt idx="89">
                  <c:v>0.66710227688316603</c:v>
                </c:pt>
                <c:pt idx="90">
                  <c:v>0.28866091608370237</c:v>
                </c:pt>
                <c:pt idx="91">
                  <c:v>-2.8382832820730286E-2</c:v>
                </c:pt>
                <c:pt idx="92">
                  <c:v>-0.36373626366983469</c:v>
                </c:pt>
                <c:pt idx="93">
                  <c:v>-0.63919253458777003</c:v>
                </c:pt>
                <c:pt idx="94">
                  <c:v>-0.75574576978390251</c:v>
                </c:pt>
                <c:pt idx="95">
                  <c:v>-0.57547181898330813</c:v>
                </c:pt>
                <c:pt idx="96">
                  <c:v>-0.5675719393944183</c:v>
                </c:pt>
                <c:pt idx="97">
                  <c:v>-0.22191884923029903</c:v>
                </c:pt>
                <c:pt idx="98">
                  <c:v>1.2965908185906372E-2</c:v>
                </c:pt>
                <c:pt idx="99">
                  <c:v>7.8063088805793157E-3</c:v>
                </c:pt>
                <c:pt idx="100">
                  <c:v>0.2045639207201706</c:v>
                </c:pt>
                <c:pt idx="101">
                  <c:v>-2.7345098915078303E-2</c:v>
                </c:pt>
                <c:pt idx="102">
                  <c:v>-9.8191397654838752E-2</c:v>
                </c:pt>
                <c:pt idx="103">
                  <c:v>-0.18450372164808027</c:v>
                </c:pt>
                <c:pt idx="104">
                  <c:v>-0.38095725315520834</c:v>
                </c:pt>
                <c:pt idx="105">
                  <c:v>-0.10782482058958021</c:v>
                </c:pt>
                <c:pt idx="106">
                  <c:v>-0.21474770304426372</c:v>
                </c:pt>
                <c:pt idx="107">
                  <c:v>0.1867732708265919</c:v>
                </c:pt>
                <c:pt idx="108">
                  <c:v>0.23708076020514302</c:v>
                </c:pt>
                <c:pt idx="109">
                  <c:v>-0.12186645452539491</c:v>
                </c:pt>
                <c:pt idx="110">
                  <c:v>-0.34735586448102307</c:v>
                </c:pt>
                <c:pt idx="111">
                  <c:v>-0.92788154263872524</c:v>
                </c:pt>
                <c:pt idx="112">
                  <c:v>-0.97321519139833423</c:v>
                </c:pt>
                <c:pt idx="113">
                  <c:v>-0.9370109004871674</c:v>
                </c:pt>
                <c:pt idx="114">
                  <c:v>-0.54226048999118426</c:v>
                </c:pt>
                <c:pt idx="115">
                  <c:v>-0.52757620659087046</c:v>
                </c:pt>
                <c:pt idx="116">
                  <c:v>-0.47464446761676271</c:v>
                </c:pt>
                <c:pt idx="117">
                  <c:v>-0.34321531095440871</c:v>
                </c:pt>
                <c:pt idx="118">
                  <c:v>-0.29110699818449604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A9-4AEE-9693-6E6CE207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45040"/>
        <c:axId val="1022634960"/>
      </c:scatterChart>
      <c:valAx>
        <c:axId val="102264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34960"/>
        <c:crosses val="autoZero"/>
        <c:crossBetween val="midCat"/>
      </c:valAx>
      <c:valAx>
        <c:axId val="1022634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50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Atlanta!$O$6:$O$124</c:f>
              <c:numCache>
                <c:formatCode>General</c:formatCode>
                <c:ptCount val="119"/>
                <c:pt idx="0">
                  <c:v>1.0104399701715139</c:v>
                </c:pt>
                <c:pt idx="1">
                  <c:v>1.0284857571214394</c:v>
                </c:pt>
                <c:pt idx="2">
                  <c:v>1.0351796407185629</c:v>
                </c:pt>
                <c:pt idx="3">
                  <c:v>1.0426008968609863</c:v>
                </c:pt>
                <c:pt idx="4">
                  <c:v>1.0044280442804427</c:v>
                </c:pt>
                <c:pt idx="5">
                  <c:v>0.96720116618075791</c:v>
                </c:pt>
                <c:pt idx="6">
                  <c:v>0.95444685466377432</c:v>
                </c:pt>
                <c:pt idx="7">
                  <c:v>0.94121863799283167</c:v>
                </c:pt>
                <c:pt idx="8">
                  <c:v>0.95297575312270399</c:v>
                </c:pt>
                <c:pt idx="9">
                  <c:v>0.96533534287867373</c:v>
                </c:pt>
                <c:pt idx="10">
                  <c:v>0.9772727272727274</c:v>
                </c:pt>
                <c:pt idx="11">
                  <c:v>0.98857578065498852</c:v>
                </c:pt>
                <c:pt idx="12">
                  <c:v>0.99614494988434843</c:v>
                </c:pt>
                <c:pt idx="13">
                  <c:v>1.0039032006245121</c:v>
                </c:pt>
                <c:pt idx="14">
                  <c:v>1.0054263565891473</c:v>
                </c:pt>
                <c:pt idx="15">
                  <c:v>1.0077041602465331</c:v>
                </c:pt>
                <c:pt idx="16">
                  <c:v>1.0007739938080495</c:v>
                </c:pt>
                <c:pt idx="17">
                  <c:v>0.99377916018662515</c:v>
                </c:pt>
                <c:pt idx="18">
                  <c:v>0.97378565921356974</c:v>
                </c:pt>
                <c:pt idx="19">
                  <c:v>0.95336391437308876</c:v>
                </c:pt>
                <c:pt idx="20">
                  <c:v>0.9721577726218098</c:v>
                </c:pt>
                <c:pt idx="21">
                  <c:v>0.99139280125195628</c:v>
                </c:pt>
                <c:pt idx="22">
                  <c:v>1.0530482977038795</c:v>
                </c:pt>
                <c:pt idx="23">
                  <c:v>1.119486768243785</c:v>
                </c:pt>
                <c:pt idx="24">
                  <c:v>1.0978520286396181</c:v>
                </c:pt>
                <c:pt idx="25">
                  <c:v>1.0765588003157065</c:v>
                </c:pt>
                <c:pt idx="26">
                  <c:v>1.0616541353383457</c:v>
                </c:pt>
                <c:pt idx="27">
                  <c:v>1.0472779369627505</c:v>
                </c:pt>
                <c:pt idx="28">
                  <c:v>1.0688405797101448</c:v>
                </c:pt>
                <c:pt idx="29">
                  <c:v>1.0916422287390029</c:v>
                </c:pt>
                <c:pt idx="30">
                  <c:v>1.0807365439093486</c:v>
                </c:pt>
                <c:pt idx="31">
                  <c:v>1.0704514363885089</c:v>
                </c:pt>
                <c:pt idx="32">
                  <c:v>1.0908474576271185</c:v>
                </c:pt>
                <c:pt idx="33">
                  <c:v>1.1114842175957018</c:v>
                </c:pt>
                <c:pt idx="34">
                  <c:v>1.1192660550458715</c:v>
                </c:pt>
                <c:pt idx="35">
                  <c:v>1.1271565495207667</c:v>
                </c:pt>
                <c:pt idx="36">
                  <c:v>1.0919825978868862</c:v>
                </c:pt>
                <c:pt idx="37">
                  <c:v>1.0574018126888216</c:v>
                </c:pt>
                <c:pt idx="38">
                  <c:v>1.0169789227166277</c:v>
                </c:pt>
                <c:pt idx="39">
                  <c:v>0.97789115646258495</c:v>
                </c:pt>
                <c:pt idx="40">
                  <c:v>1.0165054069436539</c:v>
                </c:pt>
                <c:pt idx="41">
                  <c:v>1.0565714285714285</c:v>
                </c:pt>
                <c:pt idx="42">
                  <c:v>1.0656303972366148</c:v>
                </c:pt>
                <c:pt idx="43">
                  <c:v>1.0742028985507246</c:v>
                </c:pt>
                <c:pt idx="44">
                  <c:v>1.0447928331466965</c:v>
                </c:pt>
                <c:pt idx="45">
                  <c:v>1.0162249864791779</c:v>
                </c:pt>
                <c:pt idx="46">
                  <c:v>0.99945975148568333</c:v>
                </c:pt>
                <c:pt idx="47">
                  <c:v>0.98273070696168374</c:v>
                </c:pt>
                <c:pt idx="48">
                  <c:v>1.0085744908896035</c:v>
                </c:pt>
                <c:pt idx="49">
                  <c:v>1.0345928685470995</c:v>
                </c:pt>
                <c:pt idx="50">
                  <c:v>1.0545945945945947</c:v>
                </c:pt>
                <c:pt idx="51">
                  <c:v>1.075233388248215</c:v>
                </c:pt>
                <c:pt idx="52">
                  <c:v>1.0345377258235919</c:v>
                </c:pt>
                <c:pt idx="53">
                  <c:v>0.99588477366255135</c:v>
                </c:pt>
                <c:pt idx="54">
                  <c:v>0.9882111737570477</c:v>
                </c:pt>
                <c:pt idx="55">
                  <c:v>0.98059244126659861</c:v>
                </c:pt>
                <c:pt idx="56">
                  <c:v>0.9743194658448896</c:v>
                </c:pt>
                <c:pt idx="57">
                  <c:v>0.96849173553719015</c:v>
                </c:pt>
                <c:pt idx="58">
                  <c:v>0.95383817427385886</c:v>
                </c:pt>
                <c:pt idx="59">
                  <c:v>0.93854166666666672</c:v>
                </c:pt>
                <c:pt idx="60">
                  <c:v>0.93726937269372701</c:v>
                </c:pt>
                <c:pt idx="61">
                  <c:v>0.93546666666666667</c:v>
                </c:pt>
                <c:pt idx="62">
                  <c:v>0.94616639477977149</c:v>
                </c:pt>
                <c:pt idx="63">
                  <c:v>0.95837957824639286</c:v>
                </c:pt>
                <c:pt idx="64">
                  <c:v>0.97637795275590544</c:v>
                </c:pt>
                <c:pt idx="65">
                  <c:v>0.98175598631698968</c:v>
                </c:pt>
                <c:pt idx="66">
                  <c:v>0.9948275862068966</c:v>
                </c:pt>
                <c:pt idx="67">
                  <c:v>1.0081065431383902</c:v>
                </c:pt>
                <c:pt idx="68">
                  <c:v>1.0149769585253456</c:v>
                </c:pt>
                <c:pt idx="69">
                  <c:v>1.0278745644599303</c:v>
                </c:pt>
                <c:pt idx="70">
                  <c:v>1.0288850375505487</c:v>
                </c:pt>
                <c:pt idx="71">
                  <c:v>1.0304422745548536</c:v>
                </c:pt>
                <c:pt idx="72">
                  <c:v>1.018161180476731</c:v>
                </c:pt>
                <c:pt idx="73">
                  <c:v>1.0056497175141244</c:v>
                </c:pt>
                <c:pt idx="74">
                  <c:v>0.9915777653003931</c:v>
                </c:pt>
                <c:pt idx="75">
                  <c:v>0.97826086956521741</c:v>
                </c:pt>
                <c:pt idx="76">
                  <c:v>0.99442586399108135</c:v>
                </c:pt>
                <c:pt idx="77">
                  <c:v>0.99719101123595499</c:v>
                </c:pt>
                <c:pt idx="78">
                  <c:v>1.0147225368063422</c:v>
                </c:pt>
                <c:pt idx="79">
                  <c:v>1.0301994301994302</c:v>
                </c:pt>
                <c:pt idx="80">
                  <c:v>1.0263452914798206</c:v>
                </c:pt>
                <c:pt idx="81">
                  <c:v>1.0428169014084507</c:v>
                </c:pt>
                <c:pt idx="82">
                  <c:v>1.0463169642857142</c:v>
                </c:pt>
                <c:pt idx="83">
                  <c:v>1.0425884955752214</c:v>
                </c:pt>
                <c:pt idx="84">
                  <c:v>1.0240305843801203</c:v>
                </c:pt>
                <c:pt idx="85">
                  <c:v>0.97028633171258771</c:v>
                </c:pt>
                <c:pt idx="86">
                  <c:v>0.97226666666666672</c:v>
                </c:pt>
                <c:pt idx="87">
                  <c:v>0.96127320954907158</c:v>
                </c:pt>
                <c:pt idx="88">
                  <c:v>0.94933333333333336</c:v>
                </c:pt>
                <c:pt idx="89">
                  <c:v>0.97717149220489974</c:v>
                </c:pt>
                <c:pt idx="90">
                  <c:v>0.95063082830499168</c:v>
                </c:pt>
                <c:pt idx="91">
                  <c:v>0.94977924944812364</c:v>
                </c:pt>
                <c:pt idx="92">
                  <c:v>0.9691011235955056</c:v>
                </c:pt>
                <c:pt idx="93">
                  <c:v>0.98176638176638176</c:v>
                </c:pt>
                <c:pt idx="94">
                  <c:v>0.99134448932487029</c:v>
                </c:pt>
                <c:pt idx="95">
                  <c:v>1.0005810575246947</c:v>
                </c:pt>
                <c:pt idx="96">
                  <c:v>0.97739130434782606</c:v>
                </c:pt>
                <c:pt idx="97">
                  <c:v>1.0237957051654092</c:v>
                </c:pt>
                <c:pt idx="98">
                  <c:v>0.98253783469150169</c:v>
                </c:pt>
                <c:pt idx="99">
                  <c:v>0.94192799070847855</c:v>
                </c:pt>
                <c:pt idx="100">
                  <c:v>0.97212336892052198</c:v>
                </c:pt>
                <c:pt idx="101">
                  <c:v>0.93367346938775497</c:v>
                </c:pt>
                <c:pt idx="102">
                  <c:v>0.98755924170616127</c:v>
                </c:pt>
                <c:pt idx="103">
                  <c:v>1.0388409371146734</c:v>
                </c:pt>
                <c:pt idx="104">
                  <c:v>1.0390482001220256</c:v>
                </c:pt>
                <c:pt idx="105">
                  <c:v>1.0862173649058897</c:v>
                </c:pt>
                <c:pt idx="106">
                  <c:v>1.0641871625674864</c:v>
                </c:pt>
                <c:pt idx="107">
                  <c:v>1.083679525222552</c:v>
                </c:pt>
                <c:pt idx="108">
                  <c:v>1.1080446271285966</c:v>
                </c:pt>
                <c:pt idx="109">
                  <c:v>1.0620458356623812</c:v>
                </c:pt>
                <c:pt idx="110">
                  <c:v>1.0952649379932358</c:v>
                </c:pt>
                <c:pt idx="111">
                  <c:v>1.0706462212486307</c:v>
                </c:pt>
                <c:pt idx="112">
                  <c:v>1.0461049284578694</c:v>
                </c:pt>
                <c:pt idx="113">
                  <c:v>1.0531578947368423</c:v>
                </c:pt>
                <c:pt idx="114">
                  <c:v>1.0468347915594443</c:v>
                </c:pt>
                <c:pt idx="115">
                  <c:v>1.0516624040920715</c:v>
                </c:pt>
                <c:pt idx="116">
                  <c:v>1.0612968591691996</c:v>
                </c:pt>
                <c:pt idx="117">
                  <c:v>1.0534732633683157</c:v>
                </c:pt>
                <c:pt idx="118">
                  <c:v>1.0452310717797444</c:v>
                </c:pt>
              </c:numCache>
            </c:numRef>
          </c:xVal>
          <c:yVal>
            <c:numRef>
              <c:f>'Model 1 ATL'!$C$27:$C$145</c:f>
              <c:numCache>
                <c:formatCode>General</c:formatCode>
                <c:ptCount val="119"/>
                <c:pt idx="0">
                  <c:v>-0.91446518597921145</c:v>
                </c:pt>
                <c:pt idx="1">
                  <c:v>-0.77832711622109496</c:v>
                </c:pt>
                <c:pt idx="2">
                  <c:v>0.50293525378865844</c:v>
                </c:pt>
                <c:pt idx="3">
                  <c:v>0.72438012323743539</c:v>
                </c:pt>
                <c:pt idx="4">
                  <c:v>0.7262081375104863</c:v>
                </c:pt>
                <c:pt idx="5">
                  <c:v>0.90195565986910253</c:v>
                </c:pt>
                <c:pt idx="6">
                  <c:v>-0.23218720257826497</c:v>
                </c:pt>
                <c:pt idx="7">
                  <c:v>-0.60050983257255819</c:v>
                </c:pt>
                <c:pt idx="8">
                  <c:v>-1.0704903385193028</c:v>
                </c:pt>
                <c:pt idx="9">
                  <c:v>-2.026687422066634</c:v>
                </c:pt>
                <c:pt idx="10">
                  <c:v>-1.9760946145720943</c:v>
                </c:pt>
                <c:pt idx="11">
                  <c:v>-2.358849672817505</c:v>
                </c:pt>
                <c:pt idx="12">
                  <c:v>-2.5040241197044555</c:v>
                </c:pt>
                <c:pt idx="13">
                  <c:v>-1.8445407206794711</c:v>
                </c:pt>
                <c:pt idx="14">
                  <c:v>-1.1739796026536871</c:v>
                </c:pt>
                <c:pt idx="15">
                  <c:v>-0.10338306907246242</c:v>
                </c:pt>
                <c:pt idx="16">
                  <c:v>0.78550526349123917</c:v>
                </c:pt>
                <c:pt idx="17">
                  <c:v>0.88975654524708503</c:v>
                </c:pt>
                <c:pt idx="18">
                  <c:v>0.82255817960695854</c:v>
                </c:pt>
                <c:pt idx="19">
                  <c:v>0.96180981790256403</c:v>
                </c:pt>
                <c:pt idx="20">
                  <c:v>0.92975958658640767</c:v>
                </c:pt>
                <c:pt idx="21">
                  <c:v>1.3096191339416841</c:v>
                </c:pt>
                <c:pt idx="22">
                  <c:v>1.5470820211023613</c:v>
                </c:pt>
                <c:pt idx="23">
                  <c:v>1.3728842158383765</c:v>
                </c:pt>
                <c:pt idx="24">
                  <c:v>1.5975081905858204</c:v>
                </c:pt>
                <c:pt idx="25">
                  <c:v>0.98094653058839043</c:v>
                </c:pt>
                <c:pt idx="26">
                  <c:v>1.0521100448621805</c:v>
                </c:pt>
                <c:pt idx="27">
                  <c:v>1.0206721369308696</c:v>
                </c:pt>
                <c:pt idx="28">
                  <c:v>0.83178430730270669</c:v>
                </c:pt>
                <c:pt idx="29">
                  <c:v>1.550580865616995</c:v>
                </c:pt>
                <c:pt idx="30">
                  <c:v>1.2664119972600094</c:v>
                </c:pt>
                <c:pt idx="31">
                  <c:v>0.87459802715691204</c:v>
                </c:pt>
                <c:pt idx="32">
                  <c:v>-8.1382797302405052E-2</c:v>
                </c:pt>
                <c:pt idx="33">
                  <c:v>-1.1053326269580728</c:v>
                </c:pt>
                <c:pt idx="34">
                  <c:v>-1.4422062053350357</c:v>
                </c:pt>
                <c:pt idx="35">
                  <c:v>-1.6301026114553263</c:v>
                </c:pt>
                <c:pt idx="36">
                  <c:v>-0.66754212538872704</c:v>
                </c:pt>
                <c:pt idx="37">
                  <c:v>0.11366039218350288</c:v>
                </c:pt>
                <c:pt idx="38">
                  <c:v>0.84013787344935231</c:v>
                </c:pt>
                <c:pt idx="39">
                  <c:v>1.5833423286060597</c:v>
                </c:pt>
                <c:pt idx="40">
                  <c:v>1.6667008880715475</c:v>
                </c:pt>
                <c:pt idx="41">
                  <c:v>1.4712386377172688</c:v>
                </c:pt>
                <c:pt idx="42">
                  <c:v>0.79884062360226782</c:v>
                </c:pt>
                <c:pt idx="43">
                  <c:v>0.37039593527162396</c:v>
                </c:pt>
                <c:pt idx="44">
                  <c:v>-0.13149586751371167</c:v>
                </c:pt>
                <c:pt idx="45">
                  <c:v>-0.69595497320141231</c:v>
                </c:pt>
                <c:pt idx="46">
                  <c:v>-0.75277941629807188</c:v>
                </c:pt>
                <c:pt idx="47">
                  <c:v>-1.1059443933579596</c:v>
                </c:pt>
                <c:pt idx="48">
                  <c:v>-1.0512515545126613</c:v>
                </c:pt>
                <c:pt idx="49">
                  <c:v>-0.13485927218406157</c:v>
                </c:pt>
                <c:pt idx="50">
                  <c:v>0.47833999204585087</c:v>
                </c:pt>
                <c:pt idx="51">
                  <c:v>1.323980838180848</c:v>
                </c:pt>
                <c:pt idx="52">
                  <c:v>1.6854905573824235</c:v>
                </c:pt>
                <c:pt idx="53">
                  <c:v>1.3002743346702434</c:v>
                </c:pt>
                <c:pt idx="54">
                  <c:v>1.4152420731570148</c:v>
                </c:pt>
                <c:pt idx="55">
                  <c:v>1.1744217911064538</c:v>
                </c:pt>
                <c:pt idx="56">
                  <c:v>1.036870154190801</c:v>
                </c:pt>
                <c:pt idx="57">
                  <c:v>1.0009158724549145</c:v>
                </c:pt>
                <c:pt idx="58">
                  <c:v>0.79795881827819493</c:v>
                </c:pt>
                <c:pt idx="59">
                  <c:v>0.7067001851187058</c:v>
                </c:pt>
                <c:pt idx="60">
                  <c:v>0.51583877144685353</c:v>
                </c:pt>
                <c:pt idx="61">
                  <c:v>0.40323837637316196</c:v>
                </c:pt>
                <c:pt idx="62">
                  <c:v>0.12497578076917826</c:v>
                </c:pt>
                <c:pt idx="63">
                  <c:v>1.0037798152863431E-2</c:v>
                </c:pt>
                <c:pt idx="64">
                  <c:v>0.1107927400874793</c:v>
                </c:pt>
                <c:pt idx="65">
                  <c:v>0.28122826193681405</c:v>
                </c:pt>
                <c:pt idx="66">
                  <c:v>0.1340240070194767</c:v>
                </c:pt>
                <c:pt idx="67">
                  <c:v>-7.801010419461285E-2</c:v>
                </c:pt>
                <c:pt idx="68">
                  <c:v>-0.58070510007444831</c:v>
                </c:pt>
                <c:pt idx="69">
                  <c:v>-1.4471038440420632</c:v>
                </c:pt>
                <c:pt idx="70">
                  <c:v>-1.6928000674166315</c:v>
                </c:pt>
                <c:pt idx="71">
                  <c:v>-1.5393183850403265</c:v>
                </c:pt>
                <c:pt idx="72">
                  <c:v>-1.3961375701691381</c:v>
                </c:pt>
                <c:pt idx="73">
                  <c:v>-1.020678183453005</c:v>
                </c:pt>
                <c:pt idx="74">
                  <c:v>-0.66972034910257339</c:v>
                </c:pt>
                <c:pt idx="75">
                  <c:v>-0.84051491475334839</c:v>
                </c:pt>
                <c:pt idx="76">
                  <c:v>-0.70926024062221593</c:v>
                </c:pt>
                <c:pt idx="77">
                  <c:v>-0.55899241754319995</c:v>
                </c:pt>
                <c:pt idx="78">
                  <c:v>-0.60922835912122597</c:v>
                </c:pt>
                <c:pt idx="79">
                  <c:v>-0.3208564227337094</c:v>
                </c:pt>
                <c:pt idx="80">
                  <c:v>-0.19861268332336834</c:v>
                </c:pt>
                <c:pt idx="81">
                  <c:v>-0.1833748395357695</c:v>
                </c:pt>
                <c:pt idx="82">
                  <c:v>6.1669664957013204E-2</c:v>
                </c:pt>
                <c:pt idx="83">
                  <c:v>0.26253346109053588</c:v>
                </c:pt>
                <c:pt idx="84">
                  <c:v>0.52912476636069261</c:v>
                </c:pt>
                <c:pt idx="85">
                  <c:v>0.71381129381006048</c:v>
                </c:pt>
                <c:pt idx="86">
                  <c:v>0.98687955058589072</c:v>
                </c:pt>
                <c:pt idx="87">
                  <c:v>0.92230086156388769</c:v>
                </c:pt>
                <c:pt idx="88">
                  <c:v>0.80444162256281793</c:v>
                </c:pt>
                <c:pt idx="89">
                  <c:v>0.66710227688316603</c:v>
                </c:pt>
                <c:pt idx="90">
                  <c:v>0.28866091608370237</c:v>
                </c:pt>
                <c:pt idx="91">
                  <c:v>-2.8382832820730286E-2</c:v>
                </c:pt>
                <c:pt idx="92">
                  <c:v>-0.36373626366983469</c:v>
                </c:pt>
                <c:pt idx="93">
                  <c:v>-0.63919253458777003</c:v>
                </c:pt>
                <c:pt idx="94">
                  <c:v>-0.75574576978390251</c:v>
                </c:pt>
                <c:pt idx="95">
                  <c:v>-0.57547181898330813</c:v>
                </c:pt>
                <c:pt idx="96">
                  <c:v>-0.5675719393944183</c:v>
                </c:pt>
                <c:pt idx="97">
                  <c:v>-0.22191884923029903</c:v>
                </c:pt>
                <c:pt idx="98">
                  <c:v>1.2965908185906372E-2</c:v>
                </c:pt>
                <c:pt idx="99">
                  <c:v>7.8063088805793157E-3</c:v>
                </c:pt>
                <c:pt idx="100">
                  <c:v>0.2045639207201706</c:v>
                </c:pt>
                <c:pt idx="101">
                  <c:v>-2.7345098915078303E-2</c:v>
                </c:pt>
                <c:pt idx="102">
                  <c:v>-9.8191397654838752E-2</c:v>
                </c:pt>
                <c:pt idx="103">
                  <c:v>-0.18450372164808027</c:v>
                </c:pt>
                <c:pt idx="104">
                  <c:v>-0.38095725315520834</c:v>
                </c:pt>
                <c:pt idx="105">
                  <c:v>-0.10782482058958021</c:v>
                </c:pt>
                <c:pt idx="106">
                  <c:v>-0.21474770304426372</c:v>
                </c:pt>
                <c:pt idx="107">
                  <c:v>0.1867732708265919</c:v>
                </c:pt>
                <c:pt idx="108">
                  <c:v>0.23708076020514302</c:v>
                </c:pt>
                <c:pt idx="109">
                  <c:v>-0.12186645452539491</c:v>
                </c:pt>
                <c:pt idx="110">
                  <c:v>-0.34735586448102307</c:v>
                </c:pt>
                <c:pt idx="111">
                  <c:v>-0.92788154263872524</c:v>
                </c:pt>
                <c:pt idx="112">
                  <c:v>-0.97321519139833423</c:v>
                </c:pt>
                <c:pt idx="113">
                  <c:v>-0.9370109004871674</c:v>
                </c:pt>
                <c:pt idx="114">
                  <c:v>-0.54226048999118426</c:v>
                </c:pt>
                <c:pt idx="115">
                  <c:v>-0.52757620659087046</c:v>
                </c:pt>
                <c:pt idx="116">
                  <c:v>-0.47464446761676271</c:v>
                </c:pt>
                <c:pt idx="117">
                  <c:v>-0.34321531095440871</c:v>
                </c:pt>
                <c:pt idx="118">
                  <c:v>-0.29110699818449604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FD-4474-94A8-41BFE3B91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42640"/>
        <c:axId val="1022645040"/>
      </c:scatterChart>
      <c:valAx>
        <c:axId val="102264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5040"/>
        <c:crosses val="autoZero"/>
        <c:crossBetween val="midCat"/>
      </c:valAx>
      <c:valAx>
        <c:axId val="1022645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2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Atlanta!$M$6:$M$124</c:f>
              <c:numCache>
                <c:formatCode>General</c:formatCode>
                <c:ptCount val="119"/>
                <c:pt idx="0">
                  <c:v>7.2896830000000001</c:v>
                </c:pt>
                <c:pt idx="1">
                  <c:v>7.2487120000000003</c:v>
                </c:pt>
                <c:pt idx="2">
                  <c:v>6.6185099999999997</c:v>
                </c:pt>
                <c:pt idx="3">
                  <c:v>6.5050850000000002</c:v>
                </c:pt>
                <c:pt idx="4">
                  <c:v>6.5675420000000004</c:v>
                </c:pt>
                <c:pt idx="5">
                  <c:v>6.6774709999999997</c:v>
                </c:pt>
                <c:pt idx="6">
                  <c:v>7.5098440000000002</c:v>
                </c:pt>
                <c:pt idx="7">
                  <c:v>7.6250619999999998</c:v>
                </c:pt>
                <c:pt idx="8">
                  <c:v>7.7636000000000003</c:v>
                </c:pt>
                <c:pt idx="9">
                  <c:v>8.0551340000000007</c:v>
                </c:pt>
                <c:pt idx="10">
                  <c:v>7.4915209999999997</c:v>
                </c:pt>
                <c:pt idx="11">
                  <c:v>7.2158340000000001</c:v>
                </c:pt>
                <c:pt idx="12">
                  <c:v>6.8610720000000001</c:v>
                </c:pt>
                <c:pt idx="13">
                  <c:v>6.10832</c:v>
                </c:pt>
                <c:pt idx="14">
                  <c:v>5.7353310000000004</c:v>
                </c:pt>
                <c:pt idx="15">
                  <c:v>5.1118249999999996</c:v>
                </c:pt>
                <c:pt idx="16">
                  <c:v>4.6699780000000004</c:v>
                </c:pt>
                <c:pt idx="17">
                  <c:v>4.7843340000000003</c:v>
                </c:pt>
                <c:pt idx="18">
                  <c:v>5.1722869999999999</c:v>
                </c:pt>
                <c:pt idx="19">
                  <c:v>5.7476349999999998</c:v>
                </c:pt>
                <c:pt idx="20">
                  <c:v>6.3311640000000002</c:v>
                </c:pt>
                <c:pt idx="21">
                  <c:v>6.5356920000000001</c:v>
                </c:pt>
                <c:pt idx="22">
                  <c:v>6.727271</c:v>
                </c:pt>
                <c:pt idx="23">
                  <c:v>7.3258549999999998</c:v>
                </c:pt>
                <c:pt idx="24">
                  <c:v>7.6387700000000001</c:v>
                </c:pt>
                <c:pt idx="25">
                  <c:v>8.1077779999999997</c:v>
                </c:pt>
                <c:pt idx="26">
                  <c:v>8.3363119999999995</c:v>
                </c:pt>
                <c:pt idx="27">
                  <c:v>8.4628669999999993</c:v>
                </c:pt>
                <c:pt idx="28">
                  <c:v>8.988016</c:v>
                </c:pt>
                <c:pt idx="29">
                  <c:v>8.8221810000000005</c:v>
                </c:pt>
                <c:pt idx="30">
                  <c:v>9.1030289999999994</c:v>
                </c:pt>
                <c:pt idx="31">
                  <c:v>9.227665</c:v>
                </c:pt>
                <c:pt idx="32">
                  <c:v>9.3454280000000001</c:v>
                </c:pt>
                <c:pt idx="33">
                  <c:v>9.8368640000000003</c:v>
                </c:pt>
                <c:pt idx="34">
                  <c:v>9.7539689999999997</c:v>
                </c:pt>
                <c:pt idx="35">
                  <c:v>9.4386460000000003</c:v>
                </c:pt>
                <c:pt idx="36">
                  <c:v>8.528708</c:v>
                </c:pt>
                <c:pt idx="37">
                  <c:v>7.8766679999999996</c:v>
                </c:pt>
                <c:pt idx="38">
                  <c:v>7.4703039999999996</c:v>
                </c:pt>
                <c:pt idx="39">
                  <c:v>7.010389</c:v>
                </c:pt>
                <c:pt idx="40">
                  <c:v>7.4058780000000004</c:v>
                </c:pt>
                <c:pt idx="41">
                  <c:v>7.79718</c:v>
                </c:pt>
                <c:pt idx="42">
                  <c:v>8.2763039999999997</c:v>
                </c:pt>
                <c:pt idx="43">
                  <c:v>8.7404379999999993</c:v>
                </c:pt>
                <c:pt idx="44">
                  <c:v>9.0089640000000006</c:v>
                </c:pt>
                <c:pt idx="45">
                  <c:v>9.0166649999999997</c:v>
                </c:pt>
                <c:pt idx="46">
                  <c:v>8.6404619999999994</c:v>
                </c:pt>
                <c:pt idx="47">
                  <c:v>8.4864680000000003</c:v>
                </c:pt>
                <c:pt idx="48">
                  <c:v>8.2581050000000005</c:v>
                </c:pt>
                <c:pt idx="49">
                  <c:v>7.7942600000000004</c:v>
                </c:pt>
                <c:pt idx="50">
                  <c:v>7.5262399999999996</c:v>
                </c:pt>
                <c:pt idx="51">
                  <c:v>7.1146310000000001</c:v>
                </c:pt>
                <c:pt idx="52">
                  <c:v>6.9809279999999996</c:v>
                </c:pt>
                <c:pt idx="53">
                  <c:v>7.4948430000000004</c:v>
                </c:pt>
                <c:pt idx="54">
                  <c:v>7.8561500000000004</c:v>
                </c:pt>
                <c:pt idx="55">
                  <c:v>8.3442589999999992</c:v>
                </c:pt>
                <c:pt idx="56">
                  <c:v>8.6486289999999997</c:v>
                </c:pt>
                <c:pt idx="57">
                  <c:v>8.7219809999999995</c:v>
                </c:pt>
                <c:pt idx="58">
                  <c:v>9.0888290000000005</c:v>
                </c:pt>
                <c:pt idx="59">
                  <c:v>9.1939080000000004</c:v>
                </c:pt>
                <c:pt idx="60">
                  <c:v>9.3096150000000009</c:v>
                </c:pt>
                <c:pt idx="61">
                  <c:v>9.3392440000000008</c:v>
                </c:pt>
                <c:pt idx="62">
                  <c:v>9.3640419999999995</c:v>
                </c:pt>
                <c:pt idx="63">
                  <c:v>9.3571010000000001</c:v>
                </c:pt>
                <c:pt idx="64">
                  <c:v>9.2450089999999996</c:v>
                </c:pt>
                <c:pt idx="65">
                  <c:v>9.1346120000000006</c:v>
                </c:pt>
                <c:pt idx="66">
                  <c:v>8.8990650000000002</c:v>
                </c:pt>
                <c:pt idx="67">
                  <c:v>8.7601139999999997</c:v>
                </c:pt>
                <c:pt idx="68">
                  <c:v>8.725733</c:v>
                </c:pt>
                <c:pt idx="69">
                  <c:v>8.8509539999999998</c:v>
                </c:pt>
                <c:pt idx="70">
                  <c:v>8.4882729999999995</c:v>
                </c:pt>
                <c:pt idx="71">
                  <c:v>8.1421349999999997</c:v>
                </c:pt>
                <c:pt idx="72">
                  <c:v>7.6113</c:v>
                </c:pt>
                <c:pt idx="73">
                  <c:v>6.7988619999999997</c:v>
                </c:pt>
                <c:pt idx="74">
                  <c:v>6.2962809999999996</c:v>
                </c:pt>
                <c:pt idx="75">
                  <c:v>6.2198659999999997</c:v>
                </c:pt>
                <c:pt idx="76">
                  <c:v>6.0138350000000003</c:v>
                </c:pt>
                <c:pt idx="77">
                  <c:v>5.8697340000000002</c:v>
                </c:pt>
                <c:pt idx="78">
                  <c:v>5.875019</c:v>
                </c:pt>
                <c:pt idx="79">
                  <c:v>5.6554010000000003</c:v>
                </c:pt>
                <c:pt idx="80">
                  <c:v>5.6121230000000004</c:v>
                </c:pt>
                <c:pt idx="81">
                  <c:v>5.6666319999999999</c:v>
                </c:pt>
                <c:pt idx="82">
                  <c:v>5.5785780000000003</c:v>
                </c:pt>
                <c:pt idx="83">
                  <c:v>5.6450680000000002</c:v>
                </c:pt>
                <c:pt idx="84">
                  <c:v>5.6987199999999998</c:v>
                </c:pt>
                <c:pt idx="85">
                  <c:v>5.7376079999999998</c:v>
                </c:pt>
                <c:pt idx="86">
                  <c:v>5.9115799999999998</c:v>
                </c:pt>
                <c:pt idx="87">
                  <c:v>6.1200989999999997</c:v>
                </c:pt>
                <c:pt idx="88">
                  <c:v>6.4231990000000003</c:v>
                </c:pt>
                <c:pt idx="89">
                  <c:v>6.7822449999999996</c:v>
                </c:pt>
                <c:pt idx="90">
                  <c:v>7.1906080000000001</c:v>
                </c:pt>
                <c:pt idx="91">
                  <c:v>7.2920449999999999</c:v>
                </c:pt>
                <c:pt idx="92">
                  <c:v>7.4326400000000001</c:v>
                </c:pt>
                <c:pt idx="93">
                  <c:v>7.48177</c:v>
                </c:pt>
                <c:pt idx="94">
                  <c:v>7.3929070000000001</c:v>
                </c:pt>
                <c:pt idx="95">
                  <c:v>7.1570119999999999</c:v>
                </c:pt>
                <c:pt idx="96">
                  <c:v>6.9285410000000001</c:v>
                </c:pt>
                <c:pt idx="97">
                  <c:v>6.6448010000000002</c:v>
                </c:pt>
                <c:pt idx="98">
                  <c:v>6.3874709999999997</c:v>
                </c:pt>
                <c:pt idx="99">
                  <c:v>6.3539770000000004</c:v>
                </c:pt>
                <c:pt idx="100">
                  <c:v>6.242451</c:v>
                </c:pt>
                <c:pt idx="101">
                  <c:v>6.2805350000000004</c:v>
                </c:pt>
                <c:pt idx="102">
                  <c:v>6.3966130000000003</c:v>
                </c:pt>
                <c:pt idx="103">
                  <c:v>6.4501140000000001</c:v>
                </c:pt>
                <c:pt idx="104">
                  <c:v>6.5276870000000002</c:v>
                </c:pt>
                <c:pt idx="105">
                  <c:v>6.3991740000000004</c:v>
                </c:pt>
                <c:pt idx="106">
                  <c:v>6.3621619999999997</c:v>
                </c:pt>
                <c:pt idx="107">
                  <c:v>6.21882</c:v>
                </c:pt>
                <c:pt idx="108">
                  <c:v>6.0789960000000001</c:v>
                </c:pt>
                <c:pt idx="109">
                  <c:v>6.1592529999999996</c:v>
                </c:pt>
                <c:pt idx="110">
                  <c:v>6.0589219999999999</c:v>
                </c:pt>
                <c:pt idx="111">
                  <c:v>6.3039810000000003</c:v>
                </c:pt>
                <c:pt idx="112">
                  <c:v>6.1847640000000004</c:v>
                </c:pt>
                <c:pt idx="113">
                  <c:v>5.985792</c:v>
                </c:pt>
                <c:pt idx="114">
                  <c:v>5.6294659999999999</c:v>
                </c:pt>
                <c:pt idx="115">
                  <c:v>5.2687119999999998</c:v>
                </c:pt>
                <c:pt idx="116">
                  <c:v>5.1644329999999998</c:v>
                </c:pt>
                <c:pt idx="117">
                  <c:v>5.0326639999999996</c:v>
                </c:pt>
                <c:pt idx="118">
                  <c:v>5.1709490000000002</c:v>
                </c:pt>
              </c:numCache>
            </c:numRef>
          </c:xVal>
          <c:yVal>
            <c:numRef>
              <c:f>'Model 2 ATL'!$C$28:$C$146</c:f>
              <c:numCache>
                <c:formatCode>General</c:formatCode>
                <c:ptCount val="119"/>
                <c:pt idx="0">
                  <c:v>-0.97010736282026055</c:v>
                </c:pt>
                <c:pt idx="1">
                  <c:v>-0.89781806971952438</c:v>
                </c:pt>
                <c:pt idx="2">
                  <c:v>0.40811519042903566</c:v>
                </c:pt>
                <c:pt idx="3">
                  <c:v>0.73000605995314061</c:v>
                </c:pt>
                <c:pt idx="4">
                  <c:v>0.798667996539141</c:v>
                </c:pt>
                <c:pt idx="5">
                  <c:v>1.2194020385862441</c:v>
                </c:pt>
                <c:pt idx="6">
                  <c:v>1.8683755412738812E-2</c:v>
                </c:pt>
                <c:pt idx="7">
                  <c:v>-0.3589276288748886</c:v>
                </c:pt>
                <c:pt idx="8">
                  <c:v>-0.64972283485539606</c:v>
                </c:pt>
                <c:pt idx="9">
                  <c:v>-1.9010076299442451</c:v>
                </c:pt>
                <c:pt idx="10">
                  <c:v>-1.4451249693508874</c:v>
                </c:pt>
                <c:pt idx="11">
                  <c:v>-1.4708290741850938</c:v>
                </c:pt>
                <c:pt idx="12">
                  <c:v>-1.9756124103095161</c:v>
                </c:pt>
                <c:pt idx="13">
                  <c:v>-1.5190346976626694</c:v>
                </c:pt>
                <c:pt idx="14">
                  <c:v>-1.2429680933367537</c:v>
                </c:pt>
                <c:pt idx="15">
                  <c:v>-0.4508155403644194</c:v>
                </c:pt>
                <c:pt idx="16">
                  <c:v>0.39488128834686531</c:v>
                </c:pt>
                <c:pt idx="17">
                  <c:v>0.55724725108706519</c:v>
                </c:pt>
                <c:pt idx="18">
                  <c:v>0.61327251484182277</c:v>
                </c:pt>
                <c:pt idx="19">
                  <c:v>0.7428238207845963</c:v>
                </c:pt>
                <c:pt idx="20">
                  <c:v>0.85578688830610528</c:v>
                </c:pt>
                <c:pt idx="21">
                  <c:v>1.29138342602403</c:v>
                </c:pt>
                <c:pt idx="22">
                  <c:v>1.5423828506341764</c:v>
                </c:pt>
                <c:pt idx="23">
                  <c:v>1.440676014647412</c:v>
                </c:pt>
                <c:pt idx="24">
                  <c:v>1.4678321443057936</c:v>
                </c:pt>
                <c:pt idx="25">
                  <c:v>0.59525157705790832</c:v>
                </c:pt>
                <c:pt idx="26">
                  <c:v>0.81124260042204099</c:v>
                </c:pt>
                <c:pt idx="27">
                  <c:v>0.57009925031100117</c:v>
                </c:pt>
                <c:pt idx="28">
                  <c:v>0.5850677714291681</c:v>
                </c:pt>
                <c:pt idx="29">
                  <c:v>1.5881645508605917</c:v>
                </c:pt>
                <c:pt idx="30">
                  <c:v>1.1664170954552251</c:v>
                </c:pt>
                <c:pt idx="31">
                  <c:v>0.82723099545082768</c:v>
                </c:pt>
                <c:pt idx="32">
                  <c:v>-3.8063363727163235E-2</c:v>
                </c:pt>
                <c:pt idx="33">
                  <c:v>-1.1502425950171071</c:v>
                </c:pt>
                <c:pt idx="34">
                  <c:v>-1.4608073413392679</c:v>
                </c:pt>
                <c:pt idx="35">
                  <c:v>-1.4338766507352894</c:v>
                </c:pt>
                <c:pt idx="36">
                  <c:v>-0.69474015192548766</c:v>
                </c:pt>
                <c:pt idx="37">
                  <c:v>-0.26468524490221501</c:v>
                </c:pt>
                <c:pt idx="38">
                  <c:v>0.45369631143569578</c:v>
                </c:pt>
                <c:pt idx="39">
                  <c:v>1.0590844507595794</c:v>
                </c:pt>
                <c:pt idx="40">
                  <c:v>1.082604515054145</c:v>
                </c:pt>
                <c:pt idx="41">
                  <c:v>0.98581405290459756</c:v>
                </c:pt>
                <c:pt idx="42">
                  <c:v>0.41111628663489341</c:v>
                </c:pt>
                <c:pt idx="43">
                  <c:v>7.2975740919195786E-2</c:v>
                </c:pt>
                <c:pt idx="44">
                  <c:v>-0.44818442840893624</c:v>
                </c:pt>
                <c:pt idx="45">
                  <c:v>-0.96335544664425843</c:v>
                </c:pt>
                <c:pt idx="46">
                  <c:v>-1.0124687766735381</c:v>
                </c:pt>
                <c:pt idx="47">
                  <c:v>-1.3210934592631132</c:v>
                </c:pt>
                <c:pt idx="48">
                  <c:v>-1.0328911123828481</c:v>
                </c:pt>
                <c:pt idx="49">
                  <c:v>-3.3439278980270437E-2</c:v>
                </c:pt>
                <c:pt idx="50">
                  <c:v>0.72163739216621625</c:v>
                </c:pt>
                <c:pt idx="51">
                  <c:v>1.6261550361541577</c:v>
                </c:pt>
                <c:pt idx="52">
                  <c:v>2.0170279642066546</c:v>
                </c:pt>
                <c:pt idx="53">
                  <c:v>1.5242854962092309</c:v>
                </c:pt>
                <c:pt idx="54">
                  <c:v>1.4189119926271552</c:v>
                </c:pt>
                <c:pt idx="55">
                  <c:v>0.887153485051968</c:v>
                </c:pt>
                <c:pt idx="56">
                  <c:v>0.42414514831487793</c:v>
                </c:pt>
                <c:pt idx="57">
                  <c:v>0.41456297661401464</c:v>
                </c:pt>
                <c:pt idx="58">
                  <c:v>0.4622702128627072</c:v>
                </c:pt>
                <c:pt idx="59">
                  <c:v>0.68825744281997459</c:v>
                </c:pt>
                <c:pt idx="60">
                  <c:v>0.8176165237282369</c:v>
                </c:pt>
                <c:pt idx="61">
                  <c:v>0.34989399204706118</c:v>
                </c:pt>
                <c:pt idx="62">
                  <c:v>6.4779003358339082E-2</c:v>
                </c:pt>
                <c:pt idx="63">
                  <c:v>-0.13681533149734726</c:v>
                </c:pt>
                <c:pt idx="64">
                  <c:v>-4.6493674203039959E-2</c:v>
                </c:pt>
                <c:pt idx="65">
                  <c:v>0.42858528901915882</c:v>
                </c:pt>
                <c:pt idx="66">
                  <c:v>0.29621323743317873</c:v>
                </c:pt>
                <c:pt idx="67">
                  <c:v>0.41611953372725807</c:v>
                </c:pt>
                <c:pt idx="68">
                  <c:v>-0.24921865496389728</c:v>
                </c:pt>
                <c:pt idx="69">
                  <c:v>-1.1185858769551302</c:v>
                </c:pt>
                <c:pt idx="70">
                  <c:v>-1.0066978236051165</c:v>
                </c:pt>
                <c:pt idx="71">
                  <c:v>-0.97046840900847897</c:v>
                </c:pt>
                <c:pt idx="72">
                  <c:v>-0.8649314095477223</c:v>
                </c:pt>
                <c:pt idx="73">
                  <c:v>-0.51648485967943092</c:v>
                </c:pt>
                <c:pt idx="74">
                  <c:v>-0.40855835899435</c:v>
                </c:pt>
                <c:pt idx="75">
                  <c:v>-1.1267871451834681</c:v>
                </c:pt>
                <c:pt idx="76">
                  <c:v>-0.79549111849009435</c:v>
                </c:pt>
                <c:pt idx="77">
                  <c:v>-0.57773064640432636</c:v>
                </c:pt>
                <c:pt idx="78">
                  <c:v>-0.72118054157702716</c:v>
                </c:pt>
                <c:pt idx="79">
                  <c:v>0.3692435510098786</c:v>
                </c:pt>
                <c:pt idx="80">
                  <c:v>0.63767948612357195</c:v>
                </c:pt>
                <c:pt idx="81">
                  <c:v>0.70750288705681008</c:v>
                </c:pt>
                <c:pt idx="82">
                  <c:v>1.3530219355059634</c:v>
                </c:pt>
                <c:pt idx="83">
                  <c:v>0.128744829006191</c:v>
                </c:pt>
                <c:pt idx="84">
                  <c:v>-0.28263965999118668</c:v>
                </c:pt>
                <c:pt idx="85">
                  <c:v>-0.58117913214566741</c:v>
                </c:pt>
                <c:pt idx="86">
                  <c:v>-0.61529116421352104</c:v>
                </c:pt>
                <c:pt idx="87">
                  <c:v>0.62153560558066623</c:v>
                </c:pt>
                <c:pt idx="88">
                  <c:v>0.81586230780203639</c:v>
                </c:pt>
                <c:pt idx="89">
                  <c:v>0.51826640844822247</c:v>
                </c:pt>
                <c:pt idx="90">
                  <c:v>6.5553983245072445E-3</c:v>
                </c:pt>
                <c:pt idx="91">
                  <c:v>-0.31417435696615748</c:v>
                </c:pt>
                <c:pt idx="92">
                  <c:v>-0.34138498817408003</c:v>
                </c:pt>
                <c:pt idx="93">
                  <c:v>-5.2487814781721376E-2</c:v>
                </c:pt>
                <c:pt idx="94">
                  <c:v>0.13532017072582114</c:v>
                </c:pt>
                <c:pt idx="95">
                  <c:v>0.22961438191845929</c:v>
                </c:pt>
                <c:pt idx="96">
                  <c:v>-1.0492746992500024E-2</c:v>
                </c:pt>
                <c:pt idx="97">
                  <c:v>2.398064680232892E-2</c:v>
                </c:pt>
                <c:pt idx="98">
                  <c:v>0.15211297004291957</c:v>
                </c:pt>
                <c:pt idx="99">
                  <c:v>0.17936295386520218</c:v>
                </c:pt>
                <c:pt idx="100">
                  <c:v>0.29571592031984295</c:v>
                </c:pt>
                <c:pt idx="101">
                  <c:v>-0.12229183931152399</c:v>
                </c:pt>
                <c:pt idx="102">
                  <c:v>-0.21870455941852462</c:v>
                </c:pt>
                <c:pt idx="103">
                  <c:v>-0.37619513238425473</c:v>
                </c:pt>
                <c:pt idx="104">
                  <c:v>-0.48066347028393963</c:v>
                </c:pt>
                <c:pt idx="105">
                  <c:v>0.14201875936885955</c:v>
                </c:pt>
                <c:pt idx="106">
                  <c:v>-9.1029812685706979E-2</c:v>
                </c:pt>
                <c:pt idx="107">
                  <c:v>0.10580086166720548</c:v>
                </c:pt>
                <c:pt idx="108">
                  <c:v>-0.30073545264339518</c:v>
                </c:pt>
                <c:pt idx="109">
                  <c:v>-0.68241921419381768</c:v>
                </c:pt>
                <c:pt idx="110">
                  <c:v>-0.83186853512621983</c:v>
                </c:pt>
                <c:pt idx="111">
                  <c:v>-1.3267225042155539</c:v>
                </c:pt>
                <c:pt idx="112">
                  <c:v>-1.1060325981993655</c:v>
                </c:pt>
                <c:pt idx="113">
                  <c:v>-0.98822095874633664</c:v>
                </c:pt>
                <c:pt idx="114">
                  <c:v>-0.55749667654357893</c:v>
                </c:pt>
                <c:pt idx="115">
                  <c:v>-0.37686945355183532</c:v>
                </c:pt>
                <c:pt idx="116">
                  <c:v>-4.3237817252496313E-2</c:v>
                </c:pt>
                <c:pt idx="117">
                  <c:v>-0.18358202908709398</c:v>
                </c:pt>
                <c:pt idx="118">
                  <c:v>-0.11090031006206225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47-4B57-B3BA-B4849024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81168"/>
        <c:axId val="1207980688"/>
      </c:scatterChart>
      <c:valAx>
        <c:axId val="120798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0688"/>
        <c:crosses val="autoZero"/>
        <c:crossBetween val="midCat"/>
      </c:valAx>
      <c:valAx>
        <c:axId val="1207980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11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ATL'!$C$28:$C$146</c:f>
              <c:numCache>
                <c:formatCode>General</c:formatCode>
                <c:ptCount val="119"/>
                <c:pt idx="0">
                  <c:v>-0.97010736282026055</c:v>
                </c:pt>
                <c:pt idx="1">
                  <c:v>-0.89781806971952438</c:v>
                </c:pt>
                <c:pt idx="2">
                  <c:v>0.40811519042903566</c:v>
                </c:pt>
                <c:pt idx="3">
                  <c:v>0.73000605995314061</c:v>
                </c:pt>
                <c:pt idx="4">
                  <c:v>0.798667996539141</c:v>
                </c:pt>
                <c:pt idx="5">
                  <c:v>1.2194020385862441</c:v>
                </c:pt>
                <c:pt idx="6">
                  <c:v>1.8683755412738812E-2</c:v>
                </c:pt>
                <c:pt idx="7">
                  <c:v>-0.3589276288748886</c:v>
                </c:pt>
                <c:pt idx="8">
                  <c:v>-0.64972283485539606</c:v>
                </c:pt>
                <c:pt idx="9">
                  <c:v>-1.9010076299442451</c:v>
                </c:pt>
                <c:pt idx="10">
                  <c:v>-1.4451249693508874</c:v>
                </c:pt>
                <c:pt idx="11">
                  <c:v>-1.4708290741850938</c:v>
                </c:pt>
                <c:pt idx="12">
                  <c:v>-1.9756124103095161</c:v>
                </c:pt>
                <c:pt idx="13">
                  <c:v>-1.5190346976626694</c:v>
                </c:pt>
                <c:pt idx="14">
                  <c:v>-1.2429680933367537</c:v>
                </c:pt>
                <c:pt idx="15">
                  <c:v>-0.4508155403644194</c:v>
                </c:pt>
                <c:pt idx="16">
                  <c:v>0.39488128834686531</c:v>
                </c:pt>
                <c:pt idx="17">
                  <c:v>0.55724725108706519</c:v>
                </c:pt>
                <c:pt idx="18">
                  <c:v>0.61327251484182277</c:v>
                </c:pt>
                <c:pt idx="19">
                  <c:v>0.7428238207845963</c:v>
                </c:pt>
                <c:pt idx="20">
                  <c:v>0.85578688830610528</c:v>
                </c:pt>
                <c:pt idx="21">
                  <c:v>1.29138342602403</c:v>
                </c:pt>
                <c:pt idx="22">
                  <c:v>1.5423828506341764</c:v>
                </c:pt>
                <c:pt idx="23">
                  <c:v>1.440676014647412</c:v>
                </c:pt>
                <c:pt idx="24">
                  <c:v>1.4678321443057936</c:v>
                </c:pt>
                <c:pt idx="25">
                  <c:v>0.59525157705790832</c:v>
                </c:pt>
                <c:pt idx="26">
                  <c:v>0.81124260042204099</c:v>
                </c:pt>
                <c:pt idx="27">
                  <c:v>0.57009925031100117</c:v>
                </c:pt>
                <c:pt idx="28">
                  <c:v>0.5850677714291681</c:v>
                </c:pt>
                <c:pt idx="29">
                  <c:v>1.5881645508605917</c:v>
                </c:pt>
                <c:pt idx="30">
                  <c:v>1.1664170954552251</c:v>
                </c:pt>
                <c:pt idx="31">
                  <c:v>0.82723099545082768</c:v>
                </c:pt>
                <c:pt idx="32">
                  <c:v>-3.8063363727163235E-2</c:v>
                </c:pt>
                <c:pt idx="33">
                  <c:v>-1.1502425950171071</c:v>
                </c:pt>
                <c:pt idx="34">
                  <c:v>-1.4608073413392679</c:v>
                </c:pt>
                <c:pt idx="35">
                  <c:v>-1.4338766507352894</c:v>
                </c:pt>
                <c:pt idx="36">
                  <c:v>-0.69474015192548766</c:v>
                </c:pt>
                <c:pt idx="37">
                  <c:v>-0.26468524490221501</c:v>
                </c:pt>
                <c:pt idx="38">
                  <c:v>0.45369631143569578</c:v>
                </c:pt>
                <c:pt idx="39">
                  <c:v>1.0590844507595794</c:v>
                </c:pt>
                <c:pt idx="40">
                  <c:v>1.082604515054145</c:v>
                </c:pt>
                <c:pt idx="41">
                  <c:v>0.98581405290459756</c:v>
                </c:pt>
                <c:pt idx="42">
                  <c:v>0.41111628663489341</c:v>
                </c:pt>
                <c:pt idx="43">
                  <c:v>7.2975740919195786E-2</c:v>
                </c:pt>
                <c:pt idx="44">
                  <c:v>-0.44818442840893624</c:v>
                </c:pt>
                <c:pt idx="45">
                  <c:v>-0.96335544664425843</c:v>
                </c:pt>
                <c:pt idx="46">
                  <c:v>-1.0124687766735381</c:v>
                </c:pt>
                <c:pt idx="47">
                  <c:v>-1.3210934592631132</c:v>
                </c:pt>
                <c:pt idx="48">
                  <c:v>-1.0328911123828481</c:v>
                </c:pt>
                <c:pt idx="49">
                  <c:v>-3.3439278980270437E-2</c:v>
                </c:pt>
                <c:pt idx="50">
                  <c:v>0.72163739216621625</c:v>
                </c:pt>
                <c:pt idx="51">
                  <c:v>1.6261550361541577</c:v>
                </c:pt>
                <c:pt idx="52">
                  <c:v>2.0170279642066546</c:v>
                </c:pt>
                <c:pt idx="53">
                  <c:v>1.5242854962092309</c:v>
                </c:pt>
                <c:pt idx="54">
                  <c:v>1.4189119926271552</c:v>
                </c:pt>
                <c:pt idx="55">
                  <c:v>0.887153485051968</c:v>
                </c:pt>
                <c:pt idx="56">
                  <c:v>0.42414514831487793</c:v>
                </c:pt>
                <c:pt idx="57">
                  <c:v>0.41456297661401464</c:v>
                </c:pt>
                <c:pt idx="58">
                  <c:v>0.4622702128627072</c:v>
                </c:pt>
                <c:pt idx="59">
                  <c:v>0.68825744281997459</c:v>
                </c:pt>
                <c:pt idx="60">
                  <c:v>0.8176165237282369</c:v>
                </c:pt>
                <c:pt idx="61">
                  <c:v>0.34989399204706118</c:v>
                </c:pt>
                <c:pt idx="62">
                  <c:v>6.4779003358339082E-2</c:v>
                </c:pt>
                <c:pt idx="63">
                  <c:v>-0.13681533149734726</c:v>
                </c:pt>
                <c:pt idx="64">
                  <c:v>-4.6493674203039959E-2</c:v>
                </c:pt>
                <c:pt idx="65">
                  <c:v>0.42858528901915882</c:v>
                </c:pt>
                <c:pt idx="66">
                  <c:v>0.29621323743317873</c:v>
                </c:pt>
                <c:pt idx="67">
                  <c:v>0.41611953372725807</c:v>
                </c:pt>
                <c:pt idx="68">
                  <c:v>-0.24921865496389728</c:v>
                </c:pt>
                <c:pt idx="69">
                  <c:v>-1.1185858769551302</c:v>
                </c:pt>
                <c:pt idx="70">
                  <c:v>-1.0066978236051165</c:v>
                </c:pt>
                <c:pt idx="71">
                  <c:v>-0.97046840900847897</c:v>
                </c:pt>
                <c:pt idx="72">
                  <c:v>-0.8649314095477223</c:v>
                </c:pt>
                <c:pt idx="73">
                  <c:v>-0.51648485967943092</c:v>
                </c:pt>
                <c:pt idx="74">
                  <c:v>-0.40855835899435</c:v>
                </c:pt>
                <c:pt idx="75">
                  <c:v>-1.1267871451834681</c:v>
                </c:pt>
                <c:pt idx="76">
                  <c:v>-0.79549111849009435</c:v>
                </c:pt>
                <c:pt idx="77">
                  <c:v>-0.57773064640432636</c:v>
                </c:pt>
                <c:pt idx="78">
                  <c:v>-0.72118054157702716</c:v>
                </c:pt>
                <c:pt idx="79">
                  <c:v>0.3692435510098786</c:v>
                </c:pt>
                <c:pt idx="80">
                  <c:v>0.63767948612357195</c:v>
                </c:pt>
                <c:pt idx="81">
                  <c:v>0.70750288705681008</c:v>
                </c:pt>
                <c:pt idx="82">
                  <c:v>1.3530219355059634</c:v>
                </c:pt>
                <c:pt idx="83">
                  <c:v>0.128744829006191</c:v>
                </c:pt>
                <c:pt idx="84">
                  <c:v>-0.28263965999118668</c:v>
                </c:pt>
                <c:pt idx="85">
                  <c:v>-0.58117913214566741</c:v>
                </c:pt>
                <c:pt idx="86">
                  <c:v>-0.61529116421352104</c:v>
                </c:pt>
                <c:pt idx="87">
                  <c:v>0.62153560558066623</c:v>
                </c:pt>
                <c:pt idx="88">
                  <c:v>0.81586230780203639</c:v>
                </c:pt>
                <c:pt idx="89">
                  <c:v>0.51826640844822247</c:v>
                </c:pt>
                <c:pt idx="90">
                  <c:v>6.5553983245072445E-3</c:v>
                </c:pt>
                <c:pt idx="91">
                  <c:v>-0.31417435696615748</c:v>
                </c:pt>
                <c:pt idx="92">
                  <c:v>-0.34138498817408003</c:v>
                </c:pt>
                <c:pt idx="93">
                  <c:v>-5.2487814781721376E-2</c:v>
                </c:pt>
                <c:pt idx="94">
                  <c:v>0.13532017072582114</c:v>
                </c:pt>
                <c:pt idx="95">
                  <c:v>0.22961438191845929</c:v>
                </c:pt>
                <c:pt idx="96">
                  <c:v>-1.0492746992500024E-2</c:v>
                </c:pt>
                <c:pt idx="97">
                  <c:v>2.398064680232892E-2</c:v>
                </c:pt>
                <c:pt idx="98">
                  <c:v>0.15211297004291957</c:v>
                </c:pt>
                <c:pt idx="99">
                  <c:v>0.17936295386520218</c:v>
                </c:pt>
                <c:pt idx="100">
                  <c:v>0.29571592031984295</c:v>
                </c:pt>
                <c:pt idx="101">
                  <c:v>-0.12229183931152399</c:v>
                </c:pt>
                <c:pt idx="102">
                  <c:v>-0.21870455941852462</c:v>
                </c:pt>
                <c:pt idx="103">
                  <c:v>-0.37619513238425473</c:v>
                </c:pt>
                <c:pt idx="104">
                  <c:v>-0.48066347028393963</c:v>
                </c:pt>
                <c:pt idx="105">
                  <c:v>0.14201875936885955</c:v>
                </c:pt>
                <c:pt idx="106">
                  <c:v>-9.1029812685706979E-2</c:v>
                </c:pt>
                <c:pt idx="107">
                  <c:v>0.10580086166720548</c:v>
                </c:pt>
                <c:pt idx="108">
                  <c:v>-0.30073545264339518</c:v>
                </c:pt>
                <c:pt idx="109">
                  <c:v>-0.68241921419381768</c:v>
                </c:pt>
                <c:pt idx="110">
                  <c:v>-0.83186853512621983</c:v>
                </c:pt>
                <c:pt idx="111">
                  <c:v>-1.3267225042155539</c:v>
                </c:pt>
                <c:pt idx="112">
                  <c:v>-1.1060325981993655</c:v>
                </c:pt>
                <c:pt idx="113">
                  <c:v>-0.98822095874633664</c:v>
                </c:pt>
                <c:pt idx="114">
                  <c:v>-0.55749667654357893</c:v>
                </c:pt>
                <c:pt idx="115">
                  <c:v>-0.37686945355183532</c:v>
                </c:pt>
                <c:pt idx="116">
                  <c:v>-4.3237817252496313E-2</c:v>
                </c:pt>
                <c:pt idx="117">
                  <c:v>-0.18358202908709398</c:v>
                </c:pt>
                <c:pt idx="118">
                  <c:v>-0.11090031006206225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3-4773-B1F7-B731CFAF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83568"/>
        <c:axId val="1207970128"/>
      </c:scatterChart>
      <c:valAx>
        <c:axId val="120798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0128"/>
        <c:crosses val="autoZero"/>
        <c:crossBetween val="midCat"/>
      </c:valAx>
      <c:valAx>
        <c:axId val="1207970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3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Atlanta!$O$6:$O$124</c:f>
              <c:numCache>
                <c:formatCode>General</c:formatCode>
                <c:ptCount val="119"/>
                <c:pt idx="0">
                  <c:v>1.0104399701715139</c:v>
                </c:pt>
                <c:pt idx="1">
                  <c:v>1.0284857571214394</c:v>
                </c:pt>
                <c:pt idx="2">
                  <c:v>1.0351796407185629</c:v>
                </c:pt>
                <c:pt idx="3">
                  <c:v>1.0426008968609863</c:v>
                </c:pt>
                <c:pt idx="4">
                  <c:v>1.0044280442804427</c:v>
                </c:pt>
                <c:pt idx="5">
                  <c:v>0.96720116618075791</c:v>
                </c:pt>
                <c:pt idx="6">
                  <c:v>0.95444685466377432</c:v>
                </c:pt>
                <c:pt idx="7">
                  <c:v>0.94121863799283167</c:v>
                </c:pt>
                <c:pt idx="8">
                  <c:v>0.95297575312270399</c:v>
                </c:pt>
                <c:pt idx="9">
                  <c:v>0.96533534287867373</c:v>
                </c:pt>
                <c:pt idx="10">
                  <c:v>0.9772727272727274</c:v>
                </c:pt>
                <c:pt idx="11">
                  <c:v>0.98857578065498852</c:v>
                </c:pt>
                <c:pt idx="12">
                  <c:v>0.99614494988434843</c:v>
                </c:pt>
                <c:pt idx="13">
                  <c:v>1.0039032006245121</c:v>
                </c:pt>
                <c:pt idx="14">
                  <c:v>1.0054263565891473</c:v>
                </c:pt>
                <c:pt idx="15">
                  <c:v>1.0077041602465331</c:v>
                </c:pt>
                <c:pt idx="16">
                  <c:v>1.0007739938080495</c:v>
                </c:pt>
                <c:pt idx="17">
                  <c:v>0.99377916018662515</c:v>
                </c:pt>
                <c:pt idx="18">
                  <c:v>0.97378565921356974</c:v>
                </c:pt>
                <c:pt idx="19">
                  <c:v>0.95336391437308876</c:v>
                </c:pt>
                <c:pt idx="20">
                  <c:v>0.9721577726218098</c:v>
                </c:pt>
                <c:pt idx="21">
                  <c:v>0.99139280125195628</c:v>
                </c:pt>
                <c:pt idx="22">
                  <c:v>1.0530482977038795</c:v>
                </c:pt>
                <c:pt idx="23">
                  <c:v>1.119486768243785</c:v>
                </c:pt>
                <c:pt idx="24">
                  <c:v>1.0978520286396181</c:v>
                </c:pt>
                <c:pt idx="25">
                  <c:v>1.0765588003157065</c:v>
                </c:pt>
                <c:pt idx="26">
                  <c:v>1.0616541353383457</c:v>
                </c:pt>
                <c:pt idx="27">
                  <c:v>1.0472779369627505</c:v>
                </c:pt>
                <c:pt idx="28">
                  <c:v>1.0688405797101448</c:v>
                </c:pt>
                <c:pt idx="29">
                  <c:v>1.0916422287390029</c:v>
                </c:pt>
                <c:pt idx="30">
                  <c:v>1.0807365439093486</c:v>
                </c:pt>
                <c:pt idx="31">
                  <c:v>1.0704514363885089</c:v>
                </c:pt>
                <c:pt idx="32">
                  <c:v>1.0908474576271185</c:v>
                </c:pt>
                <c:pt idx="33">
                  <c:v>1.1114842175957018</c:v>
                </c:pt>
                <c:pt idx="34">
                  <c:v>1.1192660550458715</c:v>
                </c:pt>
                <c:pt idx="35">
                  <c:v>1.1271565495207667</c:v>
                </c:pt>
                <c:pt idx="36">
                  <c:v>1.0919825978868862</c:v>
                </c:pt>
                <c:pt idx="37">
                  <c:v>1.0574018126888216</c:v>
                </c:pt>
                <c:pt idx="38">
                  <c:v>1.0169789227166277</c:v>
                </c:pt>
                <c:pt idx="39">
                  <c:v>0.97789115646258495</c:v>
                </c:pt>
                <c:pt idx="40">
                  <c:v>1.0165054069436539</c:v>
                </c:pt>
                <c:pt idx="41">
                  <c:v>1.0565714285714285</c:v>
                </c:pt>
                <c:pt idx="42">
                  <c:v>1.0656303972366148</c:v>
                </c:pt>
                <c:pt idx="43">
                  <c:v>1.0742028985507246</c:v>
                </c:pt>
                <c:pt idx="44">
                  <c:v>1.0447928331466965</c:v>
                </c:pt>
                <c:pt idx="45">
                  <c:v>1.0162249864791779</c:v>
                </c:pt>
                <c:pt idx="46">
                  <c:v>0.99945975148568333</c:v>
                </c:pt>
                <c:pt idx="47">
                  <c:v>0.98273070696168374</c:v>
                </c:pt>
                <c:pt idx="48">
                  <c:v>1.0085744908896035</c:v>
                </c:pt>
                <c:pt idx="49">
                  <c:v>1.0345928685470995</c:v>
                </c:pt>
                <c:pt idx="50">
                  <c:v>1.0545945945945947</c:v>
                </c:pt>
                <c:pt idx="51">
                  <c:v>1.075233388248215</c:v>
                </c:pt>
                <c:pt idx="52">
                  <c:v>1.0345377258235919</c:v>
                </c:pt>
                <c:pt idx="53">
                  <c:v>0.99588477366255135</c:v>
                </c:pt>
                <c:pt idx="54">
                  <c:v>0.9882111737570477</c:v>
                </c:pt>
                <c:pt idx="55">
                  <c:v>0.98059244126659861</c:v>
                </c:pt>
                <c:pt idx="56">
                  <c:v>0.9743194658448896</c:v>
                </c:pt>
                <c:pt idx="57">
                  <c:v>0.96849173553719015</c:v>
                </c:pt>
                <c:pt idx="58">
                  <c:v>0.95383817427385886</c:v>
                </c:pt>
                <c:pt idx="59">
                  <c:v>0.93854166666666672</c:v>
                </c:pt>
                <c:pt idx="60">
                  <c:v>0.93726937269372701</c:v>
                </c:pt>
                <c:pt idx="61">
                  <c:v>0.93546666666666667</c:v>
                </c:pt>
                <c:pt idx="62">
                  <c:v>0.94616639477977149</c:v>
                </c:pt>
                <c:pt idx="63">
                  <c:v>0.95837957824639286</c:v>
                </c:pt>
                <c:pt idx="64">
                  <c:v>0.97637795275590544</c:v>
                </c:pt>
                <c:pt idx="65">
                  <c:v>0.98175598631698968</c:v>
                </c:pt>
                <c:pt idx="66">
                  <c:v>0.9948275862068966</c:v>
                </c:pt>
                <c:pt idx="67">
                  <c:v>1.0081065431383902</c:v>
                </c:pt>
                <c:pt idx="68">
                  <c:v>1.0149769585253456</c:v>
                </c:pt>
                <c:pt idx="69">
                  <c:v>1.0278745644599303</c:v>
                </c:pt>
                <c:pt idx="70">
                  <c:v>1.0288850375505487</c:v>
                </c:pt>
                <c:pt idx="71">
                  <c:v>1.0304422745548536</c:v>
                </c:pt>
                <c:pt idx="72">
                  <c:v>1.018161180476731</c:v>
                </c:pt>
                <c:pt idx="73">
                  <c:v>1.0056497175141244</c:v>
                </c:pt>
                <c:pt idx="74">
                  <c:v>0.9915777653003931</c:v>
                </c:pt>
                <c:pt idx="75">
                  <c:v>0.97826086956521741</c:v>
                </c:pt>
                <c:pt idx="76">
                  <c:v>0.99442586399108135</c:v>
                </c:pt>
                <c:pt idx="77">
                  <c:v>0.99719101123595499</c:v>
                </c:pt>
                <c:pt idx="78">
                  <c:v>1.0147225368063422</c:v>
                </c:pt>
                <c:pt idx="79">
                  <c:v>1.0301994301994302</c:v>
                </c:pt>
                <c:pt idx="80">
                  <c:v>1.0263452914798206</c:v>
                </c:pt>
                <c:pt idx="81">
                  <c:v>1.0428169014084507</c:v>
                </c:pt>
                <c:pt idx="82">
                  <c:v>1.0463169642857142</c:v>
                </c:pt>
                <c:pt idx="83">
                  <c:v>1.0425884955752214</c:v>
                </c:pt>
                <c:pt idx="84">
                  <c:v>1.0240305843801203</c:v>
                </c:pt>
                <c:pt idx="85">
                  <c:v>0.97028633171258771</c:v>
                </c:pt>
                <c:pt idx="86">
                  <c:v>0.97226666666666672</c:v>
                </c:pt>
                <c:pt idx="87">
                  <c:v>0.96127320954907158</c:v>
                </c:pt>
                <c:pt idx="88">
                  <c:v>0.94933333333333336</c:v>
                </c:pt>
                <c:pt idx="89">
                  <c:v>0.97717149220489974</c:v>
                </c:pt>
                <c:pt idx="90">
                  <c:v>0.95063082830499168</c:v>
                </c:pt>
                <c:pt idx="91">
                  <c:v>0.94977924944812364</c:v>
                </c:pt>
                <c:pt idx="92">
                  <c:v>0.9691011235955056</c:v>
                </c:pt>
                <c:pt idx="93">
                  <c:v>0.98176638176638176</c:v>
                </c:pt>
                <c:pt idx="94">
                  <c:v>0.99134448932487029</c:v>
                </c:pt>
                <c:pt idx="95">
                  <c:v>1.0005810575246947</c:v>
                </c:pt>
                <c:pt idx="96">
                  <c:v>0.97739130434782606</c:v>
                </c:pt>
                <c:pt idx="97">
                  <c:v>1.0237957051654092</c:v>
                </c:pt>
                <c:pt idx="98">
                  <c:v>0.98253783469150169</c:v>
                </c:pt>
                <c:pt idx="99">
                  <c:v>0.94192799070847855</c:v>
                </c:pt>
                <c:pt idx="100">
                  <c:v>0.97212336892052198</c:v>
                </c:pt>
                <c:pt idx="101">
                  <c:v>0.93367346938775497</c:v>
                </c:pt>
                <c:pt idx="102">
                  <c:v>0.98755924170616127</c:v>
                </c:pt>
                <c:pt idx="103">
                  <c:v>1.0388409371146734</c:v>
                </c:pt>
                <c:pt idx="104">
                  <c:v>1.0390482001220256</c:v>
                </c:pt>
                <c:pt idx="105">
                  <c:v>1.0862173649058897</c:v>
                </c:pt>
                <c:pt idx="106">
                  <c:v>1.0641871625674864</c:v>
                </c:pt>
                <c:pt idx="107">
                  <c:v>1.083679525222552</c:v>
                </c:pt>
                <c:pt idx="108">
                  <c:v>1.1080446271285966</c:v>
                </c:pt>
                <c:pt idx="109">
                  <c:v>1.0620458356623812</c:v>
                </c:pt>
                <c:pt idx="110">
                  <c:v>1.0952649379932358</c:v>
                </c:pt>
                <c:pt idx="111">
                  <c:v>1.0706462212486307</c:v>
                </c:pt>
                <c:pt idx="112">
                  <c:v>1.0461049284578694</c:v>
                </c:pt>
                <c:pt idx="113">
                  <c:v>1.0531578947368423</c:v>
                </c:pt>
                <c:pt idx="114">
                  <c:v>1.0468347915594443</c:v>
                </c:pt>
                <c:pt idx="115">
                  <c:v>1.0516624040920715</c:v>
                </c:pt>
                <c:pt idx="116">
                  <c:v>1.0612968591691996</c:v>
                </c:pt>
                <c:pt idx="117">
                  <c:v>1.0534732633683157</c:v>
                </c:pt>
                <c:pt idx="118">
                  <c:v>1.0452310717797444</c:v>
                </c:pt>
              </c:numCache>
            </c:numRef>
          </c:xVal>
          <c:yVal>
            <c:numRef>
              <c:f>'Model 2 ATL'!$C$28:$C$146</c:f>
              <c:numCache>
                <c:formatCode>General</c:formatCode>
                <c:ptCount val="119"/>
                <c:pt idx="0">
                  <c:v>-0.97010736282026055</c:v>
                </c:pt>
                <c:pt idx="1">
                  <c:v>-0.89781806971952438</c:v>
                </c:pt>
                <c:pt idx="2">
                  <c:v>0.40811519042903566</c:v>
                </c:pt>
                <c:pt idx="3">
                  <c:v>0.73000605995314061</c:v>
                </c:pt>
                <c:pt idx="4">
                  <c:v>0.798667996539141</c:v>
                </c:pt>
                <c:pt idx="5">
                  <c:v>1.2194020385862441</c:v>
                </c:pt>
                <c:pt idx="6">
                  <c:v>1.8683755412738812E-2</c:v>
                </c:pt>
                <c:pt idx="7">
                  <c:v>-0.3589276288748886</c:v>
                </c:pt>
                <c:pt idx="8">
                  <c:v>-0.64972283485539606</c:v>
                </c:pt>
                <c:pt idx="9">
                  <c:v>-1.9010076299442451</c:v>
                </c:pt>
                <c:pt idx="10">
                  <c:v>-1.4451249693508874</c:v>
                </c:pt>
                <c:pt idx="11">
                  <c:v>-1.4708290741850938</c:v>
                </c:pt>
                <c:pt idx="12">
                  <c:v>-1.9756124103095161</c:v>
                </c:pt>
                <c:pt idx="13">
                  <c:v>-1.5190346976626694</c:v>
                </c:pt>
                <c:pt idx="14">
                  <c:v>-1.2429680933367537</c:v>
                </c:pt>
                <c:pt idx="15">
                  <c:v>-0.4508155403644194</c:v>
                </c:pt>
                <c:pt idx="16">
                  <c:v>0.39488128834686531</c:v>
                </c:pt>
                <c:pt idx="17">
                  <c:v>0.55724725108706519</c:v>
                </c:pt>
                <c:pt idx="18">
                  <c:v>0.61327251484182277</c:v>
                </c:pt>
                <c:pt idx="19">
                  <c:v>0.7428238207845963</c:v>
                </c:pt>
                <c:pt idx="20">
                  <c:v>0.85578688830610528</c:v>
                </c:pt>
                <c:pt idx="21">
                  <c:v>1.29138342602403</c:v>
                </c:pt>
                <c:pt idx="22">
                  <c:v>1.5423828506341764</c:v>
                </c:pt>
                <c:pt idx="23">
                  <c:v>1.440676014647412</c:v>
                </c:pt>
                <c:pt idx="24">
                  <c:v>1.4678321443057936</c:v>
                </c:pt>
                <c:pt idx="25">
                  <c:v>0.59525157705790832</c:v>
                </c:pt>
                <c:pt idx="26">
                  <c:v>0.81124260042204099</c:v>
                </c:pt>
                <c:pt idx="27">
                  <c:v>0.57009925031100117</c:v>
                </c:pt>
                <c:pt idx="28">
                  <c:v>0.5850677714291681</c:v>
                </c:pt>
                <c:pt idx="29">
                  <c:v>1.5881645508605917</c:v>
                </c:pt>
                <c:pt idx="30">
                  <c:v>1.1664170954552251</c:v>
                </c:pt>
                <c:pt idx="31">
                  <c:v>0.82723099545082768</c:v>
                </c:pt>
                <c:pt idx="32">
                  <c:v>-3.8063363727163235E-2</c:v>
                </c:pt>
                <c:pt idx="33">
                  <c:v>-1.1502425950171071</c:v>
                </c:pt>
                <c:pt idx="34">
                  <c:v>-1.4608073413392679</c:v>
                </c:pt>
                <c:pt idx="35">
                  <c:v>-1.4338766507352894</c:v>
                </c:pt>
                <c:pt idx="36">
                  <c:v>-0.69474015192548766</c:v>
                </c:pt>
                <c:pt idx="37">
                  <c:v>-0.26468524490221501</c:v>
                </c:pt>
                <c:pt idx="38">
                  <c:v>0.45369631143569578</c:v>
                </c:pt>
                <c:pt idx="39">
                  <c:v>1.0590844507595794</c:v>
                </c:pt>
                <c:pt idx="40">
                  <c:v>1.082604515054145</c:v>
                </c:pt>
                <c:pt idx="41">
                  <c:v>0.98581405290459756</c:v>
                </c:pt>
                <c:pt idx="42">
                  <c:v>0.41111628663489341</c:v>
                </c:pt>
                <c:pt idx="43">
                  <c:v>7.2975740919195786E-2</c:v>
                </c:pt>
                <c:pt idx="44">
                  <c:v>-0.44818442840893624</c:v>
                </c:pt>
                <c:pt idx="45">
                  <c:v>-0.96335544664425843</c:v>
                </c:pt>
                <c:pt idx="46">
                  <c:v>-1.0124687766735381</c:v>
                </c:pt>
                <c:pt idx="47">
                  <c:v>-1.3210934592631132</c:v>
                </c:pt>
                <c:pt idx="48">
                  <c:v>-1.0328911123828481</c:v>
                </c:pt>
                <c:pt idx="49">
                  <c:v>-3.3439278980270437E-2</c:v>
                </c:pt>
                <c:pt idx="50">
                  <c:v>0.72163739216621625</c:v>
                </c:pt>
                <c:pt idx="51">
                  <c:v>1.6261550361541577</c:v>
                </c:pt>
                <c:pt idx="52">
                  <c:v>2.0170279642066546</c:v>
                </c:pt>
                <c:pt idx="53">
                  <c:v>1.5242854962092309</c:v>
                </c:pt>
                <c:pt idx="54">
                  <c:v>1.4189119926271552</c:v>
                </c:pt>
                <c:pt idx="55">
                  <c:v>0.887153485051968</c:v>
                </c:pt>
                <c:pt idx="56">
                  <c:v>0.42414514831487793</c:v>
                </c:pt>
                <c:pt idx="57">
                  <c:v>0.41456297661401464</c:v>
                </c:pt>
                <c:pt idx="58">
                  <c:v>0.4622702128627072</c:v>
                </c:pt>
                <c:pt idx="59">
                  <c:v>0.68825744281997459</c:v>
                </c:pt>
                <c:pt idx="60">
                  <c:v>0.8176165237282369</c:v>
                </c:pt>
                <c:pt idx="61">
                  <c:v>0.34989399204706118</c:v>
                </c:pt>
                <c:pt idx="62">
                  <c:v>6.4779003358339082E-2</c:v>
                </c:pt>
                <c:pt idx="63">
                  <c:v>-0.13681533149734726</c:v>
                </c:pt>
                <c:pt idx="64">
                  <c:v>-4.6493674203039959E-2</c:v>
                </c:pt>
                <c:pt idx="65">
                  <c:v>0.42858528901915882</c:v>
                </c:pt>
                <c:pt idx="66">
                  <c:v>0.29621323743317873</c:v>
                </c:pt>
                <c:pt idx="67">
                  <c:v>0.41611953372725807</c:v>
                </c:pt>
                <c:pt idx="68">
                  <c:v>-0.24921865496389728</c:v>
                </c:pt>
                <c:pt idx="69">
                  <c:v>-1.1185858769551302</c:v>
                </c:pt>
                <c:pt idx="70">
                  <c:v>-1.0066978236051165</c:v>
                </c:pt>
                <c:pt idx="71">
                  <c:v>-0.97046840900847897</c:v>
                </c:pt>
                <c:pt idx="72">
                  <c:v>-0.8649314095477223</c:v>
                </c:pt>
                <c:pt idx="73">
                  <c:v>-0.51648485967943092</c:v>
                </c:pt>
                <c:pt idx="74">
                  <c:v>-0.40855835899435</c:v>
                </c:pt>
                <c:pt idx="75">
                  <c:v>-1.1267871451834681</c:v>
                </c:pt>
                <c:pt idx="76">
                  <c:v>-0.79549111849009435</c:v>
                </c:pt>
                <c:pt idx="77">
                  <c:v>-0.57773064640432636</c:v>
                </c:pt>
                <c:pt idx="78">
                  <c:v>-0.72118054157702716</c:v>
                </c:pt>
                <c:pt idx="79">
                  <c:v>0.3692435510098786</c:v>
                </c:pt>
                <c:pt idx="80">
                  <c:v>0.63767948612357195</c:v>
                </c:pt>
                <c:pt idx="81">
                  <c:v>0.70750288705681008</c:v>
                </c:pt>
                <c:pt idx="82">
                  <c:v>1.3530219355059634</c:v>
                </c:pt>
                <c:pt idx="83">
                  <c:v>0.128744829006191</c:v>
                </c:pt>
                <c:pt idx="84">
                  <c:v>-0.28263965999118668</c:v>
                </c:pt>
                <c:pt idx="85">
                  <c:v>-0.58117913214566741</c:v>
                </c:pt>
                <c:pt idx="86">
                  <c:v>-0.61529116421352104</c:v>
                </c:pt>
                <c:pt idx="87">
                  <c:v>0.62153560558066623</c:v>
                </c:pt>
                <c:pt idx="88">
                  <c:v>0.81586230780203639</c:v>
                </c:pt>
                <c:pt idx="89">
                  <c:v>0.51826640844822247</c:v>
                </c:pt>
                <c:pt idx="90">
                  <c:v>6.5553983245072445E-3</c:v>
                </c:pt>
                <c:pt idx="91">
                  <c:v>-0.31417435696615748</c:v>
                </c:pt>
                <c:pt idx="92">
                  <c:v>-0.34138498817408003</c:v>
                </c:pt>
                <c:pt idx="93">
                  <c:v>-5.2487814781721376E-2</c:v>
                </c:pt>
                <c:pt idx="94">
                  <c:v>0.13532017072582114</c:v>
                </c:pt>
                <c:pt idx="95">
                  <c:v>0.22961438191845929</c:v>
                </c:pt>
                <c:pt idx="96">
                  <c:v>-1.0492746992500024E-2</c:v>
                </c:pt>
                <c:pt idx="97">
                  <c:v>2.398064680232892E-2</c:v>
                </c:pt>
                <c:pt idx="98">
                  <c:v>0.15211297004291957</c:v>
                </c:pt>
                <c:pt idx="99">
                  <c:v>0.17936295386520218</c:v>
                </c:pt>
                <c:pt idx="100">
                  <c:v>0.29571592031984295</c:v>
                </c:pt>
                <c:pt idx="101">
                  <c:v>-0.12229183931152399</c:v>
                </c:pt>
                <c:pt idx="102">
                  <c:v>-0.21870455941852462</c:v>
                </c:pt>
                <c:pt idx="103">
                  <c:v>-0.37619513238425473</c:v>
                </c:pt>
                <c:pt idx="104">
                  <c:v>-0.48066347028393963</c:v>
                </c:pt>
                <c:pt idx="105">
                  <c:v>0.14201875936885955</c:v>
                </c:pt>
                <c:pt idx="106">
                  <c:v>-9.1029812685706979E-2</c:v>
                </c:pt>
                <c:pt idx="107">
                  <c:v>0.10580086166720548</c:v>
                </c:pt>
                <c:pt idx="108">
                  <c:v>-0.30073545264339518</c:v>
                </c:pt>
                <c:pt idx="109">
                  <c:v>-0.68241921419381768</c:v>
                </c:pt>
                <c:pt idx="110">
                  <c:v>-0.83186853512621983</c:v>
                </c:pt>
                <c:pt idx="111">
                  <c:v>-1.3267225042155539</c:v>
                </c:pt>
                <c:pt idx="112">
                  <c:v>-1.1060325981993655</c:v>
                </c:pt>
                <c:pt idx="113">
                  <c:v>-0.98822095874633664</c:v>
                </c:pt>
                <c:pt idx="114">
                  <c:v>-0.55749667654357893</c:v>
                </c:pt>
                <c:pt idx="115">
                  <c:v>-0.37686945355183532</c:v>
                </c:pt>
                <c:pt idx="116">
                  <c:v>-4.3237817252496313E-2</c:v>
                </c:pt>
                <c:pt idx="117">
                  <c:v>-0.18358202908709398</c:v>
                </c:pt>
                <c:pt idx="118">
                  <c:v>-0.11090031006206225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A8-479D-91CC-1461F081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80208"/>
        <c:axId val="1207974448"/>
      </c:scatterChart>
      <c:valAx>
        <c:axId val="120798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4448"/>
        <c:crosses val="autoZero"/>
        <c:crossBetween val="midCat"/>
      </c:valAx>
      <c:valAx>
        <c:axId val="1207974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0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Atlanta!$P$6:$P$124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ATL'!$C$28:$C$146</c:f>
              <c:numCache>
                <c:formatCode>General</c:formatCode>
                <c:ptCount val="119"/>
                <c:pt idx="0">
                  <c:v>-0.97010736282026055</c:v>
                </c:pt>
                <c:pt idx="1">
                  <c:v>-0.89781806971952438</c:v>
                </c:pt>
                <c:pt idx="2">
                  <c:v>0.40811519042903566</c:v>
                </c:pt>
                <c:pt idx="3">
                  <c:v>0.73000605995314061</c:v>
                </c:pt>
                <c:pt idx="4">
                  <c:v>0.798667996539141</c:v>
                </c:pt>
                <c:pt idx="5">
                  <c:v>1.2194020385862441</c:v>
                </c:pt>
                <c:pt idx="6">
                  <c:v>1.8683755412738812E-2</c:v>
                </c:pt>
                <c:pt idx="7">
                  <c:v>-0.3589276288748886</c:v>
                </c:pt>
                <c:pt idx="8">
                  <c:v>-0.64972283485539606</c:v>
                </c:pt>
                <c:pt idx="9">
                  <c:v>-1.9010076299442451</c:v>
                </c:pt>
                <c:pt idx="10">
                  <c:v>-1.4451249693508874</c:v>
                </c:pt>
                <c:pt idx="11">
                  <c:v>-1.4708290741850938</c:v>
                </c:pt>
                <c:pt idx="12">
                  <c:v>-1.9756124103095161</c:v>
                </c:pt>
                <c:pt idx="13">
                  <c:v>-1.5190346976626694</c:v>
                </c:pt>
                <c:pt idx="14">
                  <c:v>-1.2429680933367537</c:v>
                </c:pt>
                <c:pt idx="15">
                  <c:v>-0.4508155403644194</c:v>
                </c:pt>
                <c:pt idx="16">
                  <c:v>0.39488128834686531</c:v>
                </c:pt>
                <c:pt idx="17">
                  <c:v>0.55724725108706519</c:v>
                </c:pt>
                <c:pt idx="18">
                  <c:v>0.61327251484182277</c:v>
                </c:pt>
                <c:pt idx="19">
                  <c:v>0.7428238207845963</c:v>
                </c:pt>
                <c:pt idx="20">
                  <c:v>0.85578688830610528</c:v>
                </c:pt>
                <c:pt idx="21">
                  <c:v>1.29138342602403</c:v>
                </c:pt>
                <c:pt idx="22">
                  <c:v>1.5423828506341764</c:v>
                </c:pt>
                <c:pt idx="23">
                  <c:v>1.440676014647412</c:v>
                </c:pt>
                <c:pt idx="24">
                  <c:v>1.4678321443057936</c:v>
                </c:pt>
                <c:pt idx="25">
                  <c:v>0.59525157705790832</c:v>
                </c:pt>
                <c:pt idx="26">
                  <c:v>0.81124260042204099</c:v>
                </c:pt>
                <c:pt idx="27">
                  <c:v>0.57009925031100117</c:v>
                </c:pt>
                <c:pt idx="28">
                  <c:v>0.5850677714291681</c:v>
                </c:pt>
                <c:pt idx="29">
                  <c:v>1.5881645508605917</c:v>
                </c:pt>
                <c:pt idx="30">
                  <c:v>1.1664170954552251</c:v>
                </c:pt>
                <c:pt idx="31">
                  <c:v>0.82723099545082768</c:v>
                </c:pt>
                <c:pt idx="32">
                  <c:v>-3.8063363727163235E-2</c:v>
                </c:pt>
                <c:pt idx="33">
                  <c:v>-1.1502425950171071</c:v>
                </c:pt>
                <c:pt idx="34">
                  <c:v>-1.4608073413392679</c:v>
                </c:pt>
                <c:pt idx="35">
                  <c:v>-1.4338766507352894</c:v>
                </c:pt>
                <c:pt idx="36">
                  <c:v>-0.69474015192548766</c:v>
                </c:pt>
                <c:pt idx="37">
                  <c:v>-0.26468524490221501</c:v>
                </c:pt>
                <c:pt idx="38">
                  <c:v>0.45369631143569578</c:v>
                </c:pt>
                <c:pt idx="39">
                  <c:v>1.0590844507595794</c:v>
                </c:pt>
                <c:pt idx="40">
                  <c:v>1.082604515054145</c:v>
                </c:pt>
                <c:pt idx="41">
                  <c:v>0.98581405290459756</c:v>
                </c:pt>
                <c:pt idx="42">
                  <c:v>0.41111628663489341</c:v>
                </c:pt>
                <c:pt idx="43">
                  <c:v>7.2975740919195786E-2</c:v>
                </c:pt>
                <c:pt idx="44">
                  <c:v>-0.44818442840893624</c:v>
                </c:pt>
                <c:pt idx="45">
                  <c:v>-0.96335544664425843</c:v>
                </c:pt>
                <c:pt idx="46">
                  <c:v>-1.0124687766735381</c:v>
                </c:pt>
                <c:pt idx="47">
                  <c:v>-1.3210934592631132</c:v>
                </c:pt>
                <c:pt idx="48">
                  <c:v>-1.0328911123828481</c:v>
                </c:pt>
                <c:pt idx="49">
                  <c:v>-3.3439278980270437E-2</c:v>
                </c:pt>
                <c:pt idx="50">
                  <c:v>0.72163739216621625</c:v>
                </c:pt>
                <c:pt idx="51">
                  <c:v>1.6261550361541577</c:v>
                </c:pt>
                <c:pt idx="52">
                  <c:v>2.0170279642066546</c:v>
                </c:pt>
                <c:pt idx="53">
                  <c:v>1.5242854962092309</c:v>
                </c:pt>
                <c:pt idx="54">
                  <c:v>1.4189119926271552</c:v>
                </c:pt>
                <c:pt idx="55">
                  <c:v>0.887153485051968</c:v>
                </c:pt>
                <c:pt idx="56">
                  <c:v>0.42414514831487793</c:v>
                </c:pt>
                <c:pt idx="57">
                  <c:v>0.41456297661401464</c:v>
                </c:pt>
                <c:pt idx="58">
                  <c:v>0.4622702128627072</c:v>
                </c:pt>
                <c:pt idx="59">
                  <c:v>0.68825744281997459</c:v>
                </c:pt>
                <c:pt idx="60">
                  <c:v>0.8176165237282369</c:v>
                </c:pt>
                <c:pt idx="61">
                  <c:v>0.34989399204706118</c:v>
                </c:pt>
                <c:pt idx="62">
                  <c:v>6.4779003358339082E-2</c:v>
                </c:pt>
                <c:pt idx="63">
                  <c:v>-0.13681533149734726</c:v>
                </c:pt>
                <c:pt idx="64">
                  <c:v>-4.6493674203039959E-2</c:v>
                </c:pt>
                <c:pt idx="65">
                  <c:v>0.42858528901915882</c:v>
                </c:pt>
                <c:pt idx="66">
                  <c:v>0.29621323743317873</c:v>
                </c:pt>
                <c:pt idx="67">
                  <c:v>0.41611953372725807</c:v>
                </c:pt>
                <c:pt idx="68">
                  <c:v>-0.24921865496389728</c:v>
                </c:pt>
                <c:pt idx="69">
                  <c:v>-1.1185858769551302</c:v>
                </c:pt>
                <c:pt idx="70">
                  <c:v>-1.0066978236051165</c:v>
                </c:pt>
                <c:pt idx="71">
                  <c:v>-0.97046840900847897</c:v>
                </c:pt>
                <c:pt idx="72">
                  <c:v>-0.8649314095477223</c:v>
                </c:pt>
                <c:pt idx="73">
                  <c:v>-0.51648485967943092</c:v>
                </c:pt>
                <c:pt idx="74">
                  <c:v>-0.40855835899435</c:v>
                </c:pt>
                <c:pt idx="75">
                  <c:v>-1.1267871451834681</c:v>
                </c:pt>
                <c:pt idx="76">
                  <c:v>-0.79549111849009435</c:v>
                </c:pt>
                <c:pt idx="77">
                  <c:v>-0.57773064640432636</c:v>
                </c:pt>
                <c:pt idx="78">
                  <c:v>-0.72118054157702716</c:v>
                </c:pt>
                <c:pt idx="79">
                  <c:v>0.3692435510098786</c:v>
                </c:pt>
                <c:pt idx="80">
                  <c:v>0.63767948612357195</c:v>
                </c:pt>
                <c:pt idx="81">
                  <c:v>0.70750288705681008</c:v>
                </c:pt>
                <c:pt idx="82">
                  <c:v>1.3530219355059634</c:v>
                </c:pt>
                <c:pt idx="83">
                  <c:v>0.128744829006191</c:v>
                </c:pt>
                <c:pt idx="84">
                  <c:v>-0.28263965999118668</c:v>
                </c:pt>
                <c:pt idx="85">
                  <c:v>-0.58117913214566741</c:v>
                </c:pt>
                <c:pt idx="86">
                  <c:v>-0.61529116421352104</c:v>
                </c:pt>
                <c:pt idx="87">
                  <c:v>0.62153560558066623</c:v>
                </c:pt>
                <c:pt idx="88">
                  <c:v>0.81586230780203639</c:v>
                </c:pt>
                <c:pt idx="89">
                  <c:v>0.51826640844822247</c:v>
                </c:pt>
                <c:pt idx="90">
                  <c:v>6.5553983245072445E-3</c:v>
                </c:pt>
                <c:pt idx="91">
                  <c:v>-0.31417435696615748</c:v>
                </c:pt>
                <c:pt idx="92">
                  <c:v>-0.34138498817408003</c:v>
                </c:pt>
                <c:pt idx="93">
                  <c:v>-5.2487814781721376E-2</c:v>
                </c:pt>
                <c:pt idx="94">
                  <c:v>0.13532017072582114</c:v>
                </c:pt>
                <c:pt idx="95">
                  <c:v>0.22961438191845929</c:v>
                </c:pt>
                <c:pt idx="96">
                  <c:v>-1.0492746992500024E-2</c:v>
                </c:pt>
                <c:pt idx="97">
                  <c:v>2.398064680232892E-2</c:v>
                </c:pt>
                <c:pt idx="98">
                  <c:v>0.15211297004291957</c:v>
                </c:pt>
                <c:pt idx="99">
                  <c:v>0.17936295386520218</c:v>
                </c:pt>
                <c:pt idx="100">
                  <c:v>0.29571592031984295</c:v>
                </c:pt>
                <c:pt idx="101">
                  <c:v>-0.12229183931152399</c:v>
                </c:pt>
                <c:pt idx="102">
                  <c:v>-0.21870455941852462</c:v>
                </c:pt>
                <c:pt idx="103">
                  <c:v>-0.37619513238425473</c:v>
                </c:pt>
                <c:pt idx="104">
                  <c:v>-0.48066347028393963</c:v>
                </c:pt>
                <c:pt idx="105">
                  <c:v>0.14201875936885955</c:v>
                </c:pt>
                <c:pt idx="106">
                  <c:v>-9.1029812685706979E-2</c:v>
                </c:pt>
                <c:pt idx="107">
                  <c:v>0.10580086166720548</c:v>
                </c:pt>
                <c:pt idx="108">
                  <c:v>-0.30073545264339518</c:v>
                </c:pt>
                <c:pt idx="109">
                  <c:v>-0.68241921419381768</c:v>
                </c:pt>
                <c:pt idx="110">
                  <c:v>-0.83186853512621983</c:v>
                </c:pt>
                <c:pt idx="111">
                  <c:v>-1.3267225042155539</c:v>
                </c:pt>
                <c:pt idx="112">
                  <c:v>-1.1060325981993655</c:v>
                </c:pt>
                <c:pt idx="113">
                  <c:v>-0.98822095874633664</c:v>
                </c:pt>
                <c:pt idx="114">
                  <c:v>-0.55749667654357893</c:v>
                </c:pt>
                <c:pt idx="115">
                  <c:v>-0.37686945355183532</c:v>
                </c:pt>
                <c:pt idx="116">
                  <c:v>-4.3237817252496313E-2</c:v>
                </c:pt>
                <c:pt idx="117">
                  <c:v>-0.18358202908709398</c:v>
                </c:pt>
                <c:pt idx="118">
                  <c:v>-0.11090031006206225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49-47D4-9AE1-5325E6D66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74928"/>
        <c:axId val="1207982128"/>
      </c:scatterChart>
      <c:valAx>
        <c:axId val="120797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2128"/>
        <c:crosses val="autoZero"/>
        <c:crossBetween val="midCat"/>
      </c:valAx>
      <c:valAx>
        <c:axId val="120798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49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Boston!$M$6:$M$124</c:f>
              <c:numCache>
                <c:formatCode>General</c:formatCode>
                <c:ptCount val="119"/>
                <c:pt idx="0">
                  <c:v>7.5705460000000002</c:v>
                </c:pt>
                <c:pt idx="1">
                  <c:v>7.5630810000000004</c:v>
                </c:pt>
                <c:pt idx="2">
                  <c:v>7.5716939999999999</c:v>
                </c:pt>
                <c:pt idx="3">
                  <c:v>7.0823109999999998</c:v>
                </c:pt>
                <c:pt idx="4">
                  <c:v>7.0318860000000001</c:v>
                </c:pt>
                <c:pt idx="5">
                  <c:v>6.7085429999999997</c:v>
                </c:pt>
                <c:pt idx="6">
                  <c:v>6.6966960000000002</c:v>
                </c:pt>
                <c:pt idx="7">
                  <c:v>6.7313359999999998</c:v>
                </c:pt>
                <c:pt idx="8">
                  <c:v>6.7306010000000001</c:v>
                </c:pt>
                <c:pt idx="9">
                  <c:v>6.9197959999999998</c:v>
                </c:pt>
                <c:pt idx="10">
                  <c:v>6.7945859999999998</c:v>
                </c:pt>
                <c:pt idx="11">
                  <c:v>6.6613119999999997</c:v>
                </c:pt>
                <c:pt idx="12">
                  <c:v>6.3276209999999997</c:v>
                </c:pt>
                <c:pt idx="13">
                  <c:v>5.980702</c:v>
                </c:pt>
                <c:pt idx="14">
                  <c:v>5.9427760000000003</c:v>
                </c:pt>
                <c:pt idx="15">
                  <c:v>5.9876860000000001</c:v>
                </c:pt>
                <c:pt idx="16">
                  <c:v>6.1407239999999996</c:v>
                </c:pt>
                <c:pt idx="17">
                  <c:v>6.2681230000000001</c:v>
                </c:pt>
                <c:pt idx="18">
                  <c:v>6.0533619999999999</c:v>
                </c:pt>
                <c:pt idx="19">
                  <c:v>6.2030060000000002</c:v>
                </c:pt>
                <c:pt idx="20">
                  <c:v>6.314146</c:v>
                </c:pt>
                <c:pt idx="21">
                  <c:v>6.8037910000000004</c:v>
                </c:pt>
                <c:pt idx="22">
                  <c:v>7.6054550000000001</c:v>
                </c:pt>
                <c:pt idx="23">
                  <c:v>8.6291630000000001</c:v>
                </c:pt>
                <c:pt idx="24">
                  <c:v>9.6192759999999993</c:v>
                </c:pt>
                <c:pt idx="25">
                  <c:v>9.9780300000000004</c:v>
                </c:pt>
                <c:pt idx="26">
                  <c:v>10.27497</c:v>
                </c:pt>
                <c:pt idx="27">
                  <c:v>10.292479999999999</c:v>
                </c:pt>
                <c:pt idx="28">
                  <c:v>10.19218</c:v>
                </c:pt>
                <c:pt idx="29">
                  <c:v>10.15082</c:v>
                </c:pt>
                <c:pt idx="30">
                  <c:v>10.03411</c:v>
                </c:pt>
                <c:pt idx="31">
                  <c:v>9.7762989999999999</c:v>
                </c:pt>
                <c:pt idx="32">
                  <c:v>9.5653810000000004</c:v>
                </c:pt>
                <c:pt idx="33">
                  <c:v>9.5483879999999992</c:v>
                </c:pt>
                <c:pt idx="34">
                  <c:v>9.5591200000000001</c:v>
                </c:pt>
                <c:pt idx="35">
                  <c:v>9.5522629999999999</c:v>
                </c:pt>
                <c:pt idx="36">
                  <c:v>9.3986780000000003</c:v>
                </c:pt>
                <c:pt idx="37">
                  <c:v>9.098929</c:v>
                </c:pt>
                <c:pt idx="38">
                  <c:v>8.5974310000000003</c:v>
                </c:pt>
                <c:pt idx="39">
                  <c:v>8.1464060000000007</c:v>
                </c:pt>
                <c:pt idx="40">
                  <c:v>7.7891589999999997</c:v>
                </c:pt>
                <c:pt idx="41">
                  <c:v>7.5248480000000004</c:v>
                </c:pt>
                <c:pt idx="42">
                  <c:v>7.5810259999999996</c:v>
                </c:pt>
                <c:pt idx="43">
                  <c:v>7.716933</c:v>
                </c:pt>
                <c:pt idx="44">
                  <c:v>7.9283530000000004</c:v>
                </c:pt>
                <c:pt idx="45">
                  <c:v>8.2524080000000009</c:v>
                </c:pt>
                <c:pt idx="46">
                  <c:v>8.3689420000000005</c:v>
                </c:pt>
                <c:pt idx="47">
                  <c:v>8.3374240000000004</c:v>
                </c:pt>
                <c:pt idx="48">
                  <c:v>8.0439480000000003</c:v>
                </c:pt>
                <c:pt idx="49">
                  <c:v>7.6382320000000004</c:v>
                </c:pt>
                <c:pt idx="50">
                  <c:v>7.2944950000000004</c:v>
                </c:pt>
                <c:pt idx="51">
                  <c:v>7.1387879999999999</c:v>
                </c:pt>
                <c:pt idx="52">
                  <c:v>7.0859500000000004</c:v>
                </c:pt>
                <c:pt idx="53">
                  <c:v>7.1649190000000003</c:v>
                </c:pt>
                <c:pt idx="54">
                  <c:v>7.4017470000000003</c:v>
                </c:pt>
                <c:pt idx="55">
                  <c:v>7.4675229999999999</c:v>
                </c:pt>
                <c:pt idx="56">
                  <c:v>7.5741829999999997</c:v>
                </c:pt>
                <c:pt idx="57">
                  <c:v>7.7454299999999998</c:v>
                </c:pt>
                <c:pt idx="58">
                  <c:v>7.7946850000000003</c:v>
                </c:pt>
                <c:pt idx="59">
                  <c:v>7.9971120000000004</c:v>
                </c:pt>
                <c:pt idx="60">
                  <c:v>8.3933879999999998</c:v>
                </c:pt>
                <c:pt idx="61">
                  <c:v>8.7277909999999999</c:v>
                </c:pt>
                <c:pt idx="62">
                  <c:v>8.9559180000000005</c:v>
                </c:pt>
                <c:pt idx="63">
                  <c:v>8.9652890000000003</c:v>
                </c:pt>
                <c:pt idx="64">
                  <c:v>8.9388380000000005</c:v>
                </c:pt>
                <c:pt idx="65">
                  <c:v>8.8041680000000007</c:v>
                </c:pt>
                <c:pt idx="66">
                  <c:v>8.6783000000000001</c:v>
                </c:pt>
                <c:pt idx="67">
                  <c:v>8.7229030000000005</c:v>
                </c:pt>
                <c:pt idx="68">
                  <c:v>8.3944639999999993</c:v>
                </c:pt>
                <c:pt idx="69">
                  <c:v>8.3665579999999995</c:v>
                </c:pt>
                <c:pt idx="70">
                  <c:v>8.2623359999999995</c:v>
                </c:pt>
                <c:pt idx="71">
                  <c:v>7.9589619999999996</c:v>
                </c:pt>
                <c:pt idx="72">
                  <c:v>7.8914819999999999</c:v>
                </c:pt>
                <c:pt idx="73">
                  <c:v>7.5119369999999996</c:v>
                </c:pt>
                <c:pt idx="74">
                  <c:v>7.0210800000000004</c:v>
                </c:pt>
                <c:pt idx="75">
                  <c:v>6.6647220000000003</c:v>
                </c:pt>
                <c:pt idx="76">
                  <c:v>6.3506489999999998</c:v>
                </c:pt>
                <c:pt idx="77">
                  <c:v>5.9567350000000001</c:v>
                </c:pt>
                <c:pt idx="78">
                  <c:v>5.9069209999999996</c:v>
                </c:pt>
                <c:pt idx="79">
                  <c:v>5.8386449999999996</c:v>
                </c:pt>
                <c:pt idx="80">
                  <c:v>5.6546190000000003</c:v>
                </c:pt>
                <c:pt idx="81">
                  <c:v>5.557874</c:v>
                </c:pt>
                <c:pt idx="82">
                  <c:v>5.2163370000000002</c:v>
                </c:pt>
                <c:pt idx="83">
                  <c:v>4.8510470000000003</c:v>
                </c:pt>
                <c:pt idx="84">
                  <c:v>4.5425199999999997</c:v>
                </c:pt>
                <c:pt idx="85">
                  <c:v>4.2675869999999998</c:v>
                </c:pt>
                <c:pt idx="86">
                  <c:v>4.1551109999999998</c:v>
                </c:pt>
                <c:pt idx="87">
                  <c:v>4.3674590000000002</c:v>
                </c:pt>
                <c:pt idx="88">
                  <c:v>4.8126819999999997</c:v>
                </c:pt>
                <c:pt idx="89">
                  <c:v>5.4440010000000001</c:v>
                </c:pt>
                <c:pt idx="90">
                  <c:v>6.1839810000000002</c:v>
                </c:pt>
                <c:pt idx="91">
                  <c:v>6.6947349999999997</c:v>
                </c:pt>
                <c:pt idx="92">
                  <c:v>7.0082760000000004</c:v>
                </c:pt>
                <c:pt idx="93">
                  <c:v>7.1487879999999997</c:v>
                </c:pt>
                <c:pt idx="94">
                  <c:v>7.090916</c:v>
                </c:pt>
                <c:pt idx="95">
                  <c:v>6.8463289999999999</c:v>
                </c:pt>
                <c:pt idx="96">
                  <c:v>6.4971290000000002</c:v>
                </c:pt>
                <c:pt idx="97">
                  <c:v>6.1792319999999998</c:v>
                </c:pt>
                <c:pt idx="98">
                  <c:v>5.8055079999999997</c:v>
                </c:pt>
                <c:pt idx="99">
                  <c:v>5.6350040000000003</c:v>
                </c:pt>
                <c:pt idx="100">
                  <c:v>5.5189380000000003</c:v>
                </c:pt>
                <c:pt idx="101">
                  <c:v>5.3845169999999998</c:v>
                </c:pt>
                <c:pt idx="102">
                  <c:v>5.4154590000000002</c:v>
                </c:pt>
                <c:pt idx="103">
                  <c:v>5.3442720000000001</c:v>
                </c:pt>
                <c:pt idx="104">
                  <c:v>5.2652720000000004</c:v>
                </c:pt>
                <c:pt idx="105">
                  <c:v>5.1582929999999996</c:v>
                </c:pt>
                <c:pt idx="106">
                  <c:v>5.0011609999999997</c:v>
                </c:pt>
                <c:pt idx="107">
                  <c:v>4.9926579999999996</c:v>
                </c:pt>
                <c:pt idx="108">
                  <c:v>4.9403180000000004</c:v>
                </c:pt>
                <c:pt idx="109">
                  <c:v>4.9028739999999997</c:v>
                </c:pt>
                <c:pt idx="110">
                  <c:v>4.9061909999999997</c:v>
                </c:pt>
                <c:pt idx="111">
                  <c:v>4.8044969999999996</c:v>
                </c:pt>
                <c:pt idx="112">
                  <c:v>4.7086300000000003</c:v>
                </c:pt>
                <c:pt idx="113">
                  <c:v>4.6471770000000001</c:v>
                </c:pt>
                <c:pt idx="114">
                  <c:v>4.5179799999999997</c:v>
                </c:pt>
                <c:pt idx="115">
                  <c:v>4.3784609999999997</c:v>
                </c:pt>
                <c:pt idx="116">
                  <c:v>4.2363920000000004</c:v>
                </c:pt>
                <c:pt idx="117">
                  <c:v>4.0612849999999998</c:v>
                </c:pt>
                <c:pt idx="118">
                  <c:v>3.9117540000000002</c:v>
                </c:pt>
              </c:numCache>
            </c:numRef>
          </c:xVal>
          <c:yVal>
            <c:numRef>
              <c:f>'Model1 Bos'!$C$27:$C$145</c:f>
              <c:numCache>
                <c:formatCode>General</c:formatCode>
                <c:ptCount val="119"/>
                <c:pt idx="0">
                  <c:v>-0.57270399129262017</c:v>
                </c:pt>
                <c:pt idx="1">
                  <c:v>-0.86569639702851031</c:v>
                </c:pt>
                <c:pt idx="2">
                  <c:v>-0.92250612355266437</c:v>
                </c:pt>
                <c:pt idx="3">
                  <c:v>-0.48803490405118843</c:v>
                </c:pt>
                <c:pt idx="4">
                  <c:v>-0.54247108947343126</c:v>
                </c:pt>
                <c:pt idx="5">
                  <c:v>-0.12455858086005378</c:v>
                </c:pt>
                <c:pt idx="6">
                  <c:v>-0.19886703571835973</c:v>
                </c:pt>
                <c:pt idx="7">
                  <c:v>-0.35073129481822463</c:v>
                </c:pt>
                <c:pt idx="8">
                  <c:v>-0.73713844137406159</c:v>
                </c:pt>
                <c:pt idx="9">
                  <c:v>-1.2790374933038819</c:v>
                </c:pt>
                <c:pt idx="10">
                  <c:v>-1.233319934983264</c:v>
                </c:pt>
                <c:pt idx="11">
                  <c:v>-1.077326718975959</c:v>
                </c:pt>
                <c:pt idx="12">
                  <c:v>-0.66406488243916151</c:v>
                </c:pt>
                <c:pt idx="13">
                  <c:v>-0.29741368402448121</c:v>
                </c:pt>
                <c:pt idx="14">
                  <c:v>-0.56506779281570463</c:v>
                </c:pt>
                <c:pt idx="15">
                  <c:v>-0.5027827461033274</c:v>
                </c:pt>
                <c:pt idx="16">
                  <c:v>-0.36015198781968127</c:v>
                </c:pt>
                <c:pt idx="17">
                  <c:v>0.18923526083779052</c:v>
                </c:pt>
                <c:pt idx="18">
                  <c:v>1.3074398225725092</c:v>
                </c:pt>
                <c:pt idx="19">
                  <c:v>2.2833599825687632</c:v>
                </c:pt>
                <c:pt idx="20">
                  <c:v>3.3031286429595186</c:v>
                </c:pt>
                <c:pt idx="21">
                  <c:v>3.3592643055944293</c:v>
                </c:pt>
                <c:pt idx="22">
                  <c:v>3.0704520675676177</c:v>
                </c:pt>
                <c:pt idx="23">
                  <c:v>2.2908687498381575</c:v>
                </c:pt>
                <c:pt idx="24">
                  <c:v>1.1079332532995352</c:v>
                </c:pt>
                <c:pt idx="25">
                  <c:v>0.4991955749746193</c:v>
                </c:pt>
                <c:pt idx="26">
                  <c:v>0.18905846107415591</c:v>
                </c:pt>
                <c:pt idx="27">
                  <c:v>-4.1561982101496753E-2</c:v>
                </c:pt>
                <c:pt idx="28">
                  <c:v>-0.13425169457646113</c:v>
                </c:pt>
                <c:pt idx="29">
                  <c:v>-4.8503515484838999E-2</c:v>
                </c:pt>
                <c:pt idx="30">
                  <c:v>4.4188769321790389E-2</c:v>
                </c:pt>
                <c:pt idx="31">
                  <c:v>0.24816347904117464</c:v>
                </c:pt>
                <c:pt idx="32">
                  <c:v>0.30041984327888294</c:v>
                </c:pt>
                <c:pt idx="33">
                  <c:v>-9.5293351693737094E-3</c:v>
                </c:pt>
                <c:pt idx="34">
                  <c:v>-0.49153472147966681</c:v>
                </c:pt>
                <c:pt idx="35">
                  <c:v>-0.87378200194550537</c:v>
                </c:pt>
                <c:pt idx="36">
                  <c:v>-0.95363936214244127</c:v>
                </c:pt>
                <c:pt idx="37">
                  <c:v>-0.80262372273601379</c:v>
                </c:pt>
                <c:pt idx="38">
                  <c:v>-0.3801786152093154</c:v>
                </c:pt>
                <c:pt idx="39">
                  <c:v>7.3678737954127271E-2</c:v>
                </c:pt>
                <c:pt idx="40">
                  <c:v>0.60236826604251714</c:v>
                </c:pt>
                <c:pt idx="41">
                  <c:v>1.1455133869282896</c:v>
                </c:pt>
                <c:pt idx="42">
                  <c:v>1.1464890833082588</c:v>
                </c:pt>
                <c:pt idx="43">
                  <c:v>0.94644026800196634</c:v>
                </c:pt>
                <c:pt idx="44">
                  <c:v>0.42798333019788437</c:v>
                </c:pt>
                <c:pt idx="45">
                  <c:v>-0.31158201095163029</c:v>
                </c:pt>
                <c:pt idx="46">
                  <c:v>-0.47026193655465054</c:v>
                </c:pt>
                <c:pt idx="47">
                  <c:v>-0.2702011870183334</c:v>
                </c:pt>
                <c:pt idx="48">
                  <c:v>-5.8107639429914038E-2</c:v>
                </c:pt>
                <c:pt idx="49">
                  <c:v>0.4225923134653069</c:v>
                </c:pt>
                <c:pt idx="50">
                  <c:v>0.8932814957449704</c:v>
                </c:pt>
                <c:pt idx="51">
                  <c:v>1.0366223018341527</c:v>
                </c:pt>
                <c:pt idx="52">
                  <c:v>0.96270295825740959</c:v>
                </c:pt>
                <c:pt idx="53">
                  <c:v>0.81379122512223301</c:v>
                </c:pt>
                <c:pt idx="54">
                  <c:v>0.39643353821709848</c:v>
                </c:pt>
                <c:pt idx="55">
                  <c:v>0.30695779519857247</c:v>
                </c:pt>
                <c:pt idx="56">
                  <c:v>0.53834126353705702</c:v>
                </c:pt>
                <c:pt idx="57">
                  <c:v>0.67476932016631963</c:v>
                </c:pt>
                <c:pt idx="58">
                  <c:v>0.97374465898129081</c:v>
                </c:pt>
                <c:pt idx="59">
                  <c:v>0.88154323634710607</c:v>
                </c:pt>
                <c:pt idx="60">
                  <c:v>0.57470154851623256</c:v>
                </c:pt>
                <c:pt idx="61">
                  <c:v>0.2513597771640228</c:v>
                </c:pt>
                <c:pt idx="62">
                  <c:v>-0.11970732512670601</c:v>
                </c:pt>
                <c:pt idx="63">
                  <c:v>-7.9857989654016137E-2</c:v>
                </c:pt>
                <c:pt idx="64">
                  <c:v>-0.37271956719970056</c:v>
                </c:pt>
                <c:pt idx="65">
                  <c:v>-0.38467806689285133</c:v>
                </c:pt>
                <c:pt idx="66">
                  <c:v>-0.34452458347408843</c:v>
                </c:pt>
                <c:pt idx="67">
                  <c:v>-0.67164390134450436</c:v>
                </c:pt>
                <c:pt idx="68">
                  <c:v>-0.35022302392722082</c:v>
                </c:pt>
                <c:pt idx="69">
                  <c:v>-0.5565235159053401</c:v>
                </c:pt>
                <c:pt idx="70">
                  <c:v>-0.86955497955431138</c:v>
                </c:pt>
                <c:pt idx="71">
                  <c:v>-0.89826392549297118</c:v>
                </c:pt>
                <c:pt idx="72">
                  <c:v>-1.1386881843027465</c:v>
                </c:pt>
                <c:pt idx="73">
                  <c:v>-1.2417511328962894</c:v>
                </c:pt>
                <c:pt idx="74">
                  <c:v>-0.86572237839728849</c:v>
                </c:pt>
                <c:pt idx="75">
                  <c:v>-0.60271062682032017</c:v>
                </c:pt>
                <c:pt idx="76">
                  <c:v>-0.48943981267473546</c:v>
                </c:pt>
                <c:pt idx="77">
                  <c:v>-0.2790629806614735</c:v>
                </c:pt>
                <c:pt idx="78">
                  <c:v>-0.54506325601337569</c:v>
                </c:pt>
                <c:pt idx="79">
                  <c:v>-0.80617229657529865</c:v>
                </c:pt>
                <c:pt idx="80">
                  <c:v>-0.92711931043395879</c:v>
                </c:pt>
                <c:pt idx="81">
                  <c:v>-1.079743702235846</c:v>
                </c:pt>
                <c:pt idx="82">
                  <c:v>-0.94034151850510472</c:v>
                </c:pt>
                <c:pt idx="83">
                  <c:v>-0.42278787875986445</c:v>
                </c:pt>
                <c:pt idx="84">
                  <c:v>0.13548351111921342</c:v>
                </c:pt>
                <c:pt idx="85">
                  <c:v>0.71442755784802614</c:v>
                </c:pt>
                <c:pt idx="86">
                  <c:v>1.444718487741504</c:v>
                </c:pt>
                <c:pt idx="87">
                  <c:v>1.7404501116124926</c:v>
                </c:pt>
                <c:pt idx="88">
                  <c:v>1.6940002349696899</c:v>
                </c:pt>
                <c:pt idx="89">
                  <c:v>1.4753952538123745</c:v>
                </c:pt>
                <c:pt idx="90">
                  <c:v>0.91047522073449105</c:v>
                </c:pt>
                <c:pt idx="91">
                  <c:v>0.2434327917298722</c:v>
                </c:pt>
                <c:pt idx="92">
                  <c:v>-0.41657284168277098</c:v>
                </c:pt>
                <c:pt idx="93">
                  <c:v>-0.76017452485535486</c:v>
                </c:pt>
                <c:pt idx="94">
                  <c:v>-1.1601517561741819</c:v>
                </c:pt>
                <c:pt idx="95">
                  <c:v>-0.92783248976001254</c:v>
                </c:pt>
                <c:pt idx="96">
                  <c:v>-0.70498419163591386</c:v>
                </c:pt>
                <c:pt idx="97">
                  <c:v>-0.6038236594006916</c:v>
                </c:pt>
                <c:pt idx="98">
                  <c:v>-8.7084093460804368E-2</c:v>
                </c:pt>
                <c:pt idx="99">
                  <c:v>-0.13643801205039452</c:v>
                </c:pt>
                <c:pt idx="100">
                  <c:v>9.361137059557656E-3</c:v>
                </c:pt>
                <c:pt idx="101">
                  <c:v>2.4505227531550489E-3</c:v>
                </c:pt>
                <c:pt idx="102">
                  <c:v>-0.23047592282854623</c:v>
                </c:pt>
                <c:pt idx="103">
                  <c:v>-0.20161127405926837</c:v>
                </c:pt>
                <c:pt idx="104">
                  <c:v>-0.32115346129152567</c:v>
                </c:pt>
                <c:pt idx="105">
                  <c:v>-0.24731044576174543</c:v>
                </c:pt>
                <c:pt idx="106">
                  <c:v>-7.9929321888903893E-2</c:v>
                </c:pt>
                <c:pt idx="107">
                  <c:v>-0.19876376760832581</c:v>
                </c:pt>
                <c:pt idx="108">
                  <c:v>-0.20290460112972486</c:v>
                </c:pt>
                <c:pt idx="109">
                  <c:v>-0.15735305133493682</c:v>
                </c:pt>
                <c:pt idx="110">
                  <c:v>-0.31631942977969096</c:v>
                </c:pt>
                <c:pt idx="111">
                  <c:v>-0.33975351392819775</c:v>
                </c:pt>
                <c:pt idx="112">
                  <c:v>-0.39550541807830442</c:v>
                </c:pt>
                <c:pt idx="113">
                  <c:v>-0.57850558312745992</c:v>
                </c:pt>
                <c:pt idx="114">
                  <c:v>-0.58903608050019685</c:v>
                </c:pt>
                <c:pt idx="115">
                  <c:v>-0.50478587861464419</c:v>
                </c:pt>
                <c:pt idx="116">
                  <c:v>-0.39063531895072723</c:v>
                </c:pt>
                <c:pt idx="117">
                  <c:v>-0.29966603931352154</c:v>
                </c:pt>
                <c:pt idx="118">
                  <c:v>-0.167516089796103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F4-4526-AA19-A8AFA688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4816"/>
        <c:axId val="699220288"/>
      </c:scatterChart>
      <c:valAx>
        <c:axId val="6587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9220288"/>
        <c:crosses val="autoZero"/>
        <c:crossBetween val="midCat"/>
      </c:valAx>
      <c:valAx>
        <c:axId val="699220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74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Bos'!$C$27:$C$145</c:f>
              <c:numCache>
                <c:formatCode>General</c:formatCode>
                <c:ptCount val="119"/>
                <c:pt idx="0">
                  <c:v>-0.57270399129262017</c:v>
                </c:pt>
                <c:pt idx="1">
                  <c:v>-0.86569639702851031</c:v>
                </c:pt>
                <c:pt idx="2">
                  <c:v>-0.92250612355266437</c:v>
                </c:pt>
                <c:pt idx="3">
                  <c:v>-0.48803490405118843</c:v>
                </c:pt>
                <c:pt idx="4">
                  <c:v>-0.54247108947343126</c:v>
                </c:pt>
                <c:pt idx="5">
                  <c:v>-0.12455858086005378</c:v>
                </c:pt>
                <c:pt idx="6">
                  <c:v>-0.19886703571835973</c:v>
                </c:pt>
                <c:pt idx="7">
                  <c:v>-0.35073129481822463</c:v>
                </c:pt>
                <c:pt idx="8">
                  <c:v>-0.73713844137406159</c:v>
                </c:pt>
                <c:pt idx="9">
                  <c:v>-1.2790374933038819</c:v>
                </c:pt>
                <c:pt idx="10">
                  <c:v>-1.233319934983264</c:v>
                </c:pt>
                <c:pt idx="11">
                  <c:v>-1.077326718975959</c:v>
                </c:pt>
                <c:pt idx="12">
                  <c:v>-0.66406488243916151</c:v>
                </c:pt>
                <c:pt idx="13">
                  <c:v>-0.29741368402448121</c:v>
                </c:pt>
                <c:pt idx="14">
                  <c:v>-0.56506779281570463</c:v>
                </c:pt>
                <c:pt idx="15">
                  <c:v>-0.5027827461033274</c:v>
                </c:pt>
                <c:pt idx="16">
                  <c:v>-0.36015198781968127</c:v>
                </c:pt>
                <c:pt idx="17">
                  <c:v>0.18923526083779052</c:v>
                </c:pt>
                <c:pt idx="18">
                  <c:v>1.3074398225725092</c:v>
                </c:pt>
                <c:pt idx="19">
                  <c:v>2.2833599825687632</c:v>
                </c:pt>
                <c:pt idx="20">
                  <c:v>3.3031286429595186</c:v>
                </c:pt>
                <c:pt idx="21">
                  <c:v>3.3592643055944293</c:v>
                </c:pt>
                <c:pt idx="22">
                  <c:v>3.0704520675676177</c:v>
                </c:pt>
                <c:pt idx="23">
                  <c:v>2.2908687498381575</c:v>
                </c:pt>
                <c:pt idx="24">
                  <c:v>1.1079332532995352</c:v>
                </c:pt>
                <c:pt idx="25">
                  <c:v>0.4991955749746193</c:v>
                </c:pt>
                <c:pt idx="26">
                  <c:v>0.18905846107415591</c:v>
                </c:pt>
                <c:pt idx="27">
                  <c:v>-4.1561982101496753E-2</c:v>
                </c:pt>
                <c:pt idx="28">
                  <c:v>-0.13425169457646113</c:v>
                </c:pt>
                <c:pt idx="29">
                  <c:v>-4.8503515484838999E-2</c:v>
                </c:pt>
                <c:pt idx="30">
                  <c:v>4.4188769321790389E-2</c:v>
                </c:pt>
                <c:pt idx="31">
                  <c:v>0.24816347904117464</c:v>
                </c:pt>
                <c:pt idx="32">
                  <c:v>0.30041984327888294</c:v>
                </c:pt>
                <c:pt idx="33">
                  <c:v>-9.5293351693737094E-3</c:v>
                </c:pt>
                <c:pt idx="34">
                  <c:v>-0.49153472147966681</c:v>
                </c:pt>
                <c:pt idx="35">
                  <c:v>-0.87378200194550537</c:v>
                </c:pt>
                <c:pt idx="36">
                  <c:v>-0.95363936214244127</c:v>
                </c:pt>
                <c:pt idx="37">
                  <c:v>-0.80262372273601379</c:v>
                </c:pt>
                <c:pt idx="38">
                  <c:v>-0.3801786152093154</c:v>
                </c:pt>
                <c:pt idx="39">
                  <c:v>7.3678737954127271E-2</c:v>
                </c:pt>
                <c:pt idx="40">
                  <c:v>0.60236826604251714</c:v>
                </c:pt>
                <c:pt idx="41">
                  <c:v>1.1455133869282896</c:v>
                </c:pt>
                <c:pt idx="42">
                  <c:v>1.1464890833082588</c:v>
                </c:pt>
                <c:pt idx="43">
                  <c:v>0.94644026800196634</c:v>
                </c:pt>
                <c:pt idx="44">
                  <c:v>0.42798333019788437</c:v>
                </c:pt>
                <c:pt idx="45">
                  <c:v>-0.31158201095163029</c:v>
                </c:pt>
                <c:pt idx="46">
                  <c:v>-0.47026193655465054</c:v>
                </c:pt>
                <c:pt idx="47">
                  <c:v>-0.2702011870183334</c:v>
                </c:pt>
                <c:pt idx="48">
                  <c:v>-5.8107639429914038E-2</c:v>
                </c:pt>
                <c:pt idx="49">
                  <c:v>0.4225923134653069</c:v>
                </c:pt>
                <c:pt idx="50">
                  <c:v>0.8932814957449704</c:v>
                </c:pt>
                <c:pt idx="51">
                  <c:v>1.0366223018341527</c:v>
                </c:pt>
                <c:pt idx="52">
                  <c:v>0.96270295825740959</c:v>
                </c:pt>
                <c:pt idx="53">
                  <c:v>0.81379122512223301</c:v>
                </c:pt>
                <c:pt idx="54">
                  <c:v>0.39643353821709848</c:v>
                </c:pt>
                <c:pt idx="55">
                  <c:v>0.30695779519857247</c:v>
                </c:pt>
                <c:pt idx="56">
                  <c:v>0.53834126353705702</c:v>
                </c:pt>
                <c:pt idx="57">
                  <c:v>0.67476932016631963</c:v>
                </c:pt>
                <c:pt idx="58">
                  <c:v>0.97374465898129081</c:v>
                </c:pt>
                <c:pt idx="59">
                  <c:v>0.88154323634710607</c:v>
                </c:pt>
                <c:pt idx="60">
                  <c:v>0.57470154851623256</c:v>
                </c:pt>
                <c:pt idx="61">
                  <c:v>0.2513597771640228</c:v>
                </c:pt>
                <c:pt idx="62">
                  <c:v>-0.11970732512670601</c:v>
                </c:pt>
                <c:pt idx="63">
                  <c:v>-7.9857989654016137E-2</c:v>
                </c:pt>
                <c:pt idx="64">
                  <c:v>-0.37271956719970056</c:v>
                </c:pt>
                <c:pt idx="65">
                  <c:v>-0.38467806689285133</c:v>
                </c:pt>
                <c:pt idx="66">
                  <c:v>-0.34452458347408843</c:v>
                </c:pt>
                <c:pt idx="67">
                  <c:v>-0.67164390134450436</c:v>
                </c:pt>
                <c:pt idx="68">
                  <c:v>-0.35022302392722082</c:v>
                </c:pt>
                <c:pt idx="69">
                  <c:v>-0.5565235159053401</c:v>
                </c:pt>
                <c:pt idx="70">
                  <c:v>-0.86955497955431138</c:v>
                </c:pt>
                <c:pt idx="71">
                  <c:v>-0.89826392549297118</c:v>
                </c:pt>
                <c:pt idx="72">
                  <c:v>-1.1386881843027465</c:v>
                </c:pt>
                <c:pt idx="73">
                  <c:v>-1.2417511328962894</c:v>
                </c:pt>
                <c:pt idx="74">
                  <c:v>-0.86572237839728849</c:v>
                </c:pt>
                <c:pt idx="75">
                  <c:v>-0.60271062682032017</c:v>
                </c:pt>
                <c:pt idx="76">
                  <c:v>-0.48943981267473546</c:v>
                </c:pt>
                <c:pt idx="77">
                  <c:v>-0.2790629806614735</c:v>
                </c:pt>
                <c:pt idx="78">
                  <c:v>-0.54506325601337569</c:v>
                </c:pt>
                <c:pt idx="79">
                  <c:v>-0.80617229657529865</c:v>
                </c:pt>
                <c:pt idx="80">
                  <c:v>-0.92711931043395879</c:v>
                </c:pt>
                <c:pt idx="81">
                  <c:v>-1.079743702235846</c:v>
                </c:pt>
                <c:pt idx="82">
                  <c:v>-0.94034151850510472</c:v>
                </c:pt>
                <c:pt idx="83">
                  <c:v>-0.42278787875986445</c:v>
                </c:pt>
                <c:pt idx="84">
                  <c:v>0.13548351111921342</c:v>
                </c:pt>
                <c:pt idx="85">
                  <c:v>0.71442755784802614</c:v>
                </c:pt>
                <c:pt idx="86">
                  <c:v>1.444718487741504</c:v>
                </c:pt>
                <c:pt idx="87">
                  <c:v>1.7404501116124926</c:v>
                </c:pt>
                <c:pt idx="88">
                  <c:v>1.6940002349696899</c:v>
                </c:pt>
                <c:pt idx="89">
                  <c:v>1.4753952538123745</c:v>
                </c:pt>
                <c:pt idx="90">
                  <c:v>0.91047522073449105</c:v>
                </c:pt>
                <c:pt idx="91">
                  <c:v>0.2434327917298722</c:v>
                </c:pt>
                <c:pt idx="92">
                  <c:v>-0.41657284168277098</c:v>
                </c:pt>
                <c:pt idx="93">
                  <c:v>-0.76017452485535486</c:v>
                </c:pt>
                <c:pt idx="94">
                  <c:v>-1.1601517561741819</c:v>
                </c:pt>
                <c:pt idx="95">
                  <c:v>-0.92783248976001254</c:v>
                </c:pt>
                <c:pt idx="96">
                  <c:v>-0.70498419163591386</c:v>
                </c:pt>
                <c:pt idx="97">
                  <c:v>-0.6038236594006916</c:v>
                </c:pt>
                <c:pt idx="98">
                  <c:v>-8.7084093460804368E-2</c:v>
                </c:pt>
                <c:pt idx="99">
                  <c:v>-0.13643801205039452</c:v>
                </c:pt>
                <c:pt idx="100">
                  <c:v>9.361137059557656E-3</c:v>
                </c:pt>
                <c:pt idx="101">
                  <c:v>2.4505227531550489E-3</c:v>
                </c:pt>
                <c:pt idx="102">
                  <c:v>-0.23047592282854623</c:v>
                </c:pt>
                <c:pt idx="103">
                  <c:v>-0.20161127405926837</c:v>
                </c:pt>
                <c:pt idx="104">
                  <c:v>-0.32115346129152567</c:v>
                </c:pt>
                <c:pt idx="105">
                  <c:v>-0.24731044576174543</c:v>
                </c:pt>
                <c:pt idx="106">
                  <c:v>-7.9929321888903893E-2</c:v>
                </c:pt>
                <c:pt idx="107">
                  <c:v>-0.19876376760832581</c:v>
                </c:pt>
                <c:pt idx="108">
                  <c:v>-0.20290460112972486</c:v>
                </c:pt>
                <c:pt idx="109">
                  <c:v>-0.15735305133493682</c:v>
                </c:pt>
                <c:pt idx="110">
                  <c:v>-0.31631942977969096</c:v>
                </c:pt>
                <c:pt idx="111">
                  <c:v>-0.33975351392819775</c:v>
                </c:pt>
                <c:pt idx="112">
                  <c:v>-0.39550541807830442</c:v>
                </c:pt>
                <c:pt idx="113">
                  <c:v>-0.57850558312745992</c:v>
                </c:pt>
                <c:pt idx="114">
                  <c:v>-0.58903608050019685</c:v>
                </c:pt>
                <c:pt idx="115">
                  <c:v>-0.50478587861464419</c:v>
                </c:pt>
                <c:pt idx="116">
                  <c:v>-0.39063531895072723</c:v>
                </c:pt>
                <c:pt idx="117">
                  <c:v>-0.29966603931352154</c:v>
                </c:pt>
                <c:pt idx="118">
                  <c:v>-0.167516089796103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AF-43DC-A076-0C9F34A1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520032"/>
        <c:axId val="65889264"/>
      </c:scatterChart>
      <c:valAx>
        <c:axId val="57252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89264"/>
        <c:crosses val="autoZero"/>
        <c:crossBetween val="midCat"/>
      </c:valAx>
      <c:valAx>
        <c:axId val="65889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520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Boston!$O$6:$O$124</c:f>
              <c:numCache>
                <c:formatCode>General</c:formatCode>
                <c:ptCount val="119"/>
                <c:pt idx="0">
                  <c:v>1.0163511187607575</c:v>
                </c:pt>
                <c:pt idx="1">
                  <c:v>1.0415028396679773</c:v>
                </c:pt>
                <c:pt idx="2">
                  <c:v>1.0306695464362852</c:v>
                </c:pt>
                <c:pt idx="3">
                  <c:v>1.0205128205128204</c:v>
                </c:pt>
                <c:pt idx="4">
                  <c:v>0.98602878916172731</c:v>
                </c:pt>
                <c:pt idx="5">
                  <c:v>0.95343959731543626</c:v>
                </c:pt>
                <c:pt idx="6">
                  <c:v>0.9522212908633696</c:v>
                </c:pt>
                <c:pt idx="7">
                  <c:v>0.95100502512562823</c:v>
                </c:pt>
                <c:pt idx="8">
                  <c:v>0.9428939458995278</c:v>
                </c:pt>
                <c:pt idx="9">
                  <c:v>0.93488781346238448</c:v>
                </c:pt>
                <c:pt idx="10">
                  <c:v>0.926056338028169</c:v>
                </c:pt>
                <c:pt idx="11">
                  <c:v>0.91677675033025097</c:v>
                </c:pt>
                <c:pt idx="12">
                  <c:v>0.89617486338797814</c:v>
                </c:pt>
                <c:pt idx="13">
                  <c:v>0.87576470588235289</c:v>
                </c:pt>
                <c:pt idx="14">
                  <c:v>0.83365019011406838</c:v>
                </c:pt>
                <c:pt idx="15">
                  <c:v>0.79442843419788656</c:v>
                </c:pt>
                <c:pt idx="16">
                  <c:v>0.86331300813008127</c:v>
                </c:pt>
                <c:pt idx="17">
                  <c:v>0.93820526598602905</c:v>
                </c:pt>
                <c:pt idx="18">
                  <c:v>0.97491448118586099</c:v>
                </c:pt>
                <c:pt idx="19">
                  <c:v>1.012696493349456</c:v>
                </c:pt>
                <c:pt idx="20">
                  <c:v>1.0523837551500883</c:v>
                </c:pt>
                <c:pt idx="21">
                  <c:v>1.0927835051546391</c:v>
                </c:pt>
                <c:pt idx="22">
                  <c:v>1.1216374269005847</c:v>
                </c:pt>
                <c:pt idx="23">
                  <c:v>1.1510447761194031</c:v>
                </c:pt>
                <c:pt idx="24">
                  <c:v>1.0576062639821029</c:v>
                </c:pt>
                <c:pt idx="25">
                  <c:v>0.97169811320754718</c:v>
                </c:pt>
                <c:pt idx="26">
                  <c:v>1.0036496350364963</c:v>
                </c:pt>
                <c:pt idx="27">
                  <c:v>1.0368257261410787</c:v>
                </c:pt>
                <c:pt idx="28">
                  <c:v>1.0407191961924906</c:v>
                </c:pt>
                <c:pt idx="29">
                  <c:v>1.0447680690399137</c:v>
                </c:pt>
                <c:pt idx="30">
                  <c:v>1.0296103896103896</c:v>
                </c:pt>
                <c:pt idx="31">
                  <c:v>1.014007003501751</c:v>
                </c:pt>
                <c:pt idx="32">
                  <c:v>1.0264227642276422</c:v>
                </c:pt>
                <c:pt idx="33">
                  <c:v>1.0392359318533815</c:v>
                </c:pt>
                <c:pt idx="34">
                  <c:v>1.0534813319878908</c:v>
                </c:pt>
                <c:pt idx="35">
                  <c:v>1.0685742476566356</c:v>
                </c:pt>
                <c:pt idx="36">
                  <c:v>1.1391089108910892</c:v>
                </c:pt>
                <c:pt idx="37">
                  <c:v>1.213611525086935</c:v>
                </c:pt>
                <c:pt idx="38">
                  <c:v>1.1752873563218391</c:v>
                </c:pt>
                <c:pt idx="39">
                  <c:v>1.1380424746075715</c:v>
                </c:pt>
                <c:pt idx="40">
                  <c:v>1.1355932203389829</c:v>
                </c:pt>
                <c:pt idx="41">
                  <c:v>1.1338518215309046</c:v>
                </c:pt>
                <c:pt idx="42">
                  <c:v>1.0929095354523228</c:v>
                </c:pt>
                <c:pt idx="43">
                  <c:v>1.0535496957403652</c:v>
                </c:pt>
                <c:pt idx="44">
                  <c:v>1.0432453119020284</c:v>
                </c:pt>
                <c:pt idx="45">
                  <c:v>1.0328519855595668</c:v>
                </c:pt>
                <c:pt idx="46">
                  <c:v>1.1662938105891125</c:v>
                </c:pt>
                <c:pt idx="47">
                  <c:v>1.3172891798228727</c:v>
                </c:pt>
                <c:pt idx="48">
                  <c:v>1.3341892883345559</c:v>
                </c:pt>
                <c:pt idx="49">
                  <c:v>1.3516253058371199</c:v>
                </c:pt>
                <c:pt idx="50">
                  <c:v>1.3184143222506395</c:v>
                </c:pt>
                <c:pt idx="51">
                  <c:v>1.2855890090616777</c:v>
                </c:pt>
                <c:pt idx="52">
                  <c:v>1.1721198790211715</c:v>
                </c:pt>
                <c:pt idx="53">
                  <c:v>1.0685285751228342</c:v>
                </c:pt>
                <c:pt idx="54">
                  <c:v>0.94422890397672155</c:v>
                </c:pt>
                <c:pt idx="55">
                  <c:v>0.83447021373351538</c:v>
                </c:pt>
                <c:pt idx="56">
                  <c:v>0.81116584564860417</c:v>
                </c:pt>
                <c:pt idx="57">
                  <c:v>0.78872216844143284</c:v>
                </c:pt>
                <c:pt idx="58">
                  <c:v>0.81330251669234732</c:v>
                </c:pt>
                <c:pt idx="59">
                  <c:v>0.83569482288828334</c:v>
                </c:pt>
                <c:pt idx="60">
                  <c:v>0.85685367264314638</c:v>
                </c:pt>
                <c:pt idx="61">
                  <c:v>0.88892298250997226</c:v>
                </c:pt>
                <c:pt idx="62">
                  <c:v>0.88380170508367528</c:v>
                </c:pt>
                <c:pt idx="63">
                  <c:v>0.88686012389957602</c:v>
                </c:pt>
                <c:pt idx="64">
                  <c:v>0.88457644279446512</c:v>
                </c:pt>
                <c:pt idx="65">
                  <c:v>0.85916465308940293</c:v>
                </c:pt>
                <c:pt idx="66">
                  <c:v>0.86709539121114687</c:v>
                </c:pt>
                <c:pt idx="67">
                  <c:v>0.86948529411764708</c:v>
                </c:pt>
                <c:pt idx="68">
                  <c:v>0.92178557802365502</c:v>
                </c:pt>
                <c:pt idx="69">
                  <c:v>0.98272398553635998</c:v>
                </c:pt>
                <c:pt idx="70">
                  <c:v>1.0234857849196539</c:v>
                </c:pt>
                <c:pt idx="71">
                  <c:v>1.0625792811839323</c:v>
                </c:pt>
                <c:pt idx="72">
                  <c:v>1.072433774834437</c:v>
                </c:pt>
                <c:pt idx="73">
                  <c:v>1.0739983646770237</c:v>
                </c:pt>
                <c:pt idx="74">
                  <c:v>1.0736714975845412</c:v>
                </c:pt>
                <c:pt idx="75">
                  <c:v>1.0791882212495028</c:v>
                </c:pt>
                <c:pt idx="76">
                  <c:v>1.0945580856812041</c:v>
                </c:pt>
                <c:pt idx="77">
                  <c:v>1.0883136657784545</c:v>
                </c:pt>
                <c:pt idx="78">
                  <c:v>1.0997375328083989</c:v>
                </c:pt>
                <c:pt idx="79">
                  <c:v>1.1061946902654867</c:v>
                </c:pt>
                <c:pt idx="80">
                  <c:v>1.1026093088857545</c:v>
                </c:pt>
                <c:pt idx="81">
                  <c:v>1.1266176984959777</c:v>
                </c:pt>
                <c:pt idx="82">
                  <c:v>1.1101261506989433</c:v>
                </c:pt>
                <c:pt idx="83">
                  <c:v>1.0903333333333334</c:v>
                </c:pt>
                <c:pt idx="84">
                  <c:v>1.0115126319155741</c:v>
                </c:pt>
                <c:pt idx="85">
                  <c:v>0.90468798509779569</c:v>
                </c:pt>
                <c:pt idx="86">
                  <c:v>0.8648648648648648</c:v>
                </c:pt>
                <c:pt idx="87">
                  <c:v>0.84775298073983485</c:v>
                </c:pt>
                <c:pt idx="88">
                  <c:v>0.86215618084097378</c:v>
                </c:pt>
                <c:pt idx="89">
                  <c:v>0.93136582017844882</c:v>
                </c:pt>
                <c:pt idx="90">
                  <c:v>0.96200284090909094</c:v>
                </c:pt>
                <c:pt idx="91">
                  <c:v>0.9686260367832672</c:v>
                </c:pt>
                <c:pt idx="92">
                  <c:v>0.96552988632196546</c:v>
                </c:pt>
                <c:pt idx="93">
                  <c:v>0.99852616064848931</c:v>
                </c:pt>
                <c:pt idx="94">
                  <c:v>0.94278331487633815</c:v>
                </c:pt>
                <c:pt idx="95">
                  <c:v>1.0174981384959048</c:v>
                </c:pt>
                <c:pt idx="96">
                  <c:v>1.0364603114318269</c:v>
                </c:pt>
                <c:pt idx="97">
                  <c:v>1.0158671586715866</c:v>
                </c:pt>
                <c:pt idx="98">
                  <c:v>1.0845732184808143</c:v>
                </c:pt>
                <c:pt idx="99">
                  <c:v>1.0332967435053055</c:v>
                </c:pt>
                <c:pt idx="100">
                  <c:v>1.0956394283620374</c:v>
                </c:pt>
                <c:pt idx="101">
                  <c:v>1.0908100254268072</c:v>
                </c:pt>
                <c:pt idx="102">
                  <c:v>1.0902527075812274</c:v>
                </c:pt>
                <c:pt idx="103">
                  <c:v>1.0814447592067988</c:v>
                </c:pt>
                <c:pt idx="104">
                  <c:v>1.0237458193979934</c:v>
                </c:pt>
                <c:pt idx="105">
                  <c:v>1.0286380286380286</c:v>
                </c:pt>
                <c:pt idx="106">
                  <c:v>1.0387417218543047</c:v>
                </c:pt>
                <c:pt idx="107">
                  <c:v>1.0216110019646365</c:v>
                </c:pt>
                <c:pt idx="108">
                  <c:v>1.0333224436458675</c:v>
                </c:pt>
                <c:pt idx="109">
                  <c:v>1.0718679184202007</c:v>
                </c:pt>
                <c:pt idx="110">
                  <c:v>1.0618425247051324</c:v>
                </c:pt>
                <c:pt idx="111">
                  <c:v>1.0740384615384615</c:v>
                </c:pt>
                <c:pt idx="112">
                  <c:v>1.0682895984824534</c:v>
                </c:pt>
                <c:pt idx="113">
                  <c:v>1.0374509211718514</c:v>
                </c:pt>
                <c:pt idx="114">
                  <c:v>1.0450315220654458</c:v>
                </c:pt>
                <c:pt idx="115">
                  <c:v>1.071620411817368</c:v>
                </c:pt>
                <c:pt idx="116">
                  <c:v>1.0725066587747856</c:v>
                </c:pt>
                <c:pt idx="117">
                  <c:v>1.0512372634643377</c:v>
                </c:pt>
                <c:pt idx="118">
                  <c:v>1.0396437805228382</c:v>
                </c:pt>
              </c:numCache>
            </c:numRef>
          </c:xVal>
          <c:yVal>
            <c:numRef>
              <c:f>'Model1 Bos'!$C$27:$C$145</c:f>
              <c:numCache>
                <c:formatCode>General</c:formatCode>
                <c:ptCount val="119"/>
                <c:pt idx="0">
                  <c:v>-0.57270399129262017</c:v>
                </c:pt>
                <c:pt idx="1">
                  <c:v>-0.86569639702851031</c:v>
                </c:pt>
                <c:pt idx="2">
                  <c:v>-0.92250612355266437</c:v>
                </c:pt>
                <c:pt idx="3">
                  <c:v>-0.48803490405118843</c:v>
                </c:pt>
                <c:pt idx="4">
                  <c:v>-0.54247108947343126</c:v>
                </c:pt>
                <c:pt idx="5">
                  <c:v>-0.12455858086005378</c:v>
                </c:pt>
                <c:pt idx="6">
                  <c:v>-0.19886703571835973</c:v>
                </c:pt>
                <c:pt idx="7">
                  <c:v>-0.35073129481822463</c:v>
                </c:pt>
                <c:pt idx="8">
                  <c:v>-0.73713844137406159</c:v>
                </c:pt>
                <c:pt idx="9">
                  <c:v>-1.2790374933038819</c:v>
                </c:pt>
                <c:pt idx="10">
                  <c:v>-1.233319934983264</c:v>
                </c:pt>
                <c:pt idx="11">
                  <c:v>-1.077326718975959</c:v>
                </c:pt>
                <c:pt idx="12">
                  <c:v>-0.66406488243916151</c:v>
                </c:pt>
                <c:pt idx="13">
                  <c:v>-0.29741368402448121</c:v>
                </c:pt>
                <c:pt idx="14">
                  <c:v>-0.56506779281570463</c:v>
                </c:pt>
                <c:pt idx="15">
                  <c:v>-0.5027827461033274</c:v>
                </c:pt>
                <c:pt idx="16">
                  <c:v>-0.36015198781968127</c:v>
                </c:pt>
                <c:pt idx="17">
                  <c:v>0.18923526083779052</c:v>
                </c:pt>
                <c:pt idx="18">
                  <c:v>1.3074398225725092</c:v>
                </c:pt>
                <c:pt idx="19">
                  <c:v>2.2833599825687632</c:v>
                </c:pt>
                <c:pt idx="20">
                  <c:v>3.3031286429595186</c:v>
                </c:pt>
                <c:pt idx="21">
                  <c:v>3.3592643055944293</c:v>
                </c:pt>
                <c:pt idx="22">
                  <c:v>3.0704520675676177</c:v>
                </c:pt>
                <c:pt idx="23">
                  <c:v>2.2908687498381575</c:v>
                </c:pt>
                <c:pt idx="24">
                  <c:v>1.1079332532995352</c:v>
                </c:pt>
                <c:pt idx="25">
                  <c:v>0.4991955749746193</c:v>
                </c:pt>
                <c:pt idx="26">
                  <c:v>0.18905846107415591</c:v>
                </c:pt>
                <c:pt idx="27">
                  <c:v>-4.1561982101496753E-2</c:v>
                </c:pt>
                <c:pt idx="28">
                  <c:v>-0.13425169457646113</c:v>
                </c:pt>
                <c:pt idx="29">
                  <c:v>-4.8503515484838999E-2</c:v>
                </c:pt>
                <c:pt idx="30">
                  <c:v>4.4188769321790389E-2</c:v>
                </c:pt>
                <c:pt idx="31">
                  <c:v>0.24816347904117464</c:v>
                </c:pt>
                <c:pt idx="32">
                  <c:v>0.30041984327888294</c:v>
                </c:pt>
                <c:pt idx="33">
                  <c:v>-9.5293351693737094E-3</c:v>
                </c:pt>
                <c:pt idx="34">
                  <c:v>-0.49153472147966681</c:v>
                </c:pt>
                <c:pt idx="35">
                  <c:v>-0.87378200194550537</c:v>
                </c:pt>
                <c:pt idx="36">
                  <c:v>-0.95363936214244127</c:v>
                </c:pt>
                <c:pt idx="37">
                  <c:v>-0.80262372273601379</c:v>
                </c:pt>
                <c:pt idx="38">
                  <c:v>-0.3801786152093154</c:v>
                </c:pt>
                <c:pt idx="39">
                  <c:v>7.3678737954127271E-2</c:v>
                </c:pt>
                <c:pt idx="40">
                  <c:v>0.60236826604251714</c:v>
                </c:pt>
                <c:pt idx="41">
                  <c:v>1.1455133869282896</c:v>
                </c:pt>
                <c:pt idx="42">
                  <c:v>1.1464890833082588</c:v>
                </c:pt>
                <c:pt idx="43">
                  <c:v>0.94644026800196634</c:v>
                </c:pt>
                <c:pt idx="44">
                  <c:v>0.42798333019788437</c:v>
                </c:pt>
                <c:pt idx="45">
                  <c:v>-0.31158201095163029</c:v>
                </c:pt>
                <c:pt idx="46">
                  <c:v>-0.47026193655465054</c:v>
                </c:pt>
                <c:pt idx="47">
                  <c:v>-0.2702011870183334</c:v>
                </c:pt>
                <c:pt idx="48">
                  <c:v>-5.8107639429914038E-2</c:v>
                </c:pt>
                <c:pt idx="49">
                  <c:v>0.4225923134653069</c:v>
                </c:pt>
                <c:pt idx="50">
                  <c:v>0.8932814957449704</c:v>
                </c:pt>
                <c:pt idx="51">
                  <c:v>1.0366223018341527</c:v>
                </c:pt>
                <c:pt idx="52">
                  <c:v>0.96270295825740959</c:v>
                </c:pt>
                <c:pt idx="53">
                  <c:v>0.81379122512223301</c:v>
                </c:pt>
                <c:pt idx="54">
                  <c:v>0.39643353821709848</c:v>
                </c:pt>
                <c:pt idx="55">
                  <c:v>0.30695779519857247</c:v>
                </c:pt>
                <c:pt idx="56">
                  <c:v>0.53834126353705702</c:v>
                </c:pt>
                <c:pt idx="57">
                  <c:v>0.67476932016631963</c:v>
                </c:pt>
                <c:pt idx="58">
                  <c:v>0.97374465898129081</c:v>
                </c:pt>
                <c:pt idx="59">
                  <c:v>0.88154323634710607</c:v>
                </c:pt>
                <c:pt idx="60">
                  <c:v>0.57470154851623256</c:v>
                </c:pt>
                <c:pt idx="61">
                  <c:v>0.2513597771640228</c:v>
                </c:pt>
                <c:pt idx="62">
                  <c:v>-0.11970732512670601</c:v>
                </c:pt>
                <c:pt idx="63">
                  <c:v>-7.9857989654016137E-2</c:v>
                </c:pt>
                <c:pt idx="64">
                  <c:v>-0.37271956719970056</c:v>
                </c:pt>
                <c:pt idx="65">
                  <c:v>-0.38467806689285133</c:v>
                </c:pt>
                <c:pt idx="66">
                  <c:v>-0.34452458347408843</c:v>
                </c:pt>
                <c:pt idx="67">
                  <c:v>-0.67164390134450436</c:v>
                </c:pt>
                <c:pt idx="68">
                  <c:v>-0.35022302392722082</c:v>
                </c:pt>
                <c:pt idx="69">
                  <c:v>-0.5565235159053401</c:v>
                </c:pt>
                <c:pt idx="70">
                  <c:v>-0.86955497955431138</c:v>
                </c:pt>
                <c:pt idx="71">
                  <c:v>-0.89826392549297118</c:v>
                </c:pt>
                <c:pt idx="72">
                  <c:v>-1.1386881843027465</c:v>
                </c:pt>
                <c:pt idx="73">
                  <c:v>-1.2417511328962894</c:v>
                </c:pt>
                <c:pt idx="74">
                  <c:v>-0.86572237839728849</c:v>
                </c:pt>
                <c:pt idx="75">
                  <c:v>-0.60271062682032017</c:v>
                </c:pt>
                <c:pt idx="76">
                  <c:v>-0.48943981267473546</c:v>
                </c:pt>
                <c:pt idx="77">
                  <c:v>-0.2790629806614735</c:v>
                </c:pt>
                <c:pt idx="78">
                  <c:v>-0.54506325601337569</c:v>
                </c:pt>
                <c:pt idx="79">
                  <c:v>-0.80617229657529865</c:v>
                </c:pt>
                <c:pt idx="80">
                  <c:v>-0.92711931043395879</c:v>
                </c:pt>
                <c:pt idx="81">
                  <c:v>-1.079743702235846</c:v>
                </c:pt>
                <c:pt idx="82">
                  <c:v>-0.94034151850510472</c:v>
                </c:pt>
                <c:pt idx="83">
                  <c:v>-0.42278787875986445</c:v>
                </c:pt>
                <c:pt idx="84">
                  <c:v>0.13548351111921342</c:v>
                </c:pt>
                <c:pt idx="85">
                  <c:v>0.71442755784802614</c:v>
                </c:pt>
                <c:pt idx="86">
                  <c:v>1.444718487741504</c:v>
                </c:pt>
                <c:pt idx="87">
                  <c:v>1.7404501116124926</c:v>
                </c:pt>
                <c:pt idx="88">
                  <c:v>1.6940002349696899</c:v>
                </c:pt>
                <c:pt idx="89">
                  <c:v>1.4753952538123745</c:v>
                </c:pt>
                <c:pt idx="90">
                  <c:v>0.91047522073449105</c:v>
                </c:pt>
                <c:pt idx="91">
                  <c:v>0.2434327917298722</c:v>
                </c:pt>
                <c:pt idx="92">
                  <c:v>-0.41657284168277098</c:v>
                </c:pt>
                <c:pt idx="93">
                  <c:v>-0.76017452485535486</c:v>
                </c:pt>
                <c:pt idx="94">
                  <c:v>-1.1601517561741819</c:v>
                </c:pt>
                <c:pt idx="95">
                  <c:v>-0.92783248976001254</c:v>
                </c:pt>
                <c:pt idx="96">
                  <c:v>-0.70498419163591386</c:v>
                </c:pt>
                <c:pt idx="97">
                  <c:v>-0.6038236594006916</c:v>
                </c:pt>
                <c:pt idx="98">
                  <c:v>-8.7084093460804368E-2</c:v>
                </c:pt>
                <c:pt idx="99">
                  <c:v>-0.13643801205039452</c:v>
                </c:pt>
                <c:pt idx="100">
                  <c:v>9.361137059557656E-3</c:v>
                </c:pt>
                <c:pt idx="101">
                  <c:v>2.4505227531550489E-3</c:v>
                </c:pt>
                <c:pt idx="102">
                  <c:v>-0.23047592282854623</c:v>
                </c:pt>
                <c:pt idx="103">
                  <c:v>-0.20161127405926837</c:v>
                </c:pt>
                <c:pt idx="104">
                  <c:v>-0.32115346129152567</c:v>
                </c:pt>
                <c:pt idx="105">
                  <c:v>-0.24731044576174543</c:v>
                </c:pt>
                <c:pt idx="106">
                  <c:v>-7.9929321888903893E-2</c:v>
                </c:pt>
                <c:pt idx="107">
                  <c:v>-0.19876376760832581</c:v>
                </c:pt>
                <c:pt idx="108">
                  <c:v>-0.20290460112972486</c:v>
                </c:pt>
                <c:pt idx="109">
                  <c:v>-0.15735305133493682</c:v>
                </c:pt>
                <c:pt idx="110">
                  <c:v>-0.31631942977969096</c:v>
                </c:pt>
                <c:pt idx="111">
                  <c:v>-0.33975351392819775</c:v>
                </c:pt>
                <c:pt idx="112">
                  <c:v>-0.39550541807830442</c:v>
                </c:pt>
                <c:pt idx="113">
                  <c:v>-0.57850558312745992</c:v>
                </c:pt>
                <c:pt idx="114">
                  <c:v>-0.58903608050019685</c:v>
                </c:pt>
                <c:pt idx="115">
                  <c:v>-0.50478587861464419</c:v>
                </c:pt>
                <c:pt idx="116">
                  <c:v>-0.39063531895072723</c:v>
                </c:pt>
                <c:pt idx="117">
                  <c:v>-0.29966603931352154</c:v>
                </c:pt>
                <c:pt idx="118">
                  <c:v>-0.167516089796103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A3-42B5-B418-A892E0A4A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36880"/>
        <c:axId val="1022640720"/>
      </c:scatterChart>
      <c:valAx>
        <c:axId val="102263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0720"/>
        <c:crosses val="autoZero"/>
        <c:crossBetween val="midCat"/>
      </c:valAx>
      <c:valAx>
        <c:axId val="1022640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368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Boston!$M$6:$M$124</c:f>
              <c:numCache>
                <c:formatCode>General</c:formatCode>
                <c:ptCount val="119"/>
                <c:pt idx="0">
                  <c:v>7.5705460000000002</c:v>
                </c:pt>
                <c:pt idx="1">
                  <c:v>7.5630810000000004</c:v>
                </c:pt>
                <c:pt idx="2">
                  <c:v>7.5716939999999999</c:v>
                </c:pt>
                <c:pt idx="3">
                  <c:v>7.0823109999999998</c:v>
                </c:pt>
                <c:pt idx="4">
                  <c:v>7.0318860000000001</c:v>
                </c:pt>
                <c:pt idx="5">
                  <c:v>6.7085429999999997</c:v>
                </c:pt>
                <c:pt idx="6">
                  <c:v>6.6966960000000002</c:v>
                </c:pt>
                <c:pt idx="7">
                  <c:v>6.7313359999999998</c:v>
                </c:pt>
                <c:pt idx="8">
                  <c:v>6.7306010000000001</c:v>
                </c:pt>
                <c:pt idx="9">
                  <c:v>6.9197959999999998</c:v>
                </c:pt>
                <c:pt idx="10">
                  <c:v>6.7945859999999998</c:v>
                </c:pt>
                <c:pt idx="11">
                  <c:v>6.6613119999999997</c:v>
                </c:pt>
                <c:pt idx="12">
                  <c:v>6.3276209999999997</c:v>
                </c:pt>
                <c:pt idx="13">
                  <c:v>5.980702</c:v>
                </c:pt>
                <c:pt idx="14">
                  <c:v>5.9427760000000003</c:v>
                </c:pt>
                <c:pt idx="15">
                  <c:v>5.9876860000000001</c:v>
                </c:pt>
                <c:pt idx="16">
                  <c:v>6.1407239999999996</c:v>
                </c:pt>
                <c:pt idx="17">
                  <c:v>6.2681230000000001</c:v>
                </c:pt>
                <c:pt idx="18">
                  <c:v>6.0533619999999999</c:v>
                </c:pt>
                <c:pt idx="19">
                  <c:v>6.2030060000000002</c:v>
                </c:pt>
                <c:pt idx="20">
                  <c:v>6.314146</c:v>
                </c:pt>
                <c:pt idx="21">
                  <c:v>6.8037910000000004</c:v>
                </c:pt>
                <c:pt idx="22">
                  <c:v>7.6054550000000001</c:v>
                </c:pt>
                <c:pt idx="23">
                  <c:v>8.6291630000000001</c:v>
                </c:pt>
                <c:pt idx="24">
                  <c:v>9.6192759999999993</c:v>
                </c:pt>
                <c:pt idx="25">
                  <c:v>9.9780300000000004</c:v>
                </c:pt>
                <c:pt idx="26">
                  <c:v>10.27497</c:v>
                </c:pt>
                <c:pt idx="27">
                  <c:v>10.292479999999999</c:v>
                </c:pt>
                <c:pt idx="28">
                  <c:v>10.19218</c:v>
                </c:pt>
                <c:pt idx="29">
                  <c:v>10.15082</c:v>
                </c:pt>
                <c:pt idx="30">
                  <c:v>10.03411</c:v>
                </c:pt>
                <c:pt idx="31">
                  <c:v>9.7762989999999999</c:v>
                </c:pt>
                <c:pt idx="32">
                  <c:v>9.5653810000000004</c:v>
                </c:pt>
                <c:pt idx="33">
                  <c:v>9.5483879999999992</c:v>
                </c:pt>
                <c:pt idx="34">
                  <c:v>9.5591200000000001</c:v>
                </c:pt>
                <c:pt idx="35">
                  <c:v>9.5522629999999999</c:v>
                </c:pt>
                <c:pt idx="36">
                  <c:v>9.3986780000000003</c:v>
                </c:pt>
                <c:pt idx="37">
                  <c:v>9.098929</c:v>
                </c:pt>
                <c:pt idx="38">
                  <c:v>8.5974310000000003</c:v>
                </c:pt>
                <c:pt idx="39">
                  <c:v>8.1464060000000007</c:v>
                </c:pt>
                <c:pt idx="40">
                  <c:v>7.7891589999999997</c:v>
                </c:pt>
                <c:pt idx="41">
                  <c:v>7.5248480000000004</c:v>
                </c:pt>
                <c:pt idx="42">
                  <c:v>7.5810259999999996</c:v>
                </c:pt>
                <c:pt idx="43">
                  <c:v>7.716933</c:v>
                </c:pt>
                <c:pt idx="44">
                  <c:v>7.9283530000000004</c:v>
                </c:pt>
                <c:pt idx="45">
                  <c:v>8.2524080000000009</c:v>
                </c:pt>
                <c:pt idx="46">
                  <c:v>8.3689420000000005</c:v>
                </c:pt>
                <c:pt idx="47">
                  <c:v>8.3374240000000004</c:v>
                </c:pt>
                <c:pt idx="48">
                  <c:v>8.0439480000000003</c:v>
                </c:pt>
                <c:pt idx="49">
                  <c:v>7.6382320000000004</c:v>
                </c:pt>
                <c:pt idx="50">
                  <c:v>7.2944950000000004</c:v>
                </c:pt>
                <c:pt idx="51">
                  <c:v>7.1387879999999999</c:v>
                </c:pt>
                <c:pt idx="52">
                  <c:v>7.0859500000000004</c:v>
                </c:pt>
                <c:pt idx="53">
                  <c:v>7.1649190000000003</c:v>
                </c:pt>
                <c:pt idx="54">
                  <c:v>7.4017470000000003</c:v>
                </c:pt>
                <c:pt idx="55">
                  <c:v>7.4675229999999999</c:v>
                </c:pt>
                <c:pt idx="56">
                  <c:v>7.5741829999999997</c:v>
                </c:pt>
                <c:pt idx="57">
                  <c:v>7.7454299999999998</c:v>
                </c:pt>
                <c:pt idx="58">
                  <c:v>7.7946850000000003</c:v>
                </c:pt>
                <c:pt idx="59">
                  <c:v>7.9971120000000004</c:v>
                </c:pt>
                <c:pt idx="60">
                  <c:v>8.3933879999999998</c:v>
                </c:pt>
                <c:pt idx="61">
                  <c:v>8.7277909999999999</c:v>
                </c:pt>
                <c:pt idx="62">
                  <c:v>8.9559180000000005</c:v>
                </c:pt>
                <c:pt idx="63">
                  <c:v>8.9652890000000003</c:v>
                </c:pt>
                <c:pt idx="64">
                  <c:v>8.9388380000000005</c:v>
                </c:pt>
                <c:pt idx="65">
                  <c:v>8.8041680000000007</c:v>
                </c:pt>
                <c:pt idx="66">
                  <c:v>8.6783000000000001</c:v>
                </c:pt>
                <c:pt idx="67">
                  <c:v>8.7229030000000005</c:v>
                </c:pt>
                <c:pt idx="68">
                  <c:v>8.3944639999999993</c:v>
                </c:pt>
                <c:pt idx="69">
                  <c:v>8.3665579999999995</c:v>
                </c:pt>
                <c:pt idx="70">
                  <c:v>8.2623359999999995</c:v>
                </c:pt>
                <c:pt idx="71">
                  <c:v>7.9589619999999996</c:v>
                </c:pt>
                <c:pt idx="72">
                  <c:v>7.8914819999999999</c:v>
                </c:pt>
                <c:pt idx="73">
                  <c:v>7.5119369999999996</c:v>
                </c:pt>
                <c:pt idx="74">
                  <c:v>7.0210800000000004</c:v>
                </c:pt>
                <c:pt idx="75">
                  <c:v>6.6647220000000003</c:v>
                </c:pt>
                <c:pt idx="76">
                  <c:v>6.3506489999999998</c:v>
                </c:pt>
                <c:pt idx="77">
                  <c:v>5.9567350000000001</c:v>
                </c:pt>
                <c:pt idx="78">
                  <c:v>5.9069209999999996</c:v>
                </c:pt>
                <c:pt idx="79">
                  <c:v>5.8386449999999996</c:v>
                </c:pt>
                <c:pt idx="80">
                  <c:v>5.6546190000000003</c:v>
                </c:pt>
                <c:pt idx="81">
                  <c:v>5.557874</c:v>
                </c:pt>
                <c:pt idx="82">
                  <c:v>5.2163370000000002</c:v>
                </c:pt>
                <c:pt idx="83">
                  <c:v>4.8510470000000003</c:v>
                </c:pt>
                <c:pt idx="84">
                  <c:v>4.5425199999999997</c:v>
                </c:pt>
                <c:pt idx="85">
                  <c:v>4.2675869999999998</c:v>
                </c:pt>
                <c:pt idx="86">
                  <c:v>4.1551109999999998</c:v>
                </c:pt>
                <c:pt idx="87">
                  <c:v>4.3674590000000002</c:v>
                </c:pt>
                <c:pt idx="88">
                  <c:v>4.8126819999999997</c:v>
                </c:pt>
                <c:pt idx="89">
                  <c:v>5.4440010000000001</c:v>
                </c:pt>
                <c:pt idx="90">
                  <c:v>6.1839810000000002</c:v>
                </c:pt>
                <c:pt idx="91">
                  <c:v>6.6947349999999997</c:v>
                </c:pt>
                <c:pt idx="92">
                  <c:v>7.0082760000000004</c:v>
                </c:pt>
                <c:pt idx="93">
                  <c:v>7.1487879999999997</c:v>
                </c:pt>
                <c:pt idx="94">
                  <c:v>7.090916</c:v>
                </c:pt>
                <c:pt idx="95">
                  <c:v>6.8463289999999999</c:v>
                </c:pt>
                <c:pt idx="96">
                  <c:v>6.4971290000000002</c:v>
                </c:pt>
                <c:pt idx="97">
                  <c:v>6.1792319999999998</c:v>
                </c:pt>
                <c:pt idx="98">
                  <c:v>5.8055079999999997</c:v>
                </c:pt>
                <c:pt idx="99">
                  <c:v>5.6350040000000003</c:v>
                </c:pt>
                <c:pt idx="100">
                  <c:v>5.5189380000000003</c:v>
                </c:pt>
                <c:pt idx="101">
                  <c:v>5.3845169999999998</c:v>
                </c:pt>
                <c:pt idx="102">
                  <c:v>5.4154590000000002</c:v>
                </c:pt>
                <c:pt idx="103">
                  <c:v>5.3442720000000001</c:v>
                </c:pt>
                <c:pt idx="104">
                  <c:v>5.2652720000000004</c:v>
                </c:pt>
                <c:pt idx="105">
                  <c:v>5.1582929999999996</c:v>
                </c:pt>
                <c:pt idx="106">
                  <c:v>5.0011609999999997</c:v>
                </c:pt>
                <c:pt idx="107">
                  <c:v>4.9926579999999996</c:v>
                </c:pt>
                <c:pt idx="108">
                  <c:v>4.9403180000000004</c:v>
                </c:pt>
                <c:pt idx="109">
                  <c:v>4.9028739999999997</c:v>
                </c:pt>
                <c:pt idx="110">
                  <c:v>4.9061909999999997</c:v>
                </c:pt>
                <c:pt idx="111">
                  <c:v>4.8044969999999996</c:v>
                </c:pt>
                <c:pt idx="112">
                  <c:v>4.7086300000000003</c:v>
                </c:pt>
                <c:pt idx="113">
                  <c:v>4.6471770000000001</c:v>
                </c:pt>
                <c:pt idx="114">
                  <c:v>4.5179799999999997</c:v>
                </c:pt>
                <c:pt idx="115">
                  <c:v>4.3784609999999997</c:v>
                </c:pt>
                <c:pt idx="116">
                  <c:v>4.2363920000000004</c:v>
                </c:pt>
                <c:pt idx="117">
                  <c:v>4.0612849999999998</c:v>
                </c:pt>
                <c:pt idx="118">
                  <c:v>3.9117540000000002</c:v>
                </c:pt>
              </c:numCache>
            </c:numRef>
          </c:xVal>
          <c:yVal>
            <c:numRef>
              <c:f>'Model 2 Bos'!$C$28:$C$146</c:f>
              <c:numCache>
                <c:formatCode>General</c:formatCode>
                <c:ptCount val="119"/>
                <c:pt idx="0">
                  <c:v>-0.61677411911548319</c:v>
                </c:pt>
                <c:pt idx="1">
                  <c:v>-0.98713649664863734</c:v>
                </c:pt>
                <c:pt idx="2">
                  <c:v>-1.0136356030963283</c:v>
                </c:pt>
                <c:pt idx="3">
                  <c:v>-0.50557977626345885</c:v>
                </c:pt>
                <c:pt idx="4">
                  <c:v>-0.46318318690480709</c:v>
                </c:pt>
                <c:pt idx="5">
                  <c:v>0.19650136317986444</c:v>
                </c:pt>
                <c:pt idx="6">
                  <c:v>6.2145762916803626E-2</c:v>
                </c:pt>
                <c:pt idx="7">
                  <c:v>-8.5727091853452286E-2</c:v>
                </c:pt>
                <c:pt idx="8">
                  <c:v>-0.33653815022702194</c:v>
                </c:pt>
                <c:pt idx="9">
                  <c:v>-1.14061857825864</c:v>
                </c:pt>
                <c:pt idx="10">
                  <c:v>-0.75387334535176542</c:v>
                </c:pt>
                <c:pt idx="11">
                  <c:v>-0.30212805256725161</c:v>
                </c:pt>
                <c:pt idx="12">
                  <c:v>-0.19022236340755594</c:v>
                </c:pt>
                <c:pt idx="13">
                  <c:v>1.338865114837251E-2</c:v>
                </c:pt>
                <c:pt idx="14">
                  <c:v>-0.56963671254919035</c:v>
                </c:pt>
                <c:pt idx="15">
                  <c:v>-0.71778239996492665</c:v>
                </c:pt>
                <c:pt idx="16">
                  <c:v>-0.6060386679301013</c:v>
                </c:pt>
                <c:pt idx="17">
                  <c:v>-1.7253912569589858E-2</c:v>
                </c:pt>
                <c:pt idx="18">
                  <c:v>1.2062321789308479</c:v>
                </c:pt>
                <c:pt idx="19">
                  <c:v>2.1749810112313472</c:v>
                </c:pt>
                <c:pt idx="20">
                  <c:v>3.2806017282609261</c:v>
                </c:pt>
                <c:pt idx="21">
                  <c:v>3.3617424739393478</c:v>
                </c:pt>
                <c:pt idx="22">
                  <c:v>3.0302523597605564</c:v>
                </c:pt>
                <c:pt idx="23">
                  <c:v>2.2460317747784249</c:v>
                </c:pt>
                <c:pt idx="24">
                  <c:v>0.94655135957481917</c:v>
                </c:pt>
                <c:pt idx="25">
                  <c:v>0.15327005413107386</c:v>
                </c:pt>
                <c:pt idx="26">
                  <c:v>-2.8310552197778449E-2</c:v>
                </c:pt>
                <c:pt idx="27">
                  <c:v>-0.4324935467252633</c:v>
                </c:pt>
                <c:pt idx="28">
                  <c:v>-0.38809506076450795</c:v>
                </c:pt>
                <c:pt idx="29">
                  <c:v>-8.0192778093437056E-2</c:v>
                </c:pt>
                <c:pt idx="30">
                  <c:v>-9.6787787435907546E-2</c:v>
                </c:pt>
                <c:pt idx="31">
                  <c:v>0.15869116253065485</c:v>
                </c:pt>
                <c:pt idx="32">
                  <c:v>0.25825510010544761</c:v>
                </c:pt>
                <c:pt idx="33">
                  <c:v>-0.16294689160527831</c:v>
                </c:pt>
                <c:pt idx="34">
                  <c:v>-0.63149473048567017</c:v>
                </c:pt>
                <c:pt idx="35">
                  <c:v>-0.83548020602085238</c:v>
                </c:pt>
                <c:pt idx="36">
                  <c:v>-1.066383043399119</c:v>
                </c:pt>
                <c:pt idx="37">
                  <c:v>-1.1832447491007922</c:v>
                </c:pt>
                <c:pt idx="38">
                  <c:v>-0.71860744394871467</c:v>
                </c:pt>
                <c:pt idx="39">
                  <c:v>-0.33129566589698545</c:v>
                </c:pt>
                <c:pt idx="40">
                  <c:v>9.6107747511942954E-2</c:v>
                </c:pt>
                <c:pt idx="41">
                  <c:v>0.67003731109536169</c:v>
                </c:pt>
                <c:pt idx="42">
                  <c:v>0.74433313491740805</c:v>
                </c:pt>
                <c:pt idx="43">
                  <c:v>0.61392679687303975</c:v>
                </c:pt>
                <c:pt idx="44">
                  <c:v>0.106231623618811</c:v>
                </c:pt>
                <c:pt idx="45">
                  <c:v>-0.55860141584710199</c:v>
                </c:pt>
                <c:pt idx="46">
                  <c:v>-0.71296365507869286</c:v>
                </c:pt>
                <c:pt idx="47">
                  <c:v>-0.48879082190614831</c:v>
                </c:pt>
                <c:pt idx="48">
                  <c:v>-0.11046877255416732</c:v>
                </c:pt>
                <c:pt idx="49">
                  <c:v>0.41555565280552553</c:v>
                </c:pt>
                <c:pt idx="50">
                  <c:v>0.99397223285692604</c:v>
                </c:pt>
                <c:pt idx="51">
                  <c:v>1.1814322052129356</c:v>
                </c:pt>
                <c:pt idx="52">
                  <c:v>1.1991607799049522</c:v>
                </c:pt>
                <c:pt idx="53">
                  <c:v>1.0076566226356087</c:v>
                </c:pt>
                <c:pt idx="54">
                  <c:v>0.43567455765167207</c:v>
                </c:pt>
                <c:pt idx="55">
                  <c:v>0.12307889880791034</c:v>
                </c:pt>
                <c:pt idx="56">
                  <c:v>8.5927592160649269E-2</c:v>
                </c:pt>
                <c:pt idx="57">
                  <c:v>0.25609779277853661</c:v>
                </c:pt>
                <c:pt idx="58">
                  <c:v>0.77023173988991189</c:v>
                </c:pt>
                <c:pt idx="59">
                  <c:v>0.95673262200981846</c:v>
                </c:pt>
                <c:pt idx="60">
                  <c:v>0.92035697505796676</c:v>
                </c:pt>
                <c:pt idx="61">
                  <c:v>0.30048484796911268</c:v>
                </c:pt>
                <c:pt idx="62">
                  <c:v>-8.4374154383318967E-2</c:v>
                </c:pt>
                <c:pt idx="63">
                  <c:v>-0.12959168778558627</c:v>
                </c:pt>
                <c:pt idx="64">
                  <c:v>-0.44498821233400321</c:v>
                </c:pt>
                <c:pt idx="65">
                  <c:v>-0.20327967896804999</c:v>
                </c:pt>
                <c:pt idx="66">
                  <c:v>-0.16071264562594045</c:v>
                </c:pt>
                <c:pt idx="67">
                  <c:v>-0.21805420413389243</c:v>
                </c:pt>
                <c:pt idx="68">
                  <c:v>-5.6294572829909129E-2</c:v>
                </c:pt>
                <c:pt idx="69">
                  <c:v>-0.2930179994159694</c:v>
                </c:pt>
                <c:pt idx="70">
                  <c:v>-0.30914222054859142</c:v>
                </c:pt>
                <c:pt idx="71">
                  <c:v>-0.44451778132667119</c:v>
                </c:pt>
                <c:pt idx="72">
                  <c:v>-0.69616525847575605</c:v>
                </c:pt>
                <c:pt idx="73">
                  <c:v>-0.80033354688113612</c:v>
                </c:pt>
                <c:pt idx="74">
                  <c:v>-0.61134948036475567</c:v>
                </c:pt>
                <c:pt idx="75">
                  <c:v>-0.79983862723535282</c:v>
                </c:pt>
                <c:pt idx="76">
                  <c:v>-0.53859797507827878</c:v>
                </c:pt>
                <c:pt idx="77">
                  <c:v>-0.27739008365433016</c:v>
                </c:pt>
                <c:pt idx="78">
                  <c:v>-0.64155322721380781</c:v>
                </c:pt>
                <c:pt idx="79">
                  <c:v>-0.24009451862301834</c:v>
                </c:pt>
                <c:pt idx="80">
                  <c:v>-0.23388898178318485</c:v>
                </c:pt>
                <c:pt idx="81">
                  <c:v>-0.36540641372272997</c:v>
                </c:pt>
                <c:pt idx="82">
                  <c:v>0.10614182257304527</c:v>
                </c:pt>
                <c:pt idx="83">
                  <c:v>-0.57061965691256589</c:v>
                </c:pt>
                <c:pt idx="84">
                  <c:v>-0.55204774901564502</c:v>
                </c:pt>
                <c:pt idx="85">
                  <c:v>-0.31270878556731674</c:v>
                </c:pt>
                <c:pt idx="86">
                  <c:v>0.15933426490412916</c:v>
                </c:pt>
                <c:pt idx="87">
                  <c:v>1.5609665542951188</c:v>
                </c:pt>
                <c:pt idx="88">
                  <c:v>1.7852572162166265</c:v>
                </c:pt>
                <c:pt idx="89">
                  <c:v>1.3949030338066883</c:v>
                </c:pt>
                <c:pt idx="90">
                  <c:v>0.74410359131724135</c:v>
                </c:pt>
                <c:pt idx="91">
                  <c:v>7.9949961883751364E-2</c:v>
                </c:pt>
                <c:pt idx="92">
                  <c:v>-0.33917323739668692</c:v>
                </c:pt>
                <c:pt idx="93">
                  <c:v>-0.22573521129039076</c:v>
                </c:pt>
                <c:pt idx="94">
                  <c:v>-0.36389469537546759</c:v>
                </c:pt>
                <c:pt idx="95">
                  <c:v>-0.2258224156199109</c:v>
                </c:pt>
                <c:pt idx="96">
                  <c:v>-0.19375977548268075</c:v>
                </c:pt>
                <c:pt idx="97">
                  <c:v>-0.39279381924297052</c:v>
                </c:pt>
                <c:pt idx="98">
                  <c:v>5.9743012471736634E-2</c:v>
                </c:pt>
                <c:pt idx="99">
                  <c:v>8.4914502370796896E-2</c:v>
                </c:pt>
                <c:pt idx="100">
                  <c:v>0.12061848599008318</c:v>
                </c:pt>
                <c:pt idx="101">
                  <c:v>-7.7977807619484807E-3</c:v>
                </c:pt>
                <c:pt idx="102">
                  <c:v>-0.31895866511822035</c:v>
                </c:pt>
                <c:pt idx="103">
                  <c:v>-0.40019360113802005</c:v>
                </c:pt>
                <c:pt idx="104">
                  <c:v>-0.43400472022470371</c:v>
                </c:pt>
                <c:pt idx="105">
                  <c:v>-0.11175550602385176</c:v>
                </c:pt>
                <c:pt idx="106">
                  <c:v>-3.2596151306776733E-2</c:v>
                </c:pt>
                <c:pt idx="107">
                  <c:v>-0.33454972725585996</c:v>
                </c:pt>
                <c:pt idx="108">
                  <c:v>-0.74473016777186185</c:v>
                </c:pt>
                <c:pt idx="109">
                  <c:v>-0.68510099382140677</c:v>
                </c:pt>
                <c:pt idx="110">
                  <c:v>-0.80811186336407026</c:v>
                </c:pt>
                <c:pt idx="111">
                  <c:v>-0.74569013034438747</c:v>
                </c:pt>
                <c:pt idx="112">
                  <c:v>-0.55118532117966801</c:v>
                </c:pt>
                <c:pt idx="113">
                  <c:v>-0.66202301025871257</c:v>
                </c:pt>
                <c:pt idx="114">
                  <c:v>-0.63130953840706816</c:v>
                </c:pt>
                <c:pt idx="115">
                  <c:v>-0.41442198322573631</c:v>
                </c:pt>
                <c:pt idx="116">
                  <c:v>-7.5487639109363069E-2</c:v>
                </c:pt>
                <c:pt idx="117">
                  <c:v>-0.20011941639088437</c:v>
                </c:pt>
                <c:pt idx="118">
                  <c:v>-4.6108150317651031E-2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C8-461E-B3B9-40DF66532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71568"/>
        <c:axId val="1207976368"/>
      </c:scatterChart>
      <c:valAx>
        <c:axId val="120797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6368"/>
        <c:crosses val="autoZero"/>
        <c:crossBetween val="midCat"/>
      </c:valAx>
      <c:valAx>
        <c:axId val="120797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1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Bos'!$C$28:$C$146</c:f>
              <c:numCache>
                <c:formatCode>General</c:formatCode>
                <c:ptCount val="119"/>
                <c:pt idx="0">
                  <c:v>-0.61677411911548319</c:v>
                </c:pt>
                <c:pt idx="1">
                  <c:v>-0.98713649664863734</c:v>
                </c:pt>
                <c:pt idx="2">
                  <c:v>-1.0136356030963283</c:v>
                </c:pt>
                <c:pt idx="3">
                  <c:v>-0.50557977626345885</c:v>
                </c:pt>
                <c:pt idx="4">
                  <c:v>-0.46318318690480709</c:v>
                </c:pt>
                <c:pt idx="5">
                  <c:v>0.19650136317986444</c:v>
                </c:pt>
                <c:pt idx="6">
                  <c:v>6.2145762916803626E-2</c:v>
                </c:pt>
                <c:pt idx="7">
                  <c:v>-8.5727091853452286E-2</c:v>
                </c:pt>
                <c:pt idx="8">
                  <c:v>-0.33653815022702194</c:v>
                </c:pt>
                <c:pt idx="9">
                  <c:v>-1.14061857825864</c:v>
                </c:pt>
                <c:pt idx="10">
                  <c:v>-0.75387334535176542</c:v>
                </c:pt>
                <c:pt idx="11">
                  <c:v>-0.30212805256725161</c:v>
                </c:pt>
                <c:pt idx="12">
                  <c:v>-0.19022236340755594</c:v>
                </c:pt>
                <c:pt idx="13">
                  <c:v>1.338865114837251E-2</c:v>
                </c:pt>
                <c:pt idx="14">
                  <c:v>-0.56963671254919035</c:v>
                </c:pt>
                <c:pt idx="15">
                  <c:v>-0.71778239996492665</c:v>
                </c:pt>
                <c:pt idx="16">
                  <c:v>-0.6060386679301013</c:v>
                </c:pt>
                <c:pt idx="17">
                  <c:v>-1.7253912569589858E-2</c:v>
                </c:pt>
                <c:pt idx="18">
                  <c:v>1.2062321789308479</c:v>
                </c:pt>
                <c:pt idx="19">
                  <c:v>2.1749810112313472</c:v>
                </c:pt>
                <c:pt idx="20">
                  <c:v>3.2806017282609261</c:v>
                </c:pt>
                <c:pt idx="21">
                  <c:v>3.3617424739393478</c:v>
                </c:pt>
                <c:pt idx="22">
                  <c:v>3.0302523597605564</c:v>
                </c:pt>
                <c:pt idx="23">
                  <c:v>2.2460317747784249</c:v>
                </c:pt>
                <c:pt idx="24">
                  <c:v>0.94655135957481917</c:v>
                </c:pt>
                <c:pt idx="25">
                  <c:v>0.15327005413107386</c:v>
                </c:pt>
                <c:pt idx="26">
                  <c:v>-2.8310552197778449E-2</c:v>
                </c:pt>
                <c:pt idx="27">
                  <c:v>-0.4324935467252633</c:v>
                </c:pt>
                <c:pt idx="28">
                  <c:v>-0.38809506076450795</c:v>
                </c:pt>
                <c:pt idx="29">
                  <c:v>-8.0192778093437056E-2</c:v>
                </c:pt>
                <c:pt idx="30">
                  <c:v>-9.6787787435907546E-2</c:v>
                </c:pt>
                <c:pt idx="31">
                  <c:v>0.15869116253065485</c:v>
                </c:pt>
                <c:pt idx="32">
                  <c:v>0.25825510010544761</c:v>
                </c:pt>
                <c:pt idx="33">
                  <c:v>-0.16294689160527831</c:v>
                </c:pt>
                <c:pt idx="34">
                  <c:v>-0.63149473048567017</c:v>
                </c:pt>
                <c:pt idx="35">
                  <c:v>-0.83548020602085238</c:v>
                </c:pt>
                <c:pt idx="36">
                  <c:v>-1.066383043399119</c:v>
                </c:pt>
                <c:pt idx="37">
                  <c:v>-1.1832447491007922</c:v>
                </c:pt>
                <c:pt idx="38">
                  <c:v>-0.71860744394871467</c:v>
                </c:pt>
                <c:pt idx="39">
                  <c:v>-0.33129566589698545</c:v>
                </c:pt>
                <c:pt idx="40">
                  <c:v>9.6107747511942954E-2</c:v>
                </c:pt>
                <c:pt idx="41">
                  <c:v>0.67003731109536169</c:v>
                </c:pt>
                <c:pt idx="42">
                  <c:v>0.74433313491740805</c:v>
                </c:pt>
                <c:pt idx="43">
                  <c:v>0.61392679687303975</c:v>
                </c:pt>
                <c:pt idx="44">
                  <c:v>0.106231623618811</c:v>
                </c:pt>
                <c:pt idx="45">
                  <c:v>-0.55860141584710199</c:v>
                </c:pt>
                <c:pt idx="46">
                  <c:v>-0.71296365507869286</c:v>
                </c:pt>
                <c:pt idx="47">
                  <c:v>-0.48879082190614831</c:v>
                </c:pt>
                <c:pt idx="48">
                  <c:v>-0.11046877255416732</c:v>
                </c:pt>
                <c:pt idx="49">
                  <c:v>0.41555565280552553</c:v>
                </c:pt>
                <c:pt idx="50">
                  <c:v>0.99397223285692604</c:v>
                </c:pt>
                <c:pt idx="51">
                  <c:v>1.1814322052129356</c:v>
                </c:pt>
                <c:pt idx="52">
                  <c:v>1.1991607799049522</c:v>
                </c:pt>
                <c:pt idx="53">
                  <c:v>1.0076566226356087</c:v>
                </c:pt>
                <c:pt idx="54">
                  <c:v>0.43567455765167207</c:v>
                </c:pt>
                <c:pt idx="55">
                  <c:v>0.12307889880791034</c:v>
                </c:pt>
                <c:pt idx="56">
                  <c:v>8.5927592160649269E-2</c:v>
                </c:pt>
                <c:pt idx="57">
                  <c:v>0.25609779277853661</c:v>
                </c:pt>
                <c:pt idx="58">
                  <c:v>0.77023173988991189</c:v>
                </c:pt>
                <c:pt idx="59">
                  <c:v>0.95673262200981846</c:v>
                </c:pt>
                <c:pt idx="60">
                  <c:v>0.92035697505796676</c:v>
                </c:pt>
                <c:pt idx="61">
                  <c:v>0.30048484796911268</c:v>
                </c:pt>
                <c:pt idx="62">
                  <c:v>-8.4374154383318967E-2</c:v>
                </c:pt>
                <c:pt idx="63">
                  <c:v>-0.12959168778558627</c:v>
                </c:pt>
                <c:pt idx="64">
                  <c:v>-0.44498821233400321</c:v>
                </c:pt>
                <c:pt idx="65">
                  <c:v>-0.20327967896804999</c:v>
                </c:pt>
                <c:pt idx="66">
                  <c:v>-0.16071264562594045</c:v>
                </c:pt>
                <c:pt idx="67">
                  <c:v>-0.21805420413389243</c:v>
                </c:pt>
                <c:pt idx="68">
                  <c:v>-5.6294572829909129E-2</c:v>
                </c:pt>
                <c:pt idx="69">
                  <c:v>-0.2930179994159694</c:v>
                </c:pt>
                <c:pt idx="70">
                  <c:v>-0.30914222054859142</c:v>
                </c:pt>
                <c:pt idx="71">
                  <c:v>-0.44451778132667119</c:v>
                </c:pt>
                <c:pt idx="72">
                  <c:v>-0.69616525847575605</c:v>
                </c:pt>
                <c:pt idx="73">
                  <c:v>-0.80033354688113612</c:v>
                </c:pt>
                <c:pt idx="74">
                  <c:v>-0.61134948036475567</c:v>
                </c:pt>
                <c:pt idx="75">
                  <c:v>-0.79983862723535282</c:v>
                </c:pt>
                <c:pt idx="76">
                  <c:v>-0.53859797507827878</c:v>
                </c:pt>
                <c:pt idx="77">
                  <c:v>-0.27739008365433016</c:v>
                </c:pt>
                <c:pt idx="78">
                  <c:v>-0.64155322721380781</c:v>
                </c:pt>
                <c:pt idx="79">
                  <c:v>-0.24009451862301834</c:v>
                </c:pt>
                <c:pt idx="80">
                  <c:v>-0.23388898178318485</c:v>
                </c:pt>
                <c:pt idx="81">
                  <c:v>-0.36540641372272997</c:v>
                </c:pt>
                <c:pt idx="82">
                  <c:v>0.10614182257304527</c:v>
                </c:pt>
                <c:pt idx="83">
                  <c:v>-0.57061965691256589</c:v>
                </c:pt>
                <c:pt idx="84">
                  <c:v>-0.55204774901564502</c:v>
                </c:pt>
                <c:pt idx="85">
                  <c:v>-0.31270878556731674</c:v>
                </c:pt>
                <c:pt idx="86">
                  <c:v>0.15933426490412916</c:v>
                </c:pt>
                <c:pt idx="87">
                  <c:v>1.5609665542951188</c:v>
                </c:pt>
                <c:pt idx="88">
                  <c:v>1.7852572162166265</c:v>
                </c:pt>
                <c:pt idx="89">
                  <c:v>1.3949030338066883</c:v>
                </c:pt>
                <c:pt idx="90">
                  <c:v>0.74410359131724135</c:v>
                </c:pt>
                <c:pt idx="91">
                  <c:v>7.9949961883751364E-2</c:v>
                </c:pt>
                <c:pt idx="92">
                  <c:v>-0.33917323739668692</c:v>
                </c:pt>
                <c:pt idx="93">
                  <c:v>-0.22573521129039076</c:v>
                </c:pt>
                <c:pt idx="94">
                  <c:v>-0.36389469537546759</c:v>
                </c:pt>
                <c:pt idx="95">
                  <c:v>-0.2258224156199109</c:v>
                </c:pt>
                <c:pt idx="96">
                  <c:v>-0.19375977548268075</c:v>
                </c:pt>
                <c:pt idx="97">
                  <c:v>-0.39279381924297052</c:v>
                </c:pt>
                <c:pt idx="98">
                  <c:v>5.9743012471736634E-2</c:v>
                </c:pt>
                <c:pt idx="99">
                  <c:v>8.4914502370796896E-2</c:v>
                </c:pt>
                <c:pt idx="100">
                  <c:v>0.12061848599008318</c:v>
                </c:pt>
                <c:pt idx="101">
                  <c:v>-7.7977807619484807E-3</c:v>
                </c:pt>
                <c:pt idx="102">
                  <c:v>-0.31895866511822035</c:v>
                </c:pt>
                <c:pt idx="103">
                  <c:v>-0.40019360113802005</c:v>
                </c:pt>
                <c:pt idx="104">
                  <c:v>-0.43400472022470371</c:v>
                </c:pt>
                <c:pt idx="105">
                  <c:v>-0.11175550602385176</c:v>
                </c:pt>
                <c:pt idx="106">
                  <c:v>-3.2596151306776733E-2</c:v>
                </c:pt>
                <c:pt idx="107">
                  <c:v>-0.33454972725585996</c:v>
                </c:pt>
                <c:pt idx="108">
                  <c:v>-0.74473016777186185</c:v>
                </c:pt>
                <c:pt idx="109">
                  <c:v>-0.68510099382140677</c:v>
                </c:pt>
                <c:pt idx="110">
                  <c:v>-0.80811186336407026</c:v>
                </c:pt>
                <c:pt idx="111">
                  <c:v>-0.74569013034438747</c:v>
                </c:pt>
                <c:pt idx="112">
                  <c:v>-0.55118532117966801</c:v>
                </c:pt>
                <c:pt idx="113">
                  <c:v>-0.66202301025871257</c:v>
                </c:pt>
                <c:pt idx="114">
                  <c:v>-0.63130953840706816</c:v>
                </c:pt>
                <c:pt idx="115">
                  <c:v>-0.41442198322573631</c:v>
                </c:pt>
                <c:pt idx="116">
                  <c:v>-7.5487639109363069E-2</c:v>
                </c:pt>
                <c:pt idx="117">
                  <c:v>-0.20011941639088437</c:v>
                </c:pt>
                <c:pt idx="118">
                  <c:v>-4.6108150317651031E-2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F1-41E2-BC5F-6E8C8D03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972048"/>
        <c:axId val="1207973488"/>
      </c:scatterChart>
      <c:valAx>
        <c:axId val="120797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3488"/>
        <c:crosses val="autoZero"/>
        <c:crossBetween val="midCat"/>
      </c:valAx>
      <c:valAx>
        <c:axId val="1207973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720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Boston!$O$6:$O$124</c:f>
              <c:numCache>
                <c:formatCode>General</c:formatCode>
                <c:ptCount val="119"/>
                <c:pt idx="0">
                  <c:v>1.0163511187607575</c:v>
                </c:pt>
                <c:pt idx="1">
                  <c:v>1.0415028396679773</c:v>
                </c:pt>
                <c:pt idx="2">
                  <c:v>1.0306695464362852</c:v>
                </c:pt>
                <c:pt idx="3">
                  <c:v>1.0205128205128204</c:v>
                </c:pt>
                <c:pt idx="4">
                  <c:v>0.98602878916172731</c:v>
                </c:pt>
                <c:pt idx="5">
                  <c:v>0.95343959731543626</c:v>
                </c:pt>
                <c:pt idx="6">
                  <c:v>0.9522212908633696</c:v>
                </c:pt>
                <c:pt idx="7">
                  <c:v>0.95100502512562823</c:v>
                </c:pt>
                <c:pt idx="8">
                  <c:v>0.9428939458995278</c:v>
                </c:pt>
                <c:pt idx="9">
                  <c:v>0.93488781346238448</c:v>
                </c:pt>
                <c:pt idx="10">
                  <c:v>0.926056338028169</c:v>
                </c:pt>
                <c:pt idx="11">
                  <c:v>0.91677675033025097</c:v>
                </c:pt>
                <c:pt idx="12">
                  <c:v>0.89617486338797814</c:v>
                </c:pt>
                <c:pt idx="13">
                  <c:v>0.87576470588235289</c:v>
                </c:pt>
                <c:pt idx="14">
                  <c:v>0.83365019011406838</c:v>
                </c:pt>
                <c:pt idx="15">
                  <c:v>0.79442843419788656</c:v>
                </c:pt>
                <c:pt idx="16">
                  <c:v>0.86331300813008127</c:v>
                </c:pt>
                <c:pt idx="17">
                  <c:v>0.93820526598602905</c:v>
                </c:pt>
                <c:pt idx="18">
                  <c:v>0.97491448118586099</c:v>
                </c:pt>
                <c:pt idx="19">
                  <c:v>1.012696493349456</c:v>
                </c:pt>
                <c:pt idx="20">
                  <c:v>1.0523837551500883</c:v>
                </c:pt>
                <c:pt idx="21">
                  <c:v>1.0927835051546391</c:v>
                </c:pt>
                <c:pt idx="22">
                  <c:v>1.1216374269005847</c:v>
                </c:pt>
                <c:pt idx="23">
                  <c:v>1.1510447761194031</c:v>
                </c:pt>
                <c:pt idx="24">
                  <c:v>1.0576062639821029</c:v>
                </c:pt>
                <c:pt idx="25">
                  <c:v>0.97169811320754718</c:v>
                </c:pt>
                <c:pt idx="26">
                  <c:v>1.0036496350364963</c:v>
                </c:pt>
                <c:pt idx="27">
                  <c:v>1.0368257261410787</c:v>
                </c:pt>
                <c:pt idx="28">
                  <c:v>1.0407191961924906</c:v>
                </c:pt>
                <c:pt idx="29">
                  <c:v>1.0447680690399137</c:v>
                </c:pt>
                <c:pt idx="30">
                  <c:v>1.0296103896103896</c:v>
                </c:pt>
                <c:pt idx="31">
                  <c:v>1.014007003501751</c:v>
                </c:pt>
                <c:pt idx="32">
                  <c:v>1.0264227642276422</c:v>
                </c:pt>
                <c:pt idx="33">
                  <c:v>1.0392359318533815</c:v>
                </c:pt>
                <c:pt idx="34">
                  <c:v>1.0534813319878908</c:v>
                </c:pt>
                <c:pt idx="35">
                  <c:v>1.0685742476566356</c:v>
                </c:pt>
                <c:pt idx="36">
                  <c:v>1.1391089108910892</c:v>
                </c:pt>
                <c:pt idx="37">
                  <c:v>1.213611525086935</c:v>
                </c:pt>
                <c:pt idx="38">
                  <c:v>1.1752873563218391</c:v>
                </c:pt>
                <c:pt idx="39">
                  <c:v>1.1380424746075715</c:v>
                </c:pt>
                <c:pt idx="40">
                  <c:v>1.1355932203389829</c:v>
                </c:pt>
                <c:pt idx="41">
                  <c:v>1.1338518215309046</c:v>
                </c:pt>
                <c:pt idx="42">
                  <c:v>1.0929095354523228</c:v>
                </c:pt>
                <c:pt idx="43">
                  <c:v>1.0535496957403652</c:v>
                </c:pt>
                <c:pt idx="44">
                  <c:v>1.0432453119020284</c:v>
                </c:pt>
                <c:pt idx="45">
                  <c:v>1.0328519855595668</c:v>
                </c:pt>
                <c:pt idx="46">
                  <c:v>1.1662938105891125</c:v>
                </c:pt>
                <c:pt idx="47">
                  <c:v>1.3172891798228727</c:v>
                </c:pt>
                <c:pt idx="48">
                  <c:v>1.3341892883345559</c:v>
                </c:pt>
                <c:pt idx="49">
                  <c:v>1.3516253058371199</c:v>
                </c:pt>
                <c:pt idx="50">
                  <c:v>1.3184143222506395</c:v>
                </c:pt>
                <c:pt idx="51">
                  <c:v>1.2855890090616777</c:v>
                </c:pt>
                <c:pt idx="52">
                  <c:v>1.1721198790211715</c:v>
                </c:pt>
                <c:pt idx="53">
                  <c:v>1.0685285751228342</c:v>
                </c:pt>
                <c:pt idx="54">
                  <c:v>0.94422890397672155</c:v>
                </c:pt>
                <c:pt idx="55">
                  <c:v>0.83447021373351538</c:v>
                </c:pt>
                <c:pt idx="56">
                  <c:v>0.81116584564860417</c:v>
                </c:pt>
                <c:pt idx="57">
                  <c:v>0.78872216844143284</c:v>
                </c:pt>
                <c:pt idx="58">
                  <c:v>0.81330251669234732</c:v>
                </c:pt>
                <c:pt idx="59">
                  <c:v>0.83569482288828334</c:v>
                </c:pt>
                <c:pt idx="60">
                  <c:v>0.85685367264314638</c:v>
                </c:pt>
                <c:pt idx="61">
                  <c:v>0.88892298250997226</c:v>
                </c:pt>
                <c:pt idx="62">
                  <c:v>0.88380170508367528</c:v>
                </c:pt>
                <c:pt idx="63">
                  <c:v>0.88686012389957602</c:v>
                </c:pt>
                <c:pt idx="64">
                  <c:v>0.88457644279446512</c:v>
                </c:pt>
                <c:pt idx="65">
                  <c:v>0.85916465308940293</c:v>
                </c:pt>
                <c:pt idx="66">
                  <c:v>0.86709539121114687</c:v>
                </c:pt>
                <c:pt idx="67">
                  <c:v>0.86948529411764708</c:v>
                </c:pt>
                <c:pt idx="68">
                  <c:v>0.92178557802365502</c:v>
                </c:pt>
                <c:pt idx="69">
                  <c:v>0.98272398553635998</c:v>
                </c:pt>
                <c:pt idx="70">
                  <c:v>1.0234857849196539</c:v>
                </c:pt>
                <c:pt idx="71">
                  <c:v>1.0625792811839323</c:v>
                </c:pt>
                <c:pt idx="72">
                  <c:v>1.072433774834437</c:v>
                </c:pt>
                <c:pt idx="73">
                  <c:v>1.0739983646770237</c:v>
                </c:pt>
                <c:pt idx="74">
                  <c:v>1.0736714975845412</c:v>
                </c:pt>
                <c:pt idx="75">
                  <c:v>1.0791882212495028</c:v>
                </c:pt>
                <c:pt idx="76">
                  <c:v>1.0945580856812041</c:v>
                </c:pt>
                <c:pt idx="77">
                  <c:v>1.0883136657784545</c:v>
                </c:pt>
                <c:pt idx="78">
                  <c:v>1.0997375328083989</c:v>
                </c:pt>
                <c:pt idx="79">
                  <c:v>1.1061946902654867</c:v>
                </c:pt>
                <c:pt idx="80">
                  <c:v>1.1026093088857545</c:v>
                </c:pt>
                <c:pt idx="81">
                  <c:v>1.1266176984959777</c:v>
                </c:pt>
                <c:pt idx="82">
                  <c:v>1.1101261506989433</c:v>
                </c:pt>
                <c:pt idx="83">
                  <c:v>1.0903333333333334</c:v>
                </c:pt>
                <c:pt idx="84">
                  <c:v>1.0115126319155741</c:v>
                </c:pt>
                <c:pt idx="85">
                  <c:v>0.90468798509779569</c:v>
                </c:pt>
                <c:pt idx="86">
                  <c:v>0.8648648648648648</c:v>
                </c:pt>
                <c:pt idx="87">
                  <c:v>0.84775298073983485</c:v>
                </c:pt>
                <c:pt idx="88">
                  <c:v>0.86215618084097378</c:v>
                </c:pt>
                <c:pt idx="89">
                  <c:v>0.93136582017844882</c:v>
                </c:pt>
                <c:pt idx="90">
                  <c:v>0.96200284090909094</c:v>
                </c:pt>
                <c:pt idx="91">
                  <c:v>0.9686260367832672</c:v>
                </c:pt>
                <c:pt idx="92">
                  <c:v>0.96552988632196546</c:v>
                </c:pt>
                <c:pt idx="93">
                  <c:v>0.99852616064848931</c:v>
                </c:pt>
                <c:pt idx="94">
                  <c:v>0.94278331487633815</c:v>
                </c:pt>
                <c:pt idx="95">
                  <c:v>1.0174981384959048</c:v>
                </c:pt>
                <c:pt idx="96">
                  <c:v>1.0364603114318269</c:v>
                </c:pt>
                <c:pt idx="97">
                  <c:v>1.0158671586715866</c:v>
                </c:pt>
                <c:pt idx="98">
                  <c:v>1.0845732184808143</c:v>
                </c:pt>
                <c:pt idx="99">
                  <c:v>1.0332967435053055</c:v>
                </c:pt>
                <c:pt idx="100">
                  <c:v>1.0956394283620374</c:v>
                </c:pt>
                <c:pt idx="101">
                  <c:v>1.0908100254268072</c:v>
                </c:pt>
                <c:pt idx="102">
                  <c:v>1.0902527075812274</c:v>
                </c:pt>
                <c:pt idx="103">
                  <c:v>1.0814447592067988</c:v>
                </c:pt>
                <c:pt idx="104">
                  <c:v>1.0237458193979934</c:v>
                </c:pt>
                <c:pt idx="105">
                  <c:v>1.0286380286380286</c:v>
                </c:pt>
                <c:pt idx="106">
                  <c:v>1.0387417218543047</c:v>
                </c:pt>
                <c:pt idx="107">
                  <c:v>1.0216110019646365</c:v>
                </c:pt>
                <c:pt idx="108">
                  <c:v>1.0333224436458675</c:v>
                </c:pt>
                <c:pt idx="109">
                  <c:v>1.0718679184202007</c:v>
                </c:pt>
                <c:pt idx="110">
                  <c:v>1.0618425247051324</c:v>
                </c:pt>
                <c:pt idx="111">
                  <c:v>1.0740384615384615</c:v>
                </c:pt>
                <c:pt idx="112">
                  <c:v>1.0682895984824534</c:v>
                </c:pt>
                <c:pt idx="113">
                  <c:v>1.0374509211718514</c:v>
                </c:pt>
                <c:pt idx="114">
                  <c:v>1.0450315220654458</c:v>
                </c:pt>
                <c:pt idx="115">
                  <c:v>1.071620411817368</c:v>
                </c:pt>
                <c:pt idx="116">
                  <c:v>1.0725066587747856</c:v>
                </c:pt>
                <c:pt idx="117">
                  <c:v>1.0512372634643377</c:v>
                </c:pt>
                <c:pt idx="118">
                  <c:v>1.0396437805228382</c:v>
                </c:pt>
              </c:numCache>
            </c:numRef>
          </c:xVal>
          <c:yVal>
            <c:numRef>
              <c:f>'Model 2 Bos'!$C$28:$C$146</c:f>
              <c:numCache>
                <c:formatCode>General</c:formatCode>
                <c:ptCount val="119"/>
                <c:pt idx="0">
                  <c:v>-0.61677411911548319</c:v>
                </c:pt>
                <c:pt idx="1">
                  <c:v>-0.98713649664863734</c:v>
                </c:pt>
                <c:pt idx="2">
                  <c:v>-1.0136356030963283</c:v>
                </c:pt>
                <c:pt idx="3">
                  <c:v>-0.50557977626345885</c:v>
                </c:pt>
                <c:pt idx="4">
                  <c:v>-0.46318318690480709</c:v>
                </c:pt>
                <c:pt idx="5">
                  <c:v>0.19650136317986444</c:v>
                </c:pt>
                <c:pt idx="6">
                  <c:v>6.2145762916803626E-2</c:v>
                </c:pt>
                <c:pt idx="7">
                  <c:v>-8.5727091853452286E-2</c:v>
                </c:pt>
                <c:pt idx="8">
                  <c:v>-0.33653815022702194</c:v>
                </c:pt>
                <c:pt idx="9">
                  <c:v>-1.14061857825864</c:v>
                </c:pt>
                <c:pt idx="10">
                  <c:v>-0.75387334535176542</c:v>
                </c:pt>
                <c:pt idx="11">
                  <c:v>-0.30212805256725161</c:v>
                </c:pt>
                <c:pt idx="12">
                  <c:v>-0.19022236340755594</c:v>
                </c:pt>
                <c:pt idx="13">
                  <c:v>1.338865114837251E-2</c:v>
                </c:pt>
                <c:pt idx="14">
                  <c:v>-0.56963671254919035</c:v>
                </c:pt>
                <c:pt idx="15">
                  <c:v>-0.71778239996492665</c:v>
                </c:pt>
                <c:pt idx="16">
                  <c:v>-0.6060386679301013</c:v>
                </c:pt>
                <c:pt idx="17">
                  <c:v>-1.7253912569589858E-2</c:v>
                </c:pt>
                <c:pt idx="18">
                  <c:v>1.2062321789308479</c:v>
                </c:pt>
                <c:pt idx="19">
                  <c:v>2.1749810112313472</c:v>
                </c:pt>
                <c:pt idx="20">
                  <c:v>3.2806017282609261</c:v>
                </c:pt>
                <c:pt idx="21">
                  <c:v>3.3617424739393478</c:v>
                </c:pt>
                <c:pt idx="22">
                  <c:v>3.0302523597605564</c:v>
                </c:pt>
                <c:pt idx="23">
                  <c:v>2.2460317747784249</c:v>
                </c:pt>
                <c:pt idx="24">
                  <c:v>0.94655135957481917</c:v>
                </c:pt>
                <c:pt idx="25">
                  <c:v>0.15327005413107386</c:v>
                </c:pt>
                <c:pt idx="26">
                  <c:v>-2.8310552197778449E-2</c:v>
                </c:pt>
                <c:pt idx="27">
                  <c:v>-0.4324935467252633</c:v>
                </c:pt>
                <c:pt idx="28">
                  <c:v>-0.38809506076450795</c:v>
                </c:pt>
                <c:pt idx="29">
                  <c:v>-8.0192778093437056E-2</c:v>
                </c:pt>
                <c:pt idx="30">
                  <c:v>-9.6787787435907546E-2</c:v>
                </c:pt>
                <c:pt idx="31">
                  <c:v>0.15869116253065485</c:v>
                </c:pt>
                <c:pt idx="32">
                  <c:v>0.25825510010544761</c:v>
                </c:pt>
                <c:pt idx="33">
                  <c:v>-0.16294689160527831</c:v>
                </c:pt>
                <c:pt idx="34">
                  <c:v>-0.63149473048567017</c:v>
                </c:pt>
                <c:pt idx="35">
                  <c:v>-0.83548020602085238</c:v>
                </c:pt>
                <c:pt idx="36">
                  <c:v>-1.066383043399119</c:v>
                </c:pt>
                <c:pt idx="37">
                  <c:v>-1.1832447491007922</c:v>
                </c:pt>
                <c:pt idx="38">
                  <c:v>-0.71860744394871467</c:v>
                </c:pt>
                <c:pt idx="39">
                  <c:v>-0.33129566589698545</c:v>
                </c:pt>
                <c:pt idx="40">
                  <c:v>9.6107747511942954E-2</c:v>
                </c:pt>
                <c:pt idx="41">
                  <c:v>0.67003731109536169</c:v>
                </c:pt>
                <c:pt idx="42">
                  <c:v>0.74433313491740805</c:v>
                </c:pt>
                <c:pt idx="43">
                  <c:v>0.61392679687303975</c:v>
                </c:pt>
                <c:pt idx="44">
                  <c:v>0.106231623618811</c:v>
                </c:pt>
                <c:pt idx="45">
                  <c:v>-0.55860141584710199</c:v>
                </c:pt>
                <c:pt idx="46">
                  <c:v>-0.71296365507869286</c:v>
                </c:pt>
                <c:pt idx="47">
                  <c:v>-0.48879082190614831</c:v>
                </c:pt>
                <c:pt idx="48">
                  <c:v>-0.11046877255416732</c:v>
                </c:pt>
                <c:pt idx="49">
                  <c:v>0.41555565280552553</c:v>
                </c:pt>
                <c:pt idx="50">
                  <c:v>0.99397223285692604</c:v>
                </c:pt>
                <c:pt idx="51">
                  <c:v>1.1814322052129356</c:v>
                </c:pt>
                <c:pt idx="52">
                  <c:v>1.1991607799049522</c:v>
                </c:pt>
                <c:pt idx="53">
                  <c:v>1.0076566226356087</c:v>
                </c:pt>
                <c:pt idx="54">
                  <c:v>0.43567455765167207</c:v>
                </c:pt>
                <c:pt idx="55">
                  <c:v>0.12307889880791034</c:v>
                </c:pt>
                <c:pt idx="56">
                  <c:v>8.5927592160649269E-2</c:v>
                </c:pt>
                <c:pt idx="57">
                  <c:v>0.25609779277853661</c:v>
                </c:pt>
                <c:pt idx="58">
                  <c:v>0.77023173988991189</c:v>
                </c:pt>
                <c:pt idx="59">
                  <c:v>0.95673262200981846</c:v>
                </c:pt>
                <c:pt idx="60">
                  <c:v>0.92035697505796676</c:v>
                </c:pt>
                <c:pt idx="61">
                  <c:v>0.30048484796911268</c:v>
                </c:pt>
                <c:pt idx="62">
                  <c:v>-8.4374154383318967E-2</c:v>
                </c:pt>
                <c:pt idx="63">
                  <c:v>-0.12959168778558627</c:v>
                </c:pt>
                <c:pt idx="64">
                  <c:v>-0.44498821233400321</c:v>
                </c:pt>
                <c:pt idx="65">
                  <c:v>-0.20327967896804999</c:v>
                </c:pt>
                <c:pt idx="66">
                  <c:v>-0.16071264562594045</c:v>
                </c:pt>
                <c:pt idx="67">
                  <c:v>-0.21805420413389243</c:v>
                </c:pt>
                <c:pt idx="68">
                  <c:v>-5.6294572829909129E-2</c:v>
                </c:pt>
                <c:pt idx="69">
                  <c:v>-0.2930179994159694</c:v>
                </c:pt>
                <c:pt idx="70">
                  <c:v>-0.30914222054859142</c:v>
                </c:pt>
                <c:pt idx="71">
                  <c:v>-0.44451778132667119</c:v>
                </c:pt>
                <c:pt idx="72">
                  <c:v>-0.69616525847575605</c:v>
                </c:pt>
                <c:pt idx="73">
                  <c:v>-0.80033354688113612</c:v>
                </c:pt>
                <c:pt idx="74">
                  <c:v>-0.61134948036475567</c:v>
                </c:pt>
                <c:pt idx="75">
                  <c:v>-0.79983862723535282</c:v>
                </c:pt>
                <c:pt idx="76">
                  <c:v>-0.53859797507827878</c:v>
                </c:pt>
                <c:pt idx="77">
                  <c:v>-0.27739008365433016</c:v>
                </c:pt>
                <c:pt idx="78">
                  <c:v>-0.64155322721380781</c:v>
                </c:pt>
                <c:pt idx="79">
                  <c:v>-0.24009451862301834</c:v>
                </c:pt>
                <c:pt idx="80">
                  <c:v>-0.23388898178318485</c:v>
                </c:pt>
                <c:pt idx="81">
                  <c:v>-0.36540641372272997</c:v>
                </c:pt>
                <c:pt idx="82">
                  <c:v>0.10614182257304527</c:v>
                </c:pt>
                <c:pt idx="83">
                  <c:v>-0.57061965691256589</c:v>
                </c:pt>
                <c:pt idx="84">
                  <c:v>-0.55204774901564502</c:v>
                </c:pt>
                <c:pt idx="85">
                  <c:v>-0.31270878556731674</c:v>
                </c:pt>
                <c:pt idx="86">
                  <c:v>0.15933426490412916</c:v>
                </c:pt>
                <c:pt idx="87">
                  <c:v>1.5609665542951188</c:v>
                </c:pt>
                <c:pt idx="88">
                  <c:v>1.7852572162166265</c:v>
                </c:pt>
                <c:pt idx="89">
                  <c:v>1.3949030338066883</c:v>
                </c:pt>
                <c:pt idx="90">
                  <c:v>0.74410359131724135</c:v>
                </c:pt>
                <c:pt idx="91">
                  <c:v>7.9949961883751364E-2</c:v>
                </c:pt>
                <c:pt idx="92">
                  <c:v>-0.33917323739668692</c:v>
                </c:pt>
                <c:pt idx="93">
                  <c:v>-0.22573521129039076</c:v>
                </c:pt>
                <c:pt idx="94">
                  <c:v>-0.36389469537546759</c:v>
                </c:pt>
                <c:pt idx="95">
                  <c:v>-0.2258224156199109</c:v>
                </c:pt>
                <c:pt idx="96">
                  <c:v>-0.19375977548268075</c:v>
                </c:pt>
                <c:pt idx="97">
                  <c:v>-0.39279381924297052</c:v>
                </c:pt>
                <c:pt idx="98">
                  <c:v>5.9743012471736634E-2</c:v>
                </c:pt>
                <c:pt idx="99">
                  <c:v>8.4914502370796896E-2</c:v>
                </c:pt>
                <c:pt idx="100">
                  <c:v>0.12061848599008318</c:v>
                </c:pt>
                <c:pt idx="101">
                  <c:v>-7.7977807619484807E-3</c:v>
                </c:pt>
                <c:pt idx="102">
                  <c:v>-0.31895866511822035</c:v>
                </c:pt>
                <c:pt idx="103">
                  <c:v>-0.40019360113802005</c:v>
                </c:pt>
                <c:pt idx="104">
                  <c:v>-0.43400472022470371</c:v>
                </c:pt>
                <c:pt idx="105">
                  <c:v>-0.11175550602385176</c:v>
                </c:pt>
                <c:pt idx="106">
                  <c:v>-3.2596151306776733E-2</c:v>
                </c:pt>
                <c:pt idx="107">
                  <c:v>-0.33454972725585996</c:v>
                </c:pt>
                <c:pt idx="108">
                  <c:v>-0.74473016777186185</c:v>
                </c:pt>
                <c:pt idx="109">
                  <c:v>-0.68510099382140677</c:v>
                </c:pt>
                <c:pt idx="110">
                  <c:v>-0.80811186336407026</c:v>
                </c:pt>
                <c:pt idx="111">
                  <c:v>-0.74569013034438747</c:v>
                </c:pt>
                <c:pt idx="112">
                  <c:v>-0.55118532117966801</c:v>
                </c:pt>
                <c:pt idx="113">
                  <c:v>-0.66202301025871257</c:v>
                </c:pt>
                <c:pt idx="114">
                  <c:v>-0.63130953840706816</c:v>
                </c:pt>
                <c:pt idx="115">
                  <c:v>-0.41442198322573631</c:v>
                </c:pt>
                <c:pt idx="116">
                  <c:v>-7.5487639109363069E-2</c:v>
                </c:pt>
                <c:pt idx="117">
                  <c:v>-0.20011941639088437</c:v>
                </c:pt>
                <c:pt idx="118">
                  <c:v>-4.6108150317651031E-2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5A-410E-A340-AD1C9577E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523952"/>
        <c:axId val="1207984528"/>
      </c:scatterChart>
      <c:valAx>
        <c:axId val="71152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984528"/>
        <c:crosses val="autoZero"/>
        <c:crossBetween val="midCat"/>
      </c:valAx>
      <c:valAx>
        <c:axId val="120798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1523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Boston!$P$6:$P$124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Bos'!$C$28:$C$146</c:f>
              <c:numCache>
                <c:formatCode>General</c:formatCode>
                <c:ptCount val="119"/>
                <c:pt idx="0">
                  <c:v>-0.61677411911548319</c:v>
                </c:pt>
                <c:pt idx="1">
                  <c:v>-0.98713649664863734</c:v>
                </c:pt>
                <c:pt idx="2">
                  <c:v>-1.0136356030963283</c:v>
                </c:pt>
                <c:pt idx="3">
                  <c:v>-0.50557977626345885</c:v>
                </c:pt>
                <c:pt idx="4">
                  <c:v>-0.46318318690480709</c:v>
                </c:pt>
                <c:pt idx="5">
                  <c:v>0.19650136317986444</c:v>
                </c:pt>
                <c:pt idx="6">
                  <c:v>6.2145762916803626E-2</c:v>
                </c:pt>
                <c:pt idx="7">
                  <c:v>-8.5727091853452286E-2</c:v>
                </c:pt>
                <c:pt idx="8">
                  <c:v>-0.33653815022702194</c:v>
                </c:pt>
                <c:pt idx="9">
                  <c:v>-1.14061857825864</c:v>
                </c:pt>
                <c:pt idx="10">
                  <c:v>-0.75387334535176542</c:v>
                </c:pt>
                <c:pt idx="11">
                  <c:v>-0.30212805256725161</c:v>
                </c:pt>
                <c:pt idx="12">
                  <c:v>-0.19022236340755594</c:v>
                </c:pt>
                <c:pt idx="13">
                  <c:v>1.338865114837251E-2</c:v>
                </c:pt>
                <c:pt idx="14">
                  <c:v>-0.56963671254919035</c:v>
                </c:pt>
                <c:pt idx="15">
                  <c:v>-0.71778239996492665</c:v>
                </c:pt>
                <c:pt idx="16">
                  <c:v>-0.6060386679301013</c:v>
                </c:pt>
                <c:pt idx="17">
                  <c:v>-1.7253912569589858E-2</c:v>
                </c:pt>
                <c:pt idx="18">
                  <c:v>1.2062321789308479</c:v>
                </c:pt>
                <c:pt idx="19">
                  <c:v>2.1749810112313472</c:v>
                </c:pt>
                <c:pt idx="20">
                  <c:v>3.2806017282609261</c:v>
                </c:pt>
                <c:pt idx="21">
                  <c:v>3.3617424739393478</c:v>
                </c:pt>
                <c:pt idx="22">
                  <c:v>3.0302523597605564</c:v>
                </c:pt>
                <c:pt idx="23">
                  <c:v>2.2460317747784249</c:v>
                </c:pt>
                <c:pt idx="24">
                  <c:v>0.94655135957481917</c:v>
                </c:pt>
                <c:pt idx="25">
                  <c:v>0.15327005413107386</c:v>
                </c:pt>
                <c:pt idx="26">
                  <c:v>-2.8310552197778449E-2</c:v>
                </c:pt>
                <c:pt idx="27">
                  <c:v>-0.4324935467252633</c:v>
                </c:pt>
                <c:pt idx="28">
                  <c:v>-0.38809506076450795</c:v>
                </c:pt>
                <c:pt idx="29">
                  <c:v>-8.0192778093437056E-2</c:v>
                </c:pt>
                <c:pt idx="30">
                  <c:v>-9.6787787435907546E-2</c:v>
                </c:pt>
                <c:pt idx="31">
                  <c:v>0.15869116253065485</c:v>
                </c:pt>
                <c:pt idx="32">
                  <c:v>0.25825510010544761</c:v>
                </c:pt>
                <c:pt idx="33">
                  <c:v>-0.16294689160527831</c:v>
                </c:pt>
                <c:pt idx="34">
                  <c:v>-0.63149473048567017</c:v>
                </c:pt>
                <c:pt idx="35">
                  <c:v>-0.83548020602085238</c:v>
                </c:pt>
                <c:pt idx="36">
                  <c:v>-1.066383043399119</c:v>
                </c:pt>
                <c:pt idx="37">
                  <c:v>-1.1832447491007922</c:v>
                </c:pt>
                <c:pt idx="38">
                  <c:v>-0.71860744394871467</c:v>
                </c:pt>
                <c:pt idx="39">
                  <c:v>-0.33129566589698545</c:v>
                </c:pt>
                <c:pt idx="40">
                  <c:v>9.6107747511942954E-2</c:v>
                </c:pt>
                <c:pt idx="41">
                  <c:v>0.67003731109536169</c:v>
                </c:pt>
                <c:pt idx="42">
                  <c:v>0.74433313491740805</c:v>
                </c:pt>
                <c:pt idx="43">
                  <c:v>0.61392679687303975</c:v>
                </c:pt>
                <c:pt idx="44">
                  <c:v>0.106231623618811</c:v>
                </c:pt>
                <c:pt idx="45">
                  <c:v>-0.55860141584710199</c:v>
                </c:pt>
                <c:pt idx="46">
                  <c:v>-0.71296365507869286</c:v>
                </c:pt>
                <c:pt idx="47">
                  <c:v>-0.48879082190614831</c:v>
                </c:pt>
                <c:pt idx="48">
                  <c:v>-0.11046877255416732</c:v>
                </c:pt>
                <c:pt idx="49">
                  <c:v>0.41555565280552553</c:v>
                </c:pt>
                <c:pt idx="50">
                  <c:v>0.99397223285692604</c:v>
                </c:pt>
                <c:pt idx="51">
                  <c:v>1.1814322052129356</c:v>
                </c:pt>
                <c:pt idx="52">
                  <c:v>1.1991607799049522</c:v>
                </c:pt>
                <c:pt idx="53">
                  <c:v>1.0076566226356087</c:v>
                </c:pt>
                <c:pt idx="54">
                  <c:v>0.43567455765167207</c:v>
                </c:pt>
                <c:pt idx="55">
                  <c:v>0.12307889880791034</c:v>
                </c:pt>
                <c:pt idx="56">
                  <c:v>8.5927592160649269E-2</c:v>
                </c:pt>
                <c:pt idx="57">
                  <c:v>0.25609779277853661</c:v>
                </c:pt>
                <c:pt idx="58">
                  <c:v>0.77023173988991189</c:v>
                </c:pt>
                <c:pt idx="59">
                  <c:v>0.95673262200981846</c:v>
                </c:pt>
                <c:pt idx="60">
                  <c:v>0.92035697505796676</c:v>
                </c:pt>
                <c:pt idx="61">
                  <c:v>0.30048484796911268</c:v>
                </c:pt>
                <c:pt idx="62">
                  <c:v>-8.4374154383318967E-2</c:v>
                </c:pt>
                <c:pt idx="63">
                  <c:v>-0.12959168778558627</c:v>
                </c:pt>
                <c:pt idx="64">
                  <c:v>-0.44498821233400321</c:v>
                </c:pt>
                <c:pt idx="65">
                  <c:v>-0.20327967896804999</c:v>
                </c:pt>
                <c:pt idx="66">
                  <c:v>-0.16071264562594045</c:v>
                </c:pt>
                <c:pt idx="67">
                  <c:v>-0.21805420413389243</c:v>
                </c:pt>
                <c:pt idx="68">
                  <c:v>-5.6294572829909129E-2</c:v>
                </c:pt>
                <c:pt idx="69">
                  <c:v>-0.2930179994159694</c:v>
                </c:pt>
                <c:pt idx="70">
                  <c:v>-0.30914222054859142</c:v>
                </c:pt>
                <c:pt idx="71">
                  <c:v>-0.44451778132667119</c:v>
                </c:pt>
                <c:pt idx="72">
                  <c:v>-0.69616525847575605</c:v>
                </c:pt>
                <c:pt idx="73">
                  <c:v>-0.80033354688113612</c:v>
                </c:pt>
                <c:pt idx="74">
                  <c:v>-0.61134948036475567</c:v>
                </c:pt>
                <c:pt idx="75">
                  <c:v>-0.79983862723535282</c:v>
                </c:pt>
                <c:pt idx="76">
                  <c:v>-0.53859797507827878</c:v>
                </c:pt>
                <c:pt idx="77">
                  <c:v>-0.27739008365433016</c:v>
                </c:pt>
                <c:pt idx="78">
                  <c:v>-0.64155322721380781</c:v>
                </c:pt>
                <c:pt idx="79">
                  <c:v>-0.24009451862301834</c:v>
                </c:pt>
                <c:pt idx="80">
                  <c:v>-0.23388898178318485</c:v>
                </c:pt>
                <c:pt idx="81">
                  <c:v>-0.36540641372272997</c:v>
                </c:pt>
                <c:pt idx="82">
                  <c:v>0.10614182257304527</c:v>
                </c:pt>
                <c:pt idx="83">
                  <c:v>-0.57061965691256589</c:v>
                </c:pt>
                <c:pt idx="84">
                  <c:v>-0.55204774901564502</c:v>
                </c:pt>
                <c:pt idx="85">
                  <c:v>-0.31270878556731674</c:v>
                </c:pt>
                <c:pt idx="86">
                  <c:v>0.15933426490412916</c:v>
                </c:pt>
                <c:pt idx="87">
                  <c:v>1.5609665542951188</c:v>
                </c:pt>
                <c:pt idx="88">
                  <c:v>1.7852572162166265</c:v>
                </c:pt>
                <c:pt idx="89">
                  <c:v>1.3949030338066883</c:v>
                </c:pt>
                <c:pt idx="90">
                  <c:v>0.74410359131724135</c:v>
                </c:pt>
                <c:pt idx="91">
                  <c:v>7.9949961883751364E-2</c:v>
                </c:pt>
                <c:pt idx="92">
                  <c:v>-0.33917323739668692</c:v>
                </c:pt>
                <c:pt idx="93">
                  <c:v>-0.22573521129039076</c:v>
                </c:pt>
                <c:pt idx="94">
                  <c:v>-0.36389469537546759</c:v>
                </c:pt>
                <c:pt idx="95">
                  <c:v>-0.2258224156199109</c:v>
                </c:pt>
                <c:pt idx="96">
                  <c:v>-0.19375977548268075</c:v>
                </c:pt>
                <c:pt idx="97">
                  <c:v>-0.39279381924297052</c:v>
                </c:pt>
                <c:pt idx="98">
                  <c:v>5.9743012471736634E-2</c:v>
                </c:pt>
                <c:pt idx="99">
                  <c:v>8.4914502370796896E-2</c:v>
                </c:pt>
                <c:pt idx="100">
                  <c:v>0.12061848599008318</c:v>
                </c:pt>
                <c:pt idx="101">
                  <c:v>-7.7977807619484807E-3</c:v>
                </c:pt>
                <c:pt idx="102">
                  <c:v>-0.31895866511822035</c:v>
                </c:pt>
                <c:pt idx="103">
                  <c:v>-0.40019360113802005</c:v>
                </c:pt>
                <c:pt idx="104">
                  <c:v>-0.43400472022470371</c:v>
                </c:pt>
                <c:pt idx="105">
                  <c:v>-0.11175550602385176</c:v>
                </c:pt>
                <c:pt idx="106">
                  <c:v>-3.2596151306776733E-2</c:v>
                </c:pt>
                <c:pt idx="107">
                  <c:v>-0.33454972725585996</c:v>
                </c:pt>
                <c:pt idx="108">
                  <c:v>-0.74473016777186185</c:v>
                </c:pt>
                <c:pt idx="109">
                  <c:v>-0.68510099382140677</c:v>
                </c:pt>
                <c:pt idx="110">
                  <c:v>-0.80811186336407026</c:v>
                </c:pt>
                <c:pt idx="111">
                  <c:v>-0.74569013034438747</c:v>
                </c:pt>
                <c:pt idx="112">
                  <c:v>-0.55118532117966801</c:v>
                </c:pt>
                <c:pt idx="113">
                  <c:v>-0.66202301025871257</c:v>
                </c:pt>
                <c:pt idx="114">
                  <c:v>-0.63130953840706816</c:v>
                </c:pt>
                <c:pt idx="115">
                  <c:v>-0.41442198322573631</c:v>
                </c:pt>
                <c:pt idx="116">
                  <c:v>-7.5487639109363069E-2</c:v>
                </c:pt>
                <c:pt idx="117">
                  <c:v>-0.20011941639088437</c:v>
                </c:pt>
                <c:pt idx="118">
                  <c:v>-4.6108150317651031E-2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B7-47CE-9CC8-9B6D92C8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12016"/>
        <c:axId val="1217522576"/>
      </c:scatterChart>
      <c:valAx>
        <c:axId val="121751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2576"/>
        <c:crosses val="autoZero"/>
        <c:crossBetween val="midCat"/>
      </c:valAx>
      <c:valAx>
        <c:axId val="121752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20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Chicago!$M$6:$M$124</c:f>
              <c:numCache>
                <c:formatCode>General</c:formatCode>
                <c:ptCount val="119"/>
                <c:pt idx="0">
                  <c:v>7.149864</c:v>
                </c:pt>
                <c:pt idx="1">
                  <c:v>7.2416479999999996</c:v>
                </c:pt>
                <c:pt idx="2">
                  <c:v>7.3983629999999998</c:v>
                </c:pt>
                <c:pt idx="3">
                  <c:v>7.5259989999999997</c:v>
                </c:pt>
                <c:pt idx="4">
                  <c:v>6.8690670000000003</c:v>
                </c:pt>
                <c:pt idx="5">
                  <c:v>6.336106</c:v>
                </c:pt>
                <c:pt idx="6">
                  <c:v>5.6268010000000004</c:v>
                </c:pt>
                <c:pt idx="7">
                  <c:v>5.1400519999999998</c:v>
                </c:pt>
                <c:pt idx="8">
                  <c:v>5.4440520000000001</c:v>
                </c:pt>
                <c:pt idx="9">
                  <c:v>5.6750069999999999</c:v>
                </c:pt>
                <c:pt idx="10">
                  <c:v>5.9773490000000002</c:v>
                </c:pt>
                <c:pt idx="11">
                  <c:v>6.3930499999999997</c:v>
                </c:pt>
                <c:pt idx="12">
                  <c:v>6.3871770000000003</c:v>
                </c:pt>
                <c:pt idx="13">
                  <c:v>6.1752039999999999</c:v>
                </c:pt>
                <c:pt idx="14">
                  <c:v>6.2918409999999998</c:v>
                </c:pt>
                <c:pt idx="15">
                  <c:v>6.4519900000000003</c:v>
                </c:pt>
                <c:pt idx="16">
                  <c:v>6.6095579999999998</c:v>
                </c:pt>
                <c:pt idx="17">
                  <c:v>6.5748550000000003</c:v>
                </c:pt>
                <c:pt idx="18">
                  <c:v>6.7027780000000003</c:v>
                </c:pt>
                <c:pt idx="19">
                  <c:v>6.7869669999999998</c:v>
                </c:pt>
                <c:pt idx="20">
                  <c:v>7.1114560000000004</c:v>
                </c:pt>
                <c:pt idx="21">
                  <c:v>7.5649160000000002</c:v>
                </c:pt>
                <c:pt idx="22">
                  <c:v>7.9517340000000001</c:v>
                </c:pt>
                <c:pt idx="23">
                  <c:v>7.881786</c:v>
                </c:pt>
                <c:pt idx="24">
                  <c:v>7.7983070000000003</c:v>
                </c:pt>
                <c:pt idx="25">
                  <c:v>7.8109019999999996</c:v>
                </c:pt>
                <c:pt idx="26">
                  <c:v>7.6571059999999997</c:v>
                </c:pt>
                <c:pt idx="27">
                  <c:v>7.77522</c:v>
                </c:pt>
                <c:pt idx="28">
                  <c:v>7.9564849999999998</c:v>
                </c:pt>
                <c:pt idx="29">
                  <c:v>8.6389519999999997</c:v>
                </c:pt>
                <c:pt idx="30">
                  <c:v>9.2380849999999999</c:v>
                </c:pt>
                <c:pt idx="31">
                  <c:v>9.5470129999999997</c:v>
                </c:pt>
                <c:pt idx="32">
                  <c:v>9.9432130000000001</c:v>
                </c:pt>
                <c:pt idx="33">
                  <c:v>9.6107790000000008</c:v>
                </c:pt>
                <c:pt idx="34">
                  <c:v>9.1180869999999992</c:v>
                </c:pt>
                <c:pt idx="35">
                  <c:v>8.8244690000000006</c:v>
                </c:pt>
                <c:pt idx="36">
                  <c:v>8.5774740000000005</c:v>
                </c:pt>
                <c:pt idx="37">
                  <c:v>8.6668509999999994</c:v>
                </c:pt>
                <c:pt idx="38">
                  <c:v>8.6406480000000006</c:v>
                </c:pt>
                <c:pt idx="39">
                  <c:v>8.3234709999999996</c:v>
                </c:pt>
                <c:pt idx="40">
                  <c:v>7.975549</c:v>
                </c:pt>
                <c:pt idx="41">
                  <c:v>7.5934229999999996</c:v>
                </c:pt>
                <c:pt idx="42">
                  <c:v>7.872433</c:v>
                </c:pt>
                <c:pt idx="43">
                  <c:v>8.0673259999999996</c:v>
                </c:pt>
                <c:pt idx="44">
                  <c:v>8.2822659999999999</c:v>
                </c:pt>
                <c:pt idx="45">
                  <c:v>8.2368729999999992</c:v>
                </c:pt>
                <c:pt idx="46">
                  <c:v>8.2150730000000003</c:v>
                </c:pt>
                <c:pt idx="47">
                  <c:v>8.3051569999999995</c:v>
                </c:pt>
                <c:pt idx="48">
                  <c:v>8.2079500000000003</c:v>
                </c:pt>
                <c:pt idx="49">
                  <c:v>8.4634219999999996</c:v>
                </c:pt>
                <c:pt idx="50">
                  <c:v>8.1771189999999994</c:v>
                </c:pt>
                <c:pt idx="51">
                  <c:v>8.2393470000000004</c:v>
                </c:pt>
                <c:pt idx="52">
                  <c:v>8.0590840000000004</c:v>
                </c:pt>
                <c:pt idx="53">
                  <c:v>7.7638509999999998</c:v>
                </c:pt>
                <c:pt idx="54">
                  <c:v>7.948296</c:v>
                </c:pt>
                <c:pt idx="55">
                  <c:v>7.7658649999999998</c:v>
                </c:pt>
                <c:pt idx="56">
                  <c:v>7.9402910000000002</c:v>
                </c:pt>
                <c:pt idx="57">
                  <c:v>8.2887120000000003</c:v>
                </c:pt>
                <c:pt idx="58">
                  <c:v>8.3312939999999998</c:v>
                </c:pt>
                <c:pt idx="59">
                  <c:v>8.6097760000000001</c:v>
                </c:pt>
                <c:pt idx="60">
                  <c:v>8.8047609999999992</c:v>
                </c:pt>
                <c:pt idx="61">
                  <c:v>8.8738510000000002</c:v>
                </c:pt>
                <c:pt idx="62">
                  <c:v>8.955762</c:v>
                </c:pt>
                <c:pt idx="63">
                  <c:v>8.5874710000000007</c:v>
                </c:pt>
                <c:pt idx="64">
                  <c:v>8.3872649999999993</c:v>
                </c:pt>
                <c:pt idx="65">
                  <c:v>8.2099720000000005</c:v>
                </c:pt>
                <c:pt idx="66">
                  <c:v>7.8839350000000001</c:v>
                </c:pt>
                <c:pt idx="67">
                  <c:v>7.8916409999999999</c:v>
                </c:pt>
                <c:pt idx="68">
                  <c:v>7.6349650000000002</c:v>
                </c:pt>
                <c:pt idx="69">
                  <c:v>7.2004539999999997</c:v>
                </c:pt>
                <c:pt idx="70">
                  <c:v>7.1896129999999996</c:v>
                </c:pt>
                <c:pt idx="71">
                  <c:v>7.0002339999999998</c:v>
                </c:pt>
                <c:pt idx="72">
                  <c:v>7.0314680000000003</c:v>
                </c:pt>
                <c:pt idx="73">
                  <c:v>6.9182009999999998</c:v>
                </c:pt>
                <c:pt idx="74">
                  <c:v>6.6730299999999998</c:v>
                </c:pt>
                <c:pt idx="75">
                  <c:v>6.5233119999999998</c:v>
                </c:pt>
                <c:pt idx="76">
                  <c:v>6.0789169999999997</c:v>
                </c:pt>
                <c:pt idx="77">
                  <c:v>5.9740080000000004</c:v>
                </c:pt>
                <c:pt idx="78">
                  <c:v>5.8297619999999997</c:v>
                </c:pt>
                <c:pt idx="79">
                  <c:v>5.9179709999999996</c:v>
                </c:pt>
                <c:pt idx="80">
                  <c:v>6.0153759999999998</c:v>
                </c:pt>
                <c:pt idx="81">
                  <c:v>6.0525270000000004</c:v>
                </c:pt>
                <c:pt idx="82">
                  <c:v>6.0977050000000004</c:v>
                </c:pt>
                <c:pt idx="83">
                  <c:v>5.8661339999999997</c:v>
                </c:pt>
                <c:pt idx="84">
                  <c:v>5.7810600000000001</c:v>
                </c:pt>
                <c:pt idx="85">
                  <c:v>5.51898</c:v>
                </c:pt>
                <c:pt idx="86">
                  <c:v>5.2570290000000002</c:v>
                </c:pt>
                <c:pt idx="87">
                  <c:v>5.2453370000000001</c:v>
                </c:pt>
                <c:pt idx="88">
                  <c:v>5.2807219999999999</c:v>
                </c:pt>
                <c:pt idx="89">
                  <c:v>5.8249680000000001</c:v>
                </c:pt>
                <c:pt idx="90">
                  <c:v>6.4307319999999999</c:v>
                </c:pt>
                <c:pt idx="91">
                  <c:v>6.6446290000000001</c:v>
                </c:pt>
                <c:pt idx="92">
                  <c:v>7.0040589999999998</c:v>
                </c:pt>
                <c:pt idx="93">
                  <c:v>7.0696000000000003</c:v>
                </c:pt>
                <c:pt idx="94">
                  <c:v>6.9186230000000002</c:v>
                </c:pt>
                <c:pt idx="95">
                  <c:v>6.6733390000000004</c:v>
                </c:pt>
                <c:pt idx="96">
                  <c:v>6.422085</c:v>
                </c:pt>
                <c:pt idx="97">
                  <c:v>6.1778880000000003</c:v>
                </c:pt>
                <c:pt idx="98">
                  <c:v>5.9055119999999999</c:v>
                </c:pt>
                <c:pt idx="99">
                  <c:v>6.0739010000000002</c:v>
                </c:pt>
                <c:pt idx="100">
                  <c:v>6.1579709999999999</c:v>
                </c:pt>
                <c:pt idx="101">
                  <c:v>6.3274270000000001</c:v>
                </c:pt>
                <c:pt idx="102">
                  <c:v>6.5368139999999997</c:v>
                </c:pt>
                <c:pt idx="103">
                  <c:v>6.6986970000000001</c:v>
                </c:pt>
                <c:pt idx="104">
                  <c:v>6.6086270000000003</c:v>
                </c:pt>
                <c:pt idx="105">
                  <c:v>6.4418660000000001</c:v>
                </c:pt>
                <c:pt idx="106">
                  <c:v>6.2891940000000002</c:v>
                </c:pt>
                <c:pt idx="107">
                  <c:v>6.156892</c:v>
                </c:pt>
                <c:pt idx="108">
                  <c:v>6.0615509999999997</c:v>
                </c:pt>
                <c:pt idx="109">
                  <c:v>5.9465459999999997</c:v>
                </c:pt>
                <c:pt idx="110">
                  <c:v>5.7857279999999998</c:v>
                </c:pt>
                <c:pt idx="111">
                  <c:v>5.5662989999999999</c:v>
                </c:pt>
                <c:pt idx="112">
                  <c:v>5.4328500000000002</c:v>
                </c:pt>
                <c:pt idx="113">
                  <c:v>5.2937260000000004</c:v>
                </c:pt>
                <c:pt idx="114">
                  <c:v>5.252059</c:v>
                </c:pt>
                <c:pt idx="115">
                  <c:v>5.1105879999999999</c:v>
                </c:pt>
                <c:pt idx="116">
                  <c:v>5.1794849999999997</c:v>
                </c:pt>
                <c:pt idx="117">
                  <c:v>5.1280830000000002</c:v>
                </c:pt>
                <c:pt idx="118">
                  <c:v>5.0758010000000002</c:v>
                </c:pt>
              </c:numCache>
            </c:numRef>
          </c:xVal>
          <c:yVal>
            <c:numRef>
              <c:f>'Model 1 Chi'!$C$27:$C$145</c:f>
              <c:numCache>
                <c:formatCode>General</c:formatCode>
                <c:ptCount val="119"/>
                <c:pt idx="0">
                  <c:v>-0.42736977476854765</c:v>
                </c:pt>
                <c:pt idx="1">
                  <c:v>-0.98297593487310397</c:v>
                </c:pt>
                <c:pt idx="2">
                  <c:v>-1.8157851001637617</c:v>
                </c:pt>
                <c:pt idx="3">
                  <c:v>-2.3719714847149085</c:v>
                </c:pt>
                <c:pt idx="4">
                  <c:v>-1.652629930442747</c:v>
                </c:pt>
                <c:pt idx="5">
                  <c:v>-1.0430696629346174</c:v>
                </c:pt>
                <c:pt idx="6">
                  <c:v>-0.14466933585283215</c:v>
                </c:pt>
                <c:pt idx="7">
                  <c:v>0.64544767817215121</c:v>
                </c:pt>
                <c:pt idx="8">
                  <c:v>0.36441596958114175</c:v>
                </c:pt>
                <c:pt idx="9">
                  <c:v>-3.8972098989275672E-2</c:v>
                </c:pt>
                <c:pt idx="10">
                  <c:v>-0.18186876778400674</c:v>
                </c:pt>
                <c:pt idx="11">
                  <c:v>-0.34567628978833476</c:v>
                </c:pt>
                <c:pt idx="12">
                  <c:v>-0.19823969712840306</c:v>
                </c:pt>
                <c:pt idx="13">
                  <c:v>-0.11723566702521193</c:v>
                </c:pt>
                <c:pt idx="14">
                  <c:v>-2.1696240909943043E-3</c:v>
                </c:pt>
                <c:pt idx="15">
                  <c:v>6.9076539373228663E-2</c:v>
                </c:pt>
                <c:pt idx="16">
                  <c:v>0.18712988949655429</c:v>
                </c:pt>
                <c:pt idx="17">
                  <c:v>0.58408657655231622</c:v>
                </c:pt>
                <c:pt idx="18">
                  <c:v>0.88399250013298669</c:v>
                </c:pt>
                <c:pt idx="19">
                  <c:v>0.69051093178286571</c:v>
                </c:pt>
                <c:pt idx="20">
                  <c:v>0.44118202400686979</c:v>
                </c:pt>
                <c:pt idx="21">
                  <c:v>0.16598405010252826</c:v>
                </c:pt>
                <c:pt idx="22">
                  <c:v>-0.26859149293434026</c:v>
                </c:pt>
                <c:pt idx="23">
                  <c:v>-8.7823019931096979E-2</c:v>
                </c:pt>
                <c:pt idx="24">
                  <c:v>0.25892178530018217</c:v>
                </c:pt>
                <c:pt idx="25">
                  <c:v>0.9911434795367331</c:v>
                </c:pt>
                <c:pt idx="26">
                  <c:v>1.745289409533294</c:v>
                </c:pt>
                <c:pt idx="27">
                  <c:v>1.9664491859183588</c:v>
                </c:pt>
                <c:pt idx="28">
                  <c:v>2.1755751114526882</c:v>
                </c:pt>
                <c:pt idx="29">
                  <c:v>1.2869711792929905</c:v>
                </c:pt>
                <c:pt idx="30">
                  <c:v>0.42838649106045423</c:v>
                </c:pt>
                <c:pt idx="31">
                  <c:v>2.0231222881175626E-2</c:v>
                </c:pt>
                <c:pt idx="32">
                  <c:v>-0.59284426190620287</c:v>
                </c:pt>
                <c:pt idx="33">
                  <c:v>-0.33720815235914614</c:v>
                </c:pt>
                <c:pt idx="34">
                  <c:v>-4.8952059797949588E-2</c:v>
                </c:pt>
                <c:pt idx="35">
                  <c:v>-0.17452927821414299</c:v>
                </c:pt>
                <c:pt idx="36">
                  <c:v>-0.21739106428245147</c:v>
                </c:pt>
                <c:pt idx="37">
                  <c:v>-0.5602104466895792</c:v>
                </c:pt>
                <c:pt idx="38">
                  <c:v>-0.29235640349005987</c:v>
                </c:pt>
                <c:pt idx="39">
                  <c:v>0.12507845391842576</c:v>
                </c:pt>
                <c:pt idx="40">
                  <c:v>0.64976966437047778</c:v>
                </c:pt>
                <c:pt idx="41">
                  <c:v>0.9173289766096886</c:v>
                </c:pt>
                <c:pt idx="42">
                  <c:v>0.81533801329404376</c:v>
                </c:pt>
                <c:pt idx="43">
                  <c:v>0.91178523354005403</c:v>
                </c:pt>
                <c:pt idx="44">
                  <c:v>0.51712501242250397</c:v>
                </c:pt>
                <c:pt idx="45">
                  <c:v>0.67415358414262538</c:v>
                </c:pt>
                <c:pt idx="46">
                  <c:v>0.3322523430864921</c:v>
                </c:pt>
                <c:pt idx="47">
                  <c:v>0.25138452924475008</c:v>
                </c:pt>
                <c:pt idx="48">
                  <c:v>0.12672498821065581</c:v>
                </c:pt>
                <c:pt idx="49">
                  <c:v>-0.35308116898184583</c:v>
                </c:pt>
                <c:pt idx="50">
                  <c:v>9.5439175252205466E-2</c:v>
                </c:pt>
                <c:pt idx="51">
                  <c:v>-0.10671632728409719</c:v>
                </c:pt>
                <c:pt idx="52">
                  <c:v>0.3139515981061205</c:v>
                </c:pt>
                <c:pt idx="53">
                  <c:v>0.94011093980187521</c:v>
                </c:pt>
                <c:pt idx="54">
                  <c:v>0.72832378376301499</c:v>
                </c:pt>
                <c:pt idx="55">
                  <c:v>1.0580983202720073</c:v>
                </c:pt>
                <c:pt idx="56">
                  <c:v>0.78105691040334868</c:v>
                </c:pt>
                <c:pt idx="57">
                  <c:v>0.41555080884979212</c:v>
                </c:pt>
                <c:pt idx="58">
                  <c:v>0.52418430869127874</c:v>
                </c:pt>
                <c:pt idx="59">
                  <c:v>-6.0106693266275713E-2</c:v>
                </c:pt>
                <c:pt idx="60">
                  <c:v>-0.30214307984549826</c:v>
                </c:pt>
                <c:pt idx="61">
                  <c:v>-0.51344069481804588</c:v>
                </c:pt>
                <c:pt idx="62">
                  <c:v>-0.92160637072458673</c:v>
                </c:pt>
                <c:pt idx="63">
                  <c:v>-0.5454562115863073</c:v>
                </c:pt>
                <c:pt idx="64">
                  <c:v>-0.52945158157808603</c:v>
                </c:pt>
                <c:pt idx="65">
                  <c:v>-0.84823384502127919</c:v>
                </c:pt>
                <c:pt idx="66">
                  <c:v>-0.55415404535226109</c:v>
                </c:pt>
                <c:pt idx="67">
                  <c:v>-0.7582740282149727</c:v>
                </c:pt>
                <c:pt idx="68">
                  <c:v>-0.49600488923587083</c:v>
                </c:pt>
                <c:pt idx="69">
                  <c:v>-0.16525255657084248</c:v>
                </c:pt>
                <c:pt idx="70">
                  <c:v>-0.35776891650185672</c:v>
                </c:pt>
                <c:pt idx="71">
                  <c:v>-0.33411837750992657</c:v>
                </c:pt>
                <c:pt idx="72">
                  <c:v>-0.81201232635654019</c:v>
                </c:pt>
                <c:pt idx="73">
                  <c:v>-0.83040091838758734</c:v>
                </c:pt>
                <c:pt idx="74">
                  <c:v>-0.73886426752097645</c:v>
                </c:pt>
                <c:pt idx="75">
                  <c:v>-0.48159633783517641</c:v>
                </c:pt>
                <c:pt idx="76">
                  <c:v>-9.1348695390776058E-3</c:v>
                </c:pt>
                <c:pt idx="77">
                  <c:v>8.9251799699621159E-3</c:v>
                </c:pt>
                <c:pt idx="78">
                  <c:v>0.13876938367584568</c:v>
                </c:pt>
                <c:pt idx="79">
                  <c:v>-0.17499550003697184</c:v>
                </c:pt>
                <c:pt idx="80">
                  <c:v>-0.25539098378495417</c:v>
                </c:pt>
                <c:pt idx="81">
                  <c:v>-0.49737531223199127</c:v>
                </c:pt>
                <c:pt idx="82">
                  <c:v>-0.76145881613443667</c:v>
                </c:pt>
                <c:pt idx="83">
                  <c:v>-0.49468556406410169</c:v>
                </c:pt>
                <c:pt idx="84">
                  <c:v>-0.4287446606826899</c:v>
                </c:pt>
                <c:pt idx="85">
                  <c:v>5.8314614035037238E-2</c:v>
                </c:pt>
                <c:pt idx="86">
                  <c:v>0.85342823491927611</c:v>
                </c:pt>
                <c:pt idx="87">
                  <c:v>1.0522259159337946</c:v>
                </c:pt>
                <c:pt idx="88">
                  <c:v>1.3321222075969317</c:v>
                </c:pt>
                <c:pt idx="89">
                  <c:v>1.1108629803891308</c:v>
                </c:pt>
                <c:pt idx="90">
                  <c:v>0.47851327342724126</c:v>
                </c:pt>
                <c:pt idx="91">
                  <c:v>1.5199630862074542E-2</c:v>
                </c:pt>
                <c:pt idx="92">
                  <c:v>-0.57109899305663792</c:v>
                </c:pt>
                <c:pt idx="93">
                  <c:v>-0.69692855455367297</c:v>
                </c:pt>
                <c:pt idx="94">
                  <c:v>-0.82853087455275798</c:v>
                </c:pt>
                <c:pt idx="95">
                  <c:v>-0.49201894047642458</c:v>
                </c:pt>
                <c:pt idx="96">
                  <c:v>-0.13530986624847685</c:v>
                </c:pt>
                <c:pt idx="97">
                  <c:v>0.26058949633917017</c:v>
                </c:pt>
                <c:pt idx="98">
                  <c:v>0.60730038941268827</c:v>
                </c:pt>
                <c:pt idx="99">
                  <c:v>0.79585829989281542</c:v>
                </c:pt>
                <c:pt idx="100">
                  <c:v>0.59201982835017297</c:v>
                </c:pt>
                <c:pt idx="101">
                  <c:v>0.21571763108807573</c:v>
                </c:pt>
                <c:pt idx="102">
                  <c:v>3.8300917203345719E-2</c:v>
                </c:pt>
                <c:pt idx="103">
                  <c:v>-0.26668982277235642</c:v>
                </c:pt>
                <c:pt idx="104">
                  <c:v>-0.27443396410443288</c:v>
                </c:pt>
                <c:pt idx="105">
                  <c:v>-0.34484377058444871</c:v>
                </c:pt>
                <c:pt idx="106">
                  <c:v>-0.3910481885426762</c:v>
                </c:pt>
                <c:pt idx="107">
                  <c:v>-0.38337603838414136</c:v>
                </c:pt>
                <c:pt idx="108">
                  <c:v>-0.37879149439705984</c:v>
                </c:pt>
                <c:pt idx="109">
                  <c:v>-0.38004049123703521</c:v>
                </c:pt>
                <c:pt idx="110">
                  <c:v>-0.27991532232428984</c:v>
                </c:pt>
                <c:pt idx="111">
                  <c:v>-0.35923670255520967</c:v>
                </c:pt>
                <c:pt idx="112">
                  <c:v>-0.18914974807842899</c:v>
                </c:pt>
                <c:pt idx="113">
                  <c:v>-0.10853842515164125</c:v>
                </c:pt>
                <c:pt idx="114">
                  <c:v>-0.1686377889924433</c:v>
                </c:pt>
                <c:pt idx="115">
                  <c:v>-9.0810293365205297E-2</c:v>
                </c:pt>
                <c:pt idx="116">
                  <c:v>-0.17583962019635724</c:v>
                </c:pt>
                <c:pt idx="117">
                  <c:v>-4.4377132968686617E-2</c:v>
                </c:pt>
                <c:pt idx="118">
                  <c:v>0.15202527251895592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D4-4472-9912-B7459D024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523952"/>
        <c:axId val="711527792"/>
      </c:scatterChart>
      <c:valAx>
        <c:axId val="71152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1527792"/>
        <c:crosses val="autoZero"/>
        <c:crossBetween val="midCat"/>
      </c:valAx>
      <c:valAx>
        <c:axId val="71152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1523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1 Chi'!$C$27:$C$145</c:f>
              <c:numCache>
                <c:formatCode>General</c:formatCode>
                <c:ptCount val="119"/>
                <c:pt idx="0">
                  <c:v>-0.42736977476854765</c:v>
                </c:pt>
                <c:pt idx="1">
                  <c:v>-0.98297593487310397</c:v>
                </c:pt>
                <c:pt idx="2">
                  <c:v>-1.8157851001637617</c:v>
                </c:pt>
                <c:pt idx="3">
                  <c:v>-2.3719714847149085</c:v>
                </c:pt>
                <c:pt idx="4">
                  <c:v>-1.652629930442747</c:v>
                </c:pt>
                <c:pt idx="5">
                  <c:v>-1.0430696629346174</c:v>
                </c:pt>
                <c:pt idx="6">
                  <c:v>-0.14466933585283215</c:v>
                </c:pt>
                <c:pt idx="7">
                  <c:v>0.64544767817215121</c:v>
                </c:pt>
                <c:pt idx="8">
                  <c:v>0.36441596958114175</c:v>
                </c:pt>
                <c:pt idx="9">
                  <c:v>-3.8972098989275672E-2</c:v>
                </c:pt>
                <c:pt idx="10">
                  <c:v>-0.18186876778400674</c:v>
                </c:pt>
                <c:pt idx="11">
                  <c:v>-0.34567628978833476</c:v>
                </c:pt>
                <c:pt idx="12">
                  <c:v>-0.19823969712840306</c:v>
                </c:pt>
                <c:pt idx="13">
                  <c:v>-0.11723566702521193</c:v>
                </c:pt>
                <c:pt idx="14">
                  <c:v>-2.1696240909943043E-3</c:v>
                </c:pt>
                <c:pt idx="15">
                  <c:v>6.9076539373228663E-2</c:v>
                </c:pt>
                <c:pt idx="16">
                  <c:v>0.18712988949655429</c:v>
                </c:pt>
                <c:pt idx="17">
                  <c:v>0.58408657655231622</c:v>
                </c:pt>
                <c:pt idx="18">
                  <c:v>0.88399250013298669</c:v>
                </c:pt>
                <c:pt idx="19">
                  <c:v>0.69051093178286571</c:v>
                </c:pt>
                <c:pt idx="20">
                  <c:v>0.44118202400686979</c:v>
                </c:pt>
                <c:pt idx="21">
                  <c:v>0.16598405010252826</c:v>
                </c:pt>
                <c:pt idx="22">
                  <c:v>-0.26859149293434026</c:v>
                </c:pt>
                <c:pt idx="23">
                  <c:v>-8.7823019931096979E-2</c:v>
                </c:pt>
                <c:pt idx="24">
                  <c:v>0.25892178530018217</c:v>
                </c:pt>
                <c:pt idx="25">
                  <c:v>0.9911434795367331</c:v>
                </c:pt>
                <c:pt idx="26">
                  <c:v>1.745289409533294</c:v>
                </c:pt>
                <c:pt idx="27">
                  <c:v>1.9664491859183588</c:v>
                </c:pt>
                <c:pt idx="28">
                  <c:v>2.1755751114526882</c:v>
                </c:pt>
                <c:pt idx="29">
                  <c:v>1.2869711792929905</c:v>
                </c:pt>
                <c:pt idx="30">
                  <c:v>0.42838649106045423</c:v>
                </c:pt>
                <c:pt idx="31">
                  <c:v>2.0231222881175626E-2</c:v>
                </c:pt>
                <c:pt idx="32">
                  <c:v>-0.59284426190620287</c:v>
                </c:pt>
                <c:pt idx="33">
                  <c:v>-0.33720815235914614</c:v>
                </c:pt>
                <c:pt idx="34">
                  <c:v>-4.8952059797949588E-2</c:v>
                </c:pt>
                <c:pt idx="35">
                  <c:v>-0.17452927821414299</c:v>
                </c:pt>
                <c:pt idx="36">
                  <c:v>-0.21739106428245147</c:v>
                </c:pt>
                <c:pt idx="37">
                  <c:v>-0.5602104466895792</c:v>
                </c:pt>
                <c:pt idx="38">
                  <c:v>-0.29235640349005987</c:v>
                </c:pt>
                <c:pt idx="39">
                  <c:v>0.12507845391842576</c:v>
                </c:pt>
                <c:pt idx="40">
                  <c:v>0.64976966437047778</c:v>
                </c:pt>
                <c:pt idx="41">
                  <c:v>0.9173289766096886</c:v>
                </c:pt>
                <c:pt idx="42">
                  <c:v>0.81533801329404376</c:v>
                </c:pt>
                <c:pt idx="43">
                  <c:v>0.91178523354005403</c:v>
                </c:pt>
                <c:pt idx="44">
                  <c:v>0.51712501242250397</c:v>
                </c:pt>
                <c:pt idx="45">
                  <c:v>0.67415358414262538</c:v>
                </c:pt>
                <c:pt idx="46">
                  <c:v>0.3322523430864921</c:v>
                </c:pt>
                <c:pt idx="47">
                  <c:v>0.25138452924475008</c:v>
                </c:pt>
                <c:pt idx="48">
                  <c:v>0.12672498821065581</c:v>
                </c:pt>
                <c:pt idx="49">
                  <c:v>-0.35308116898184583</c:v>
                </c:pt>
                <c:pt idx="50">
                  <c:v>9.5439175252205466E-2</c:v>
                </c:pt>
                <c:pt idx="51">
                  <c:v>-0.10671632728409719</c:v>
                </c:pt>
                <c:pt idx="52">
                  <c:v>0.3139515981061205</c:v>
                </c:pt>
                <c:pt idx="53">
                  <c:v>0.94011093980187521</c:v>
                </c:pt>
                <c:pt idx="54">
                  <c:v>0.72832378376301499</c:v>
                </c:pt>
                <c:pt idx="55">
                  <c:v>1.0580983202720073</c:v>
                </c:pt>
                <c:pt idx="56">
                  <c:v>0.78105691040334868</c:v>
                </c:pt>
                <c:pt idx="57">
                  <c:v>0.41555080884979212</c:v>
                </c:pt>
                <c:pt idx="58">
                  <c:v>0.52418430869127874</c:v>
                </c:pt>
                <c:pt idx="59">
                  <c:v>-6.0106693266275713E-2</c:v>
                </c:pt>
                <c:pt idx="60">
                  <c:v>-0.30214307984549826</c:v>
                </c:pt>
                <c:pt idx="61">
                  <c:v>-0.51344069481804588</c:v>
                </c:pt>
                <c:pt idx="62">
                  <c:v>-0.92160637072458673</c:v>
                </c:pt>
                <c:pt idx="63">
                  <c:v>-0.5454562115863073</c:v>
                </c:pt>
                <c:pt idx="64">
                  <c:v>-0.52945158157808603</c:v>
                </c:pt>
                <c:pt idx="65">
                  <c:v>-0.84823384502127919</c:v>
                </c:pt>
                <c:pt idx="66">
                  <c:v>-0.55415404535226109</c:v>
                </c:pt>
                <c:pt idx="67">
                  <c:v>-0.7582740282149727</c:v>
                </c:pt>
                <c:pt idx="68">
                  <c:v>-0.49600488923587083</c:v>
                </c:pt>
                <c:pt idx="69">
                  <c:v>-0.16525255657084248</c:v>
                </c:pt>
                <c:pt idx="70">
                  <c:v>-0.35776891650185672</c:v>
                </c:pt>
                <c:pt idx="71">
                  <c:v>-0.33411837750992657</c:v>
                </c:pt>
                <c:pt idx="72">
                  <c:v>-0.81201232635654019</c:v>
                </c:pt>
                <c:pt idx="73">
                  <c:v>-0.83040091838758734</c:v>
                </c:pt>
                <c:pt idx="74">
                  <c:v>-0.73886426752097645</c:v>
                </c:pt>
                <c:pt idx="75">
                  <c:v>-0.48159633783517641</c:v>
                </c:pt>
                <c:pt idx="76">
                  <c:v>-9.1348695390776058E-3</c:v>
                </c:pt>
                <c:pt idx="77">
                  <c:v>8.9251799699621159E-3</c:v>
                </c:pt>
                <c:pt idx="78">
                  <c:v>0.13876938367584568</c:v>
                </c:pt>
                <c:pt idx="79">
                  <c:v>-0.17499550003697184</c:v>
                </c:pt>
                <c:pt idx="80">
                  <c:v>-0.25539098378495417</c:v>
                </c:pt>
                <c:pt idx="81">
                  <c:v>-0.49737531223199127</c:v>
                </c:pt>
                <c:pt idx="82">
                  <c:v>-0.76145881613443667</c:v>
                </c:pt>
                <c:pt idx="83">
                  <c:v>-0.49468556406410169</c:v>
                </c:pt>
                <c:pt idx="84">
                  <c:v>-0.4287446606826899</c:v>
                </c:pt>
                <c:pt idx="85">
                  <c:v>5.8314614035037238E-2</c:v>
                </c:pt>
                <c:pt idx="86">
                  <c:v>0.85342823491927611</c:v>
                </c:pt>
                <c:pt idx="87">
                  <c:v>1.0522259159337946</c:v>
                </c:pt>
                <c:pt idx="88">
                  <c:v>1.3321222075969317</c:v>
                </c:pt>
                <c:pt idx="89">
                  <c:v>1.1108629803891308</c:v>
                </c:pt>
                <c:pt idx="90">
                  <c:v>0.47851327342724126</c:v>
                </c:pt>
                <c:pt idx="91">
                  <c:v>1.5199630862074542E-2</c:v>
                </c:pt>
                <c:pt idx="92">
                  <c:v>-0.57109899305663792</c:v>
                </c:pt>
                <c:pt idx="93">
                  <c:v>-0.69692855455367297</c:v>
                </c:pt>
                <c:pt idx="94">
                  <c:v>-0.82853087455275798</c:v>
                </c:pt>
                <c:pt idx="95">
                  <c:v>-0.49201894047642458</c:v>
                </c:pt>
                <c:pt idx="96">
                  <c:v>-0.13530986624847685</c:v>
                </c:pt>
                <c:pt idx="97">
                  <c:v>0.26058949633917017</c:v>
                </c:pt>
                <c:pt idx="98">
                  <c:v>0.60730038941268827</c:v>
                </c:pt>
                <c:pt idx="99">
                  <c:v>0.79585829989281542</c:v>
                </c:pt>
                <c:pt idx="100">
                  <c:v>0.59201982835017297</c:v>
                </c:pt>
                <c:pt idx="101">
                  <c:v>0.21571763108807573</c:v>
                </c:pt>
                <c:pt idx="102">
                  <c:v>3.8300917203345719E-2</c:v>
                </c:pt>
                <c:pt idx="103">
                  <c:v>-0.26668982277235642</c:v>
                </c:pt>
                <c:pt idx="104">
                  <c:v>-0.27443396410443288</c:v>
                </c:pt>
                <c:pt idx="105">
                  <c:v>-0.34484377058444871</c:v>
                </c:pt>
                <c:pt idx="106">
                  <c:v>-0.3910481885426762</c:v>
                </c:pt>
                <c:pt idx="107">
                  <c:v>-0.38337603838414136</c:v>
                </c:pt>
                <c:pt idx="108">
                  <c:v>-0.37879149439705984</c:v>
                </c:pt>
                <c:pt idx="109">
                  <c:v>-0.38004049123703521</c:v>
                </c:pt>
                <c:pt idx="110">
                  <c:v>-0.27991532232428984</c:v>
                </c:pt>
                <c:pt idx="111">
                  <c:v>-0.35923670255520967</c:v>
                </c:pt>
                <c:pt idx="112">
                  <c:v>-0.18914974807842899</c:v>
                </c:pt>
                <c:pt idx="113">
                  <c:v>-0.10853842515164125</c:v>
                </c:pt>
                <c:pt idx="114">
                  <c:v>-0.1686377889924433</c:v>
                </c:pt>
                <c:pt idx="115">
                  <c:v>-9.0810293365205297E-2</c:v>
                </c:pt>
                <c:pt idx="116">
                  <c:v>-0.17583962019635724</c:v>
                </c:pt>
                <c:pt idx="117">
                  <c:v>-4.4377132968686617E-2</c:v>
                </c:pt>
                <c:pt idx="118">
                  <c:v>0.15202527251895592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70-4F10-888B-8BA56A23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4336"/>
        <c:axId val="65879616"/>
      </c:scatterChart>
      <c:valAx>
        <c:axId val="6587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79616"/>
        <c:crosses val="autoZero"/>
        <c:crossBetween val="midCat"/>
      </c:valAx>
      <c:valAx>
        <c:axId val="65879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743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Chicago!$O$6:$O$124</c:f>
              <c:numCache>
                <c:formatCode>General</c:formatCode>
                <c:ptCount val="119"/>
                <c:pt idx="0">
                  <c:v>1.0269378779549203</c:v>
                </c:pt>
                <c:pt idx="1">
                  <c:v>1.0530344450519411</c:v>
                </c:pt>
                <c:pt idx="2">
                  <c:v>1.0587912087912088</c:v>
                </c:pt>
                <c:pt idx="3">
                  <c:v>1.0651573716178906</c:v>
                </c:pt>
                <c:pt idx="4">
                  <c:v>1.0369379014989295</c:v>
                </c:pt>
                <c:pt idx="5">
                  <c:v>1.0103842159916925</c:v>
                </c:pt>
                <c:pt idx="6">
                  <c:v>0.99948105864037373</c:v>
                </c:pt>
                <c:pt idx="7">
                  <c:v>0.98807672369103161</c:v>
                </c:pt>
                <c:pt idx="8">
                  <c:v>0.99277232834279816</c:v>
                </c:pt>
                <c:pt idx="9">
                  <c:v>0.99794450154162384</c:v>
                </c:pt>
                <c:pt idx="10">
                  <c:v>0.99532710280373837</c:v>
                </c:pt>
                <c:pt idx="11">
                  <c:v>0.9931794333683106</c:v>
                </c:pt>
                <c:pt idx="12">
                  <c:v>0.98023920956838284</c:v>
                </c:pt>
                <c:pt idx="13">
                  <c:v>0.96652935118434591</c:v>
                </c:pt>
                <c:pt idx="14">
                  <c:v>0.9853938445487741</c:v>
                </c:pt>
                <c:pt idx="15">
                  <c:v>1.0042260961436873</c:v>
                </c:pt>
                <c:pt idx="16">
                  <c:v>0.98196286472148542</c:v>
                </c:pt>
                <c:pt idx="17">
                  <c:v>0.96004262120404904</c:v>
                </c:pt>
                <c:pt idx="18">
                  <c:v>0.94759131815775532</c:v>
                </c:pt>
                <c:pt idx="19">
                  <c:v>0.93529721199368754</c:v>
                </c:pt>
                <c:pt idx="20">
                  <c:v>0.95191788222582385</c:v>
                </c:pt>
                <c:pt idx="21">
                  <c:v>0.96892341842397345</c:v>
                </c:pt>
                <c:pt idx="22">
                  <c:v>0.97039106145251408</c:v>
                </c:pt>
                <c:pt idx="23">
                  <c:v>0.97187851518560175</c:v>
                </c:pt>
                <c:pt idx="24">
                  <c:v>1.0096481271282631</c:v>
                </c:pt>
                <c:pt idx="25">
                  <c:v>1.0492554410080184</c:v>
                </c:pt>
                <c:pt idx="26">
                  <c:v>1.0627518710420265</c:v>
                </c:pt>
                <c:pt idx="27">
                  <c:v>1.0769675925925926</c:v>
                </c:pt>
                <c:pt idx="28">
                  <c:v>1.0578976953344577</c:v>
                </c:pt>
                <c:pt idx="29">
                  <c:v>1.0387554585152838</c:v>
                </c:pt>
                <c:pt idx="30">
                  <c:v>1.0671722643553629</c:v>
                </c:pt>
                <c:pt idx="31">
                  <c:v>1.0956475013433637</c:v>
                </c:pt>
                <c:pt idx="32">
                  <c:v>1.0844845908607863</c:v>
                </c:pt>
                <c:pt idx="33">
                  <c:v>1.0735680504466631</c:v>
                </c:pt>
                <c:pt idx="34">
                  <c:v>1.050253807106599</c:v>
                </c:pt>
                <c:pt idx="35">
                  <c:v>1.0269740068661108</c:v>
                </c:pt>
                <c:pt idx="36">
                  <c:v>1.0602645761881431</c:v>
                </c:pt>
                <c:pt idx="37">
                  <c:v>1.0944689182574645</c:v>
                </c:pt>
                <c:pt idx="38">
                  <c:v>1.0749154180763651</c:v>
                </c:pt>
                <c:pt idx="39">
                  <c:v>1.0568290353390639</c:v>
                </c:pt>
                <c:pt idx="40">
                  <c:v>1.0563770794824399</c:v>
                </c:pt>
                <c:pt idx="41">
                  <c:v>1.056350626118068</c:v>
                </c:pt>
                <c:pt idx="42">
                  <c:v>1.0885791366906477</c:v>
                </c:pt>
                <c:pt idx="43">
                  <c:v>1.1220063262539539</c:v>
                </c:pt>
                <c:pt idx="44">
                  <c:v>1.0962379702537182</c:v>
                </c:pt>
                <c:pt idx="45">
                  <c:v>1.0711261642675698</c:v>
                </c:pt>
                <c:pt idx="46">
                  <c:v>1.0586534489880215</c:v>
                </c:pt>
                <c:pt idx="47">
                  <c:v>1.0455094643576319</c:v>
                </c:pt>
                <c:pt idx="48">
                  <c:v>1.0462889066241021</c:v>
                </c:pt>
                <c:pt idx="49">
                  <c:v>1.0466403162055335</c:v>
                </c:pt>
                <c:pt idx="50">
                  <c:v>1.0479906359734685</c:v>
                </c:pt>
                <c:pt idx="51">
                  <c:v>1.0493066255778118</c:v>
                </c:pt>
                <c:pt idx="52">
                  <c:v>1.0644546147978642</c:v>
                </c:pt>
                <c:pt idx="53">
                  <c:v>1.0796827794561934</c:v>
                </c:pt>
                <c:pt idx="54">
                  <c:v>1.0446760982874161</c:v>
                </c:pt>
                <c:pt idx="55">
                  <c:v>1.0121145374449341</c:v>
                </c:pt>
                <c:pt idx="56">
                  <c:v>0.92834109638122542</c:v>
                </c:pt>
                <c:pt idx="57">
                  <c:v>0.88772298006295902</c:v>
                </c:pt>
                <c:pt idx="58">
                  <c:v>0.88560228082679981</c:v>
                </c:pt>
                <c:pt idx="59">
                  <c:v>0.8828436706565107</c:v>
                </c:pt>
                <c:pt idx="60">
                  <c:v>0.91354689309147052</c:v>
                </c:pt>
                <c:pt idx="61">
                  <c:v>0.91292356185973222</c:v>
                </c:pt>
                <c:pt idx="62">
                  <c:v>0.92273641851106636</c:v>
                </c:pt>
                <c:pt idx="63">
                  <c:v>0.94248151191454399</c:v>
                </c:pt>
                <c:pt idx="64">
                  <c:v>0.96620194338825516</c:v>
                </c:pt>
                <c:pt idx="65">
                  <c:v>0.97151488994389301</c:v>
                </c:pt>
                <c:pt idx="66">
                  <c:v>0.97514173571740081</c:v>
                </c:pt>
                <c:pt idx="67">
                  <c:v>0.96992153443766338</c:v>
                </c:pt>
                <c:pt idx="68">
                  <c:v>0.97857455181460418</c:v>
                </c:pt>
                <c:pt idx="69">
                  <c:v>0.99955575299866717</c:v>
                </c:pt>
                <c:pt idx="70">
                  <c:v>1.012969588550984</c:v>
                </c:pt>
                <c:pt idx="71">
                  <c:v>1.0242696629213484</c:v>
                </c:pt>
                <c:pt idx="72">
                  <c:v>1.0241286863270778</c:v>
                </c:pt>
                <c:pt idx="73">
                  <c:v>1.0337777777777779</c:v>
                </c:pt>
                <c:pt idx="74">
                  <c:v>1.0392935982339957</c:v>
                </c:pt>
                <c:pt idx="75">
                  <c:v>1.046072838964458</c:v>
                </c:pt>
                <c:pt idx="76">
                  <c:v>1.050174520069808</c:v>
                </c:pt>
                <c:pt idx="77">
                  <c:v>1.0249355116079104</c:v>
                </c:pt>
                <c:pt idx="78">
                  <c:v>1.0131690739167376</c:v>
                </c:pt>
                <c:pt idx="79">
                  <c:v>0.99958053691275162</c:v>
                </c:pt>
                <c:pt idx="80">
                  <c:v>1.0091400083090984</c:v>
                </c:pt>
                <c:pt idx="81">
                  <c:v>1.0281040268456376</c:v>
                </c:pt>
                <c:pt idx="82">
                  <c:v>1.0373165618448636</c:v>
                </c:pt>
                <c:pt idx="83">
                  <c:v>1.0474192194712548</c:v>
                </c:pt>
                <c:pt idx="84">
                  <c:v>1.0251132153149445</c:v>
                </c:pt>
                <c:pt idx="85">
                  <c:v>0.9632802937576499</c:v>
                </c:pt>
                <c:pt idx="86">
                  <c:v>0.96079223928860147</c:v>
                </c:pt>
                <c:pt idx="87">
                  <c:v>0.95272435897435903</c:v>
                </c:pt>
                <c:pt idx="88">
                  <c:v>0.94457831325301211</c:v>
                </c:pt>
                <c:pt idx="89">
                  <c:v>0.98348157560355776</c:v>
                </c:pt>
                <c:pt idx="90">
                  <c:v>0.97139251156920492</c:v>
                </c:pt>
                <c:pt idx="91">
                  <c:v>0.96173254835996635</c:v>
                </c:pt>
                <c:pt idx="92">
                  <c:v>0.96386054421768719</c:v>
                </c:pt>
                <c:pt idx="93">
                  <c:v>1.0055986218776918</c:v>
                </c:pt>
                <c:pt idx="94">
                  <c:v>0.99220441749675181</c:v>
                </c:pt>
                <c:pt idx="95">
                  <c:v>0.974639265413205</c:v>
                </c:pt>
                <c:pt idx="96">
                  <c:v>0.99294221438023822</c:v>
                </c:pt>
                <c:pt idx="97">
                  <c:v>0.99528907922912191</c:v>
                </c:pt>
                <c:pt idx="98">
                  <c:v>0.96726320384111741</c:v>
                </c:pt>
                <c:pt idx="99">
                  <c:v>1.0143562135486766</c:v>
                </c:pt>
                <c:pt idx="100">
                  <c:v>1.0075521990226566</c:v>
                </c:pt>
                <c:pt idx="101">
                  <c:v>0.98881239242685037</c:v>
                </c:pt>
                <c:pt idx="102">
                  <c:v>1.046028880866426</c:v>
                </c:pt>
                <c:pt idx="103">
                  <c:v>1.0358248562582928</c:v>
                </c:pt>
                <c:pt idx="104">
                  <c:v>1.0401234567901234</c:v>
                </c:pt>
                <c:pt idx="105">
                  <c:v>1.0113141862489121</c:v>
                </c:pt>
                <c:pt idx="106">
                  <c:v>1.0056082830025883</c:v>
                </c:pt>
                <c:pt idx="107">
                  <c:v>1.0333048676345002</c:v>
                </c:pt>
                <c:pt idx="108">
                  <c:v>1.0428147520135651</c:v>
                </c:pt>
                <c:pt idx="109">
                  <c:v>1.0593803786574871</c:v>
                </c:pt>
                <c:pt idx="110">
                  <c:v>1.0634920634920635</c:v>
                </c:pt>
                <c:pt idx="111">
                  <c:v>1.0301652892561983</c:v>
                </c:pt>
                <c:pt idx="112">
                  <c:v>1.0215447154471544</c:v>
                </c:pt>
                <c:pt idx="113">
                  <c:v>1.0227457351746547</c:v>
                </c:pt>
                <c:pt idx="114">
                  <c:v>1.0068576038725292</c:v>
                </c:pt>
                <c:pt idx="115">
                  <c:v>1.0092258323305254</c:v>
                </c:pt>
                <c:pt idx="116">
                  <c:v>1.0071627536808596</c:v>
                </c:pt>
                <c:pt idx="117">
                  <c:v>1.0063542494042892</c:v>
                </c:pt>
                <c:pt idx="118">
                  <c:v>1.0224358974358974</c:v>
                </c:pt>
              </c:numCache>
            </c:numRef>
          </c:xVal>
          <c:yVal>
            <c:numRef>
              <c:f>'Model 1 Chi'!$C$27:$C$145</c:f>
              <c:numCache>
                <c:formatCode>General</c:formatCode>
                <c:ptCount val="119"/>
                <c:pt idx="0">
                  <c:v>-0.42736977476854765</c:v>
                </c:pt>
                <c:pt idx="1">
                  <c:v>-0.98297593487310397</c:v>
                </c:pt>
                <c:pt idx="2">
                  <c:v>-1.8157851001637617</c:v>
                </c:pt>
                <c:pt idx="3">
                  <c:v>-2.3719714847149085</c:v>
                </c:pt>
                <c:pt idx="4">
                  <c:v>-1.652629930442747</c:v>
                </c:pt>
                <c:pt idx="5">
                  <c:v>-1.0430696629346174</c:v>
                </c:pt>
                <c:pt idx="6">
                  <c:v>-0.14466933585283215</c:v>
                </c:pt>
                <c:pt idx="7">
                  <c:v>0.64544767817215121</c:v>
                </c:pt>
                <c:pt idx="8">
                  <c:v>0.36441596958114175</c:v>
                </c:pt>
                <c:pt idx="9">
                  <c:v>-3.8972098989275672E-2</c:v>
                </c:pt>
                <c:pt idx="10">
                  <c:v>-0.18186876778400674</c:v>
                </c:pt>
                <c:pt idx="11">
                  <c:v>-0.34567628978833476</c:v>
                </c:pt>
                <c:pt idx="12">
                  <c:v>-0.19823969712840306</c:v>
                </c:pt>
                <c:pt idx="13">
                  <c:v>-0.11723566702521193</c:v>
                </c:pt>
                <c:pt idx="14">
                  <c:v>-2.1696240909943043E-3</c:v>
                </c:pt>
                <c:pt idx="15">
                  <c:v>6.9076539373228663E-2</c:v>
                </c:pt>
                <c:pt idx="16">
                  <c:v>0.18712988949655429</c:v>
                </c:pt>
                <c:pt idx="17">
                  <c:v>0.58408657655231622</c:v>
                </c:pt>
                <c:pt idx="18">
                  <c:v>0.88399250013298669</c:v>
                </c:pt>
                <c:pt idx="19">
                  <c:v>0.69051093178286571</c:v>
                </c:pt>
                <c:pt idx="20">
                  <c:v>0.44118202400686979</c:v>
                </c:pt>
                <c:pt idx="21">
                  <c:v>0.16598405010252826</c:v>
                </c:pt>
                <c:pt idx="22">
                  <c:v>-0.26859149293434026</c:v>
                </c:pt>
                <c:pt idx="23">
                  <c:v>-8.7823019931096979E-2</c:v>
                </c:pt>
                <c:pt idx="24">
                  <c:v>0.25892178530018217</c:v>
                </c:pt>
                <c:pt idx="25">
                  <c:v>0.9911434795367331</c:v>
                </c:pt>
                <c:pt idx="26">
                  <c:v>1.745289409533294</c:v>
                </c:pt>
                <c:pt idx="27">
                  <c:v>1.9664491859183588</c:v>
                </c:pt>
                <c:pt idx="28">
                  <c:v>2.1755751114526882</c:v>
                </c:pt>
                <c:pt idx="29">
                  <c:v>1.2869711792929905</c:v>
                </c:pt>
                <c:pt idx="30">
                  <c:v>0.42838649106045423</c:v>
                </c:pt>
                <c:pt idx="31">
                  <c:v>2.0231222881175626E-2</c:v>
                </c:pt>
                <c:pt idx="32">
                  <c:v>-0.59284426190620287</c:v>
                </c:pt>
                <c:pt idx="33">
                  <c:v>-0.33720815235914614</c:v>
                </c:pt>
                <c:pt idx="34">
                  <c:v>-4.8952059797949588E-2</c:v>
                </c:pt>
                <c:pt idx="35">
                  <c:v>-0.17452927821414299</c:v>
                </c:pt>
                <c:pt idx="36">
                  <c:v>-0.21739106428245147</c:v>
                </c:pt>
                <c:pt idx="37">
                  <c:v>-0.5602104466895792</c:v>
                </c:pt>
                <c:pt idx="38">
                  <c:v>-0.29235640349005987</c:v>
                </c:pt>
                <c:pt idx="39">
                  <c:v>0.12507845391842576</c:v>
                </c:pt>
                <c:pt idx="40">
                  <c:v>0.64976966437047778</c:v>
                </c:pt>
                <c:pt idx="41">
                  <c:v>0.9173289766096886</c:v>
                </c:pt>
                <c:pt idx="42">
                  <c:v>0.81533801329404376</c:v>
                </c:pt>
                <c:pt idx="43">
                  <c:v>0.91178523354005403</c:v>
                </c:pt>
                <c:pt idx="44">
                  <c:v>0.51712501242250397</c:v>
                </c:pt>
                <c:pt idx="45">
                  <c:v>0.67415358414262538</c:v>
                </c:pt>
                <c:pt idx="46">
                  <c:v>0.3322523430864921</c:v>
                </c:pt>
                <c:pt idx="47">
                  <c:v>0.25138452924475008</c:v>
                </c:pt>
                <c:pt idx="48">
                  <c:v>0.12672498821065581</c:v>
                </c:pt>
                <c:pt idx="49">
                  <c:v>-0.35308116898184583</c:v>
                </c:pt>
                <c:pt idx="50">
                  <c:v>9.5439175252205466E-2</c:v>
                </c:pt>
                <c:pt idx="51">
                  <c:v>-0.10671632728409719</c:v>
                </c:pt>
                <c:pt idx="52">
                  <c:v>0.3139515981061205</c:v>
                </c:pt>
                <c:pt idx="53">
                  <c:v>0.94011093980187521</c:v>
                </c:pt>
                <c:pt idx="54">
                  <c:v>0.72832378376301499</c:v>
                </c:pt>
                <c:pt idx="55">
                  <c:v>1.0580983202720073</c:v>
                </c:pt>
                <c:pt idx="56">
                  <c:v>0.78105691040334868</c:v>
                </c:pt>
                <c:pt idx="57">
                  <c:v>0.41555080884979212</c:v>
                </c:pt>
                <c:pt idx="58">
                  <c:v>0.52418430869127874</c:v>
                </c:pt>
                <c:pt idx="59">
                  <c:v>-6.0106693266275713E-2</c:v>
                </c:pt>
                <c:pt idx="60">
                  <c:v>-0.30214307984549826</c:v>
                </c:pt>
                <c:pt idx="61">
                  <c:v>-0.51344069481804588</c:v>
                </c:pt>
                <c:pt idx="62">
                  <c:v>-0.92160637072458673</c:v>
                </c:pt>
                <c:pt idx="63">
                  <c:v>-0.5454562115863073</c:v>
                </c:pt>
                <c:pt idx="64">
                  <c:v>-0.52945158157808603</c:v>
                </c:pt>
                <c:pt idx="65">
                  <c:v>-0.84823384502127919</c:v>
                </c:pt>
                <c:pt idx="66">
                  <c:v>-0.55415404535226109</c:v>
                </c:pt>
                <c:pt idx="67">
                  <c:v>-0.7582740282149727</c:v>
                </c:pt>
                <c:pt idx="68">
                  <c:v>-0.49600488923587083</c:v>
                </c:pt>
                <c:pt idx="69">
                  <c:v>-0.16525255657084248</c:v>
                </c:pt>
                <c:pt idx="70">
                  <c:v>-0.35776891650185672</c:v>
                </c:pt>
                <c:pt idx="71">
                  <c:v>-0.33411837750992657</c:v>
                </c:pt>
                <c:pt idx="72">
                  <c:v>-0.81201232635654019</c:v>
                </c:pt>
                <c:pt idx="73">
                  <c:v>-0.83040091838758734</c:v>
                </c:pt>
                <c:pt idx="74">
                  <c:v>-0.73886426752097645</c:v>
                </c:pt>
                <c:pt idx="75">
                  <c:v>-0.48159633783517641</c:v>
                </c:pt>
                <c:pt idx="76">
                  <c:v>-9.1348695390776058E-3</c:v>
                </c:pt>
                <c:pt idx="77">
                  <c:v>8.9251799699621159E-3</c:v>
                </c:pt>
                <c:pt idx="78">
                  <c:v>0.13876938367584568</c:v>
                </c:pt>
                <c:pt idx="79">
                  <c:v>-0.17499550003697184</c:v>
                </c:pt>
                <c:pt idx="80">
                  <c:v>-0.25539098378495417</c:v>
                </c:pt>
                <c:pt idx="81">
                  <c:v>-0.49737531223199127</c:v>
                </c:pt>
                <c:pt idx="82">
                  <c:v>-0.76145881613443667</c:v>
                </c:pt>
                <c:pt idx="83">
                  <c:v>-0.49468556406410169</c:v>
                </c:pt>
                <c:pt idx="84">
                  <c:v>-0.4287446606826899</c:v>
                </c:pt>
                <c:pt idx="85">
                  <c:v>5.8314614035037238E-2</c:v>
                </c:pt>
                <c:pt idx="86">
                  <c:v>0.85342823491927611</c:v>
                </c:pt>
                <c:pt idx="87">
                  <c:v>1.0522259159337946</c:v>
                </c:pt>
                <c:pt idx="88">
                  <c:v>1.3321222075969317</c:v>
                </c:pt>
                <c:pt idx="89">
                  <c:v>1.1108629803891308</c:v>
                </c:pt>
                <c:pt idx="90">
                  <c:v>0.47851327342724126</c:v>
                </c:pt>
                <c:pt idx="91">
                  <c:v>1.5199630862074542E-2</c:v>
                </c:pt>
                <c:pt idx="92">
                  <c:v>-0.57109899305663792</c:v>
                </c:pt>
                <c:pt idx="93">
                  <c:v>-0.69692855455367297</c:v>
                </c:pt>
                <c:pt idx="94">
                  <c:v>-0.82853087455275798</c:v>
                </c:pt>
                <c:pt idx="95">
                  <c:v>-0.49201894047642458</c:v>
                </c:pt>
                <c:pt idx="96">
                  <c:v>-0.13530986624847685</c:v>
                </c:pt>
                <c:pt idx="97">
                  <c:v>0.26058949633917017</c:v>
                </c:pt>
                <c:pt idx="98">
                  <c:v>0.60730038941268827</c:v>
                </c:pt>
                <c:pt idx="99">
                  <c:v>0.79585829989281542</c:v>
                </c:pt>
                <c:pt idx="100">
                  <c:v>0.59201982835017297</c:v>
                </c:pt>
                <c:pt idx="101">
                  <c:v>0.21571763108807573</c:v>
                </c:pt>
                <c:pt idx="102">
                  <c:v>3.8300917203345719E-2</c:v>
                </c:pt>
                <c:pt idx="103">
                  <c:v>-0.26668982277235642</c:v>
                </c:pt>
                <c:pt idx="104">
                  <c:v>-0.27443396410443288</c:v>
                </c:pt>
                <c:pt idx="105">
                  <c:v>-0.34484377058444871</c:v>
                </c:pt>
                <c:pt idx="106">
                  <c:v>-0.3910481885426762</c:v>
                </c:pt>
                <c:pt idx="107">
                  <c:v>-0.38337603838414136</c:v>
                </c:pt>
                <c:pt idx="108">
                  <c:v>-0.37879149439705984</c:v>
                </c:pt>
                <c:pt idx="109">
                  <c:v>-0.38004049123703521</c:v>
                </c:pt>
                <c:pt idx="110">
                  <c:v>-0.27991532232428984</c:v>
                </c:pt>
                <c:pt idx="111">
                  <c:v>-0.35923670255520967</c:v>
                </c:pt>
                <c:pt idx="112">
                  <c:v>-0.18914974807842899</c:v>
                </c:pt>
                <c:pt idx="113">
                  <c:v>-0.10853842515164125</c:v>
                </c:pt>
                <c:pt idx="114">
                  <c:v>-0.1686377889924433</c:v>
                </c:pt>
                <c:pt idx="115">
                  <c:v>-9.0810293365205297E-2</c:v>
                </c:pt>
                <c:pt idx="116">
                  <c:v>-0.17583962019635724</c:v>
                </c:pt>
                <c:pt idx="117">
                  <c:v>-4.4377132968686617E-2</c:v>
                </c:pt>
                <c:pt idx="118">
                  <c:v>0.15202527251895592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3B-4BD2-A740-88E959819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6864"/>
        <c:axId val="65888304"/>
      </c:scatterChart>
      <c:valAx>
        <c:axId val="6588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88304"/>
        <c:crosses val="autoZero"/>
        <c:crossBetween val="midCat"/>
      </c:valAx>
      <c:valAx>
        <c:axId val="6588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8868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Chicago!$M$6:$M$124</c:f>
              <c:numCache>
                <c:formatCode>General</c:formatCode>
                <c:ptCount val="119"/>
                <c:pt idx="0">
                  <c:v>7.149864</c:v>
                </c:pt>
                <c:pt idx="1">
                  <c:v>7.2416479999999996</c:v>
                </c:pt>
                <c:pt idx="2">
                  <c:v>7.3983629999999998</c:v>
                </c:pt>
                <c:pt idx="3">
                  <c:v>7.5259989999999997</c:v>
                </c:pt>
                <c:pt idx="4">
                  <c:v>6.8690670000000003</c:v>
                </c:pt>
                <c:pt idx="5">
                  <c:v>6.336106</c:v>
                </c:pt>
                <c:pt idx="6">
                  <c:v>5.6268010000000004</c:v>
                </c:pt>
                <c:pt idx="7">
                  <c:v>5.1400519999999998</c:v>
                </c:pt>
                <c:pt idx="8">
                  <c:v>5.4440520000000001</c:v>
                </c:pt>
                <c:pt idx="9">
                  <c:v>5.6750069999999999</c:v>
                </c:pt>
                <c:pt idx="10">
                  <c:v>5.9773490000000002</c:v>
                </c:pt>
                <c:pt idx="11">
                  <c:v>6.3930499999999997</c:v>
                </c:pt>
                <c:pt idx="12">
                  <c:v>6.3871770000000003</c:v>
                </c:pt>
                <c:pt idx="13">
                  <c:v>6.1752039999999999</c:v>
                </c:pt>
                <c:pt idx="14">
                  <c:v>6.2918409999999998</c:v>
                </c:pt>
                <c:pt idx="15">
                  <c:v>6.4519900000000003</c:v>
                </c:pt>
                <c:pt idx="16">
                  <c:v>6.6095579999999998</c:v>
                </c:pt>
                <c:pt idx="17">
                  <c:v>6.5748550000000003</c:v>
                </c:pt>
                <c:pt idx="18">
                  <c:v>6.7027780000000003</c:v>
                </c:pt>
                <c:pt idx="19">
                  <c:v>6.7869669999999998</c:v>
                </c:pt>
                <c:pt idx="20">
                  <c:v>7.1114560000000004</c:v>
                </c:pt>
                <c:pt idx="21">
                  <c:v>7.5649160000000002</c:v>
                </c:pt>
                <c:pt idx="22">
                  <c:v>7.9517340000000001</c:v>
                </c:pt>
                <c:pt idx="23">
                  <c:v>7.881786</c:v>
                </c:pt>
                <c:pt idx="24">
                  <c:v>7.7983070000000003</c:v>
                </c:pt>
                <c:pt idx="25">
                  <c:v>7.8109019999999996</c:v>
                </c:pt>
                <c:pt idx="26">
                  <c:v>7.6571059999999997</c:v>
                </c:pt>
                <c:pt idx="27">
                  <c:v>7.77522</c:v>
                </c:pt>
                <c:pt idx="28">
                  <c:v>7.9564849999999998</c:v>
                </c:pt>
                <c:pt idx="29">
                  <c:v>8.6389519999999997</c:v>
                </c:pt>
                <c:pt idx="30">
                  <c:v>9.2380849999999999</c:v>
                </c:pt>
                <c:pt idx="31">
                  <c:v>9.5470129999999997</c:v>
                </c:pt>
                <c:pt idx="32">
                  <c:v>9.9432130000000001</c:v>
                </c:pt>
                <c:pt idx="33">
                  <c:v>9.6107790000000008</c:v>
                </c:pt>
                <c:pt idx="34">
                  <c:v>9.1180869999999992</c:v>
                </c:pt>
                <c:pt idx="35">
                  <c:v>8.8244690000000006</c:v>
                </c:pt>
                <c:pt idx="36">
                  <c:v>8.5774740000000005</c:v>
                </c:pt>
                <c:pt idx="37">
                  <c:v>8.6668509999999994</c:v>
                </c:pt>
                <c:pt idx="38">
                  <c:v>8.6406480000000006</c:v>
                </c:pt>
                <c:pt idx="39">
                  <c:v>8.3234709999999996</c:v>
                </c:pt>
                <c:pt idx="40">
                  <c:v>7.975549</c:v>
                </c:pt>
                <c:pt idx="41">
                  <c:v>7.5934229999999996</c:v>
                </c:pt>
                <c:pt idx="42">
                  <c:v>7.872433</c:v>
                </c:pt>
                <c:pt idx="43">
                  <c:v>8.0673259999999996</c:v>
                </c:pt>
                <c:pt idx="44">
                  <c:v>8.2822659999999999</c:v>
                </c:pt>
                <c:pt idx="45">
                  <c:v>8.2368729999999992</c:v>
                </c:pt>
                <c:pt idx="46">
                  <c:v>8.2150730000000003</c:v>
                </c:pt>
                <c:pt idx="47">
                  <c:v>8.3051569999999995</c:v>
                </c:pt>
                <c:pt idx="48">
                  <c:v>8.2079500000000003</c:v>
                </c:pt>
                <c:pt idx="49">
                  <c:v>8.4634219999999996</c:v>
                </c:pt>
                <c:pt idx="50">
                  <c:v>8.1771189999999994</c:v>
                </c:pt>
                <c:pt idx="51">
                  <c:v>8.2393470000000004</c:v>
                </c:pt>
                <c:pt idx="52">
                  <c:v>8.0590840000000004</c:v>
                </c:pt>
                <c:pt idx="53">
                  <c:v>7.7638509999999998</c:v>
                </c:pt>
                <c:pt idx="54">
                  <c:v>7.948296</c:v>
                </c:pt>
                <c:pt idx="55">
                  <c:v>7.7658649999999998</c:v>
                </c:pt>
                <c:pt idx="56">
                  <c:v>7.9402910000000002</c:v>
                </c:pt>
                <c:pt idx="57">
                  <c:v>8.2887120000000003</c:v>
                </c:pt>
                <c:pt idx="58">
                  <c:v>8.3312939999999998</c:v>
                </c:pt>
                <c:pt idx="59">
                  <c:v>8.6097760000000001</c:v>
                </c:pt>
                <c:pt idx="60">
                  <c:v>8.8047609999999992</c:v>
                </c:pt>
                <c:pt idx="61">
                  <c:v>8.8738510000000002</c:v>
                </c:pt>
                <c:pt idx="62">
                  <c:v>8.955762</c:v>
                </c:pt>
                <c:pt idx="63">
                  <c:v>8.5874710000000007</c:v>
                </c:pt>
                <c:pt idx="64">
                  <c:v>8.3872649999999993</c:v>
                </c:pt>
                <c:pt idx="65">
                  <c:v>8.2099720000000005</c:v>
                </c:pt>
                <c:pt idx="66">
                  <c:v>7.8839350000000001</c:v>
                </c:pt>
                <c:pt idx="67">
                  <c:v>7.8916409999999999</c:v>
                </c:pt>
                <c:pt idx="68">
                  <c:v>7.6349650000000002</c:v>
                </c:pt>
                <c:pt idx="69">
                  <c:v>7.2004539999999997</c:v>
                </c:pt>
                <c:pt idx="70">
                  <c:v>7.1896129999999996</c:v>
                </c:pt>
                <c:pt idx="71">
                  <c:v>7.0002339999999998</c:v>
                </c:pt>
                <c:pt idx="72">
                  <c:v>7.0314680000000003</c:v>
                </c:pt>
                <c:pt idx="73">
                  <c:v>6.9182009999999998</c:v>
                </c:pt>
                <c:pt idx="74">
                  <c:v>6.6730299999999998</c:v>
                </c:pt>
                <c:pt idx="75">
                  <c:v>6.5233119999999998</c:v>
                </c:pt>
                <c:pt idx="76">
                  <c:v>6.0789169999999997</c:v>
                </c:pt>
                <c:pt idx="77">
                  <c:v>5.9740080000000004</c:v>
                </c:pt>
                <c:pt idx="78">
                  <c:v>5.8297619999999997</c:v>
                </c:pt>
                <c:pt idx="79">
                  <c:v>5.9179709999999996</c:v>
                </c:pt>
                <c:pt idx="80">
                  <c:v>6.0153759999999998</c:v>
                </c:pt>
                <c:pt idx="81">
                  <c:v>6.0525270000000004</c:v>
                </c:pt>
                <c:pt idx="82">
                  <c:v>6.0977050000000004</c:v>
                </c:pt>
                <c:pt idx="83">
                  <c:v>5.8661339999999997</c:v>
                </c:pt>
                <c:pt idx="84">
                  <c:v>5.7810600000000001</c:v>
                </c:pt>
                <c:pt idx="85">
                  <c:v>5.51898</c:v>
                </c:pt>
                <c:pt idx="86">
                  <c:v>5.2570290000000002</c:v>
                </c:pt>
                <c:pt idx="87">
                  <c:v>5.2453370000000001</c:v>
                </c:pt>
                <c:pt idx="88">
                  <c:v>5.2807219999999999</c:v>
                </c:pt>
                <c:pt idx="89">
                  <c:v>5.8249680000000001</c:v>
                </c:pt>
                <c:pt idx="90">
                  <c:v>6.4307319999999999</c:v>
                </c:pt>
                <c:pt idx="91">
                  <c:v>6.6446290000000001</c:v>
                </c:pt>
                <c:pt idx="92">
                  <c:v>7.0040589999999998</c:v>
                </c:pt>
                <c:pt idx="93">
                  <c:v>7.0696000000000003</c:v>
                </c:pt>
                <c:pt idx="94">
                  <c:v>6.9186230000000002</c:v>
                </c:pt>
                <c:pt idx="95">
                  <c:v>6.6733390000000004</c:v>
                </c:pt>
                <c:pt idx="96">
                  <c:v>6.422085</c:v>
                </c:pt>
                <c:pt idx="97">
                  <c:v>6.1778880000000003</c:v>
                </c:pt>
                <c:pt idx="98">
                  <c:v>5.9055119999999999</c:v>
                </c:pt>
                <c:pt idx="99">
                  <c:v>6.0739010000000002</c:v>
                </c:pt>
                <c:pt idx="100">
                  <c:v>6.1579709999999999</c:v>
                </c:pt>
                <c:pt idx="101">
                  <c:v>6.3274270000000001</c:v>
                </c:pt>
                <c:pt idx="102">
                  <c:v>6.5368139999999997</c:v>
                </c:pt>
                <c:pt idx="103">
                  <c:v>6.6986970000000001</c:v>
                </c:pt>
                <c:pt idx="104">
                  <c:v>6.6086270000000003</c:v>
                </c:pt>
                <c:pt idx="105">
                  <c:v>6.4418660000000001</c:v>
                </c:pt>
                <c:pt idx="106">
                  <c:v>6.2891940000000002</c:v>
                </c:pt>
                <c:pt idx="107">
                  <c:v>6.156892</c:v>
                </c:pt>
                <c:pt idx="108">
                  <c:v>6.0615509999999997</c:v>
                </c:pt>
                <c:pt idx="109">
                  <c:v>5.9465459999999997</c:v>
                </c:pt>
                <c:pt idx="110">
                  <c:v>5.7857279999999998</c:v>
                </c:pt>
                <c:pt idx="111">
                  <c:v>5.5662989999999999</c:v>
                </c:pt>
                <c:pt idx="112">
                  <c:v>5.4328500000000002</c:v>
                </c:pt>
                <c:pt idx="113">
                  <c:v>5.2937260000000004</c:v>
                </c:pt>
                <c:pt idx="114">
                  <c:v>5.252059</c:v>
                </c:pt>
                <c:pt idx="115">
                  <c:v>5.1105879999999999</c:v>
                </c:pt>
                <c:pt idx="116">
                  <c:v>5.1794849999999997</c:v>
                </c:pt>
                <c:pt idx="117">
                  <c:v>5.1280830000000002</c:v>
                </c:pt>
                <c:pt idx="118">
                  <c:v>5.0758010000000002</c:v>
                </c:pt>
              </c:numCache>
            </c:numRef>
          </c:xVal>
          <c:yVal>
            <c:numRef>
              <c:f>'Model 2 Chi'!$C$28:$C$146</c:f>
              <c:numCache>
                <c:formatCode>General</c:formatCode>
                <c:ptCount val="119"/>
                <c:pt idx="0">
                  <c:v>-0.47032557346370485</c:v>
                </c:pt>
                <c:pt idx="1">
                  <c:v>-1.061557356856178</c:v>
                </c:pt>
                <c:pt idx="2">
                  <c:v>-1.8658892836054299</c:v>
                </c:pt>
                <c:pt idx="3">
                  <c:v>-2.3554623016396663</c:v>
                </c:pt>
                <c:pt idx="4">
                  <c:v>-1.6136696983246628</c:v>
                </c:pt>
                <c:pt idx="5">
                  <c:v>-0.86533698232096246</c:v>
                </c:pt>
                <c:pt idx="6">
                  <c:v>-4.0942600384347827E-2</c:v>
                </c:pt>
                <c:pt idx="7">
                  <c:v>0.72691625923673886</c:v>
                </c:pt>
                <c:pt idx="8">
                  <c:v>0.55403434834863585</c:v>
                </c:pt>
                <c:pt idx="9">
                  <c:v>-2.9826596051091947E-2</c:v>
                </c:pt>
                <c:pt idx="10">
                  <c:v>8.1932326340654171E-2</c:v>
                </c:pt>
                <c:pt idx="11">
                  <c:v>0.14646639346975299</c:v>
                </c:pt>
                <c:pt idx="12">
                  <c:v>7.3660782548778059E-2</c:v>
                </c:pt>
                <c:pt idx="13">
                  <c:v>2.3091672566914134E-2</c:v>
                </c:pt>
                <c:pt idx="14">
                  <c:v>-7.7605501049708536E-2</c:v>
                </c:pt>
                <c:pt idx="15">
                  <c:v>-0.14414227132156388</c:v>
                </c:pt>
                <c:pt idx="16">
                  <c:v>-4.59428401527191E-2</c:v>
                </c:pt>
                <c:pt idx="17">
                  <c:v>0.37491726819302684</c:v>
                </c:pt>
                <c:pt idx="18">
                  <c:v>0.75972686214374185</c:v>
                </c:pt>
                <c:pt idx="19">
                  <c:v>0.56076329267926361</c:v>
                </c:pt>
                <c:pt idx="20">
                  <c:v>0.40128765236396458</c:v>
                </c:pt>
                <c:pt idx="21">
                  <c:v>0.1719622384966053</c:v>
                </c:pt>
                <c:pt idx="22">
                  <c:v>-0.28171066192628569</c:v>
                </c:pt>
                <c:pt idx="23">
                  <c:v>-0.11501323726857127</c:v>
                </c:pt>
                <c:pt idx="24">
                  <c:v>0.1372812088175257</c:v>
                </c:pt>
                <c:pt idx="25">
                  <c:v>0.73819650081275512</c:v>
                </c:pt>
                <c:pt idx="26">
                  <c:v>1.5857403589247614</c:v>
                </c:pt>
                <c:pt idx="27">
                  <c:v>1.6977066504660208</c:v>
                </c:pt>
                <c:pt idx="28">
                  <c:v>2.0049013529400348</c:v>
                </c:pt>
                <c:pt idx="29">
                  <c:v>1.2962028064982754</c:v>
                </c:pt>
                <c:pt idx="30">
                  <c:v>0.39894506379304318</c:v>
                </c:pt>
                <c:pt idx="31">
                  <c:v>5.8336349817846411E-2</c:v>
                </c:pt>
                <c:pt idx="32">
                  <c:v>-0.50706237928903697</c:v>
                </c:pt>
                <c:pt idx="33">
                  <c:v>-0.35137916677905601</c:v>
                </c:pt>
                <c:pt idx="34">
                  <c:v>-8.393956273837766E-2</c:v>
                </c:pt>
                <c:pt idx="35">
                  <c:v>-0.10216648165400066</c:v>
                </c:pt>
                <c:pt idx="36">
                  <c:v>-0.23277741641034044</c:v>
                </c:pt>
                <c:pt idx="37">
                  <c:v>-0.73050784952375558</c:v>
                </c:pt>
                <c:pt idx="38">
                  <c:v>-0.44159828495237097</c:v>
                </c:pt>
                <c:pt idx="39">
                  <c:v>-9.2504193649089572E-2</c:v>
                </c:pt>
                <c:pt idx="40">
                  <c:v>0.35142712713386004</c:v>
                </c:pt>
                <c:pt idx="41">
                  <c:v>0.6292212335992744</c:v>
                </c:pt>
                <c:pt idx="42">
                  <c:v>0.60328947605175287</c:v>
                </c:pt>
                <c:pt idx="43">
                  <c:v>0.7704245500241651</c:v>
                </c:pt>
                <c:pt idx="44">
                  <c:v>0.37188912584603884</c:v>
                </c:pt>
                <c:pt idx="45">
                  <c:v>0.5587026120501104</c:v>
                </c:pt>
                <c:pt idx="46">
                  <c:v>0.22902814928828796</c:v>
                </c:pt>
                <c:pt idx="47">
                  <c:v>0.18341652655390384</c:v>
                </c:pt>
                <c:pt idx="48">
                  <c:v>0.17930684282604581</c:v>
                </c:pt>
                <c:pt idx="49">
                  <c:v>-0.24884666484364626</c:v>
                </c:pt>
                <c:pt idx="50">
                  <c:v>0.2670939442815099</c:v>
                </c:pt>
                <c:pt idx="51">
                  <c:v>9.8159229477404963E-2</c:v>
                </c:pt>
                <c:pt idx="52">
                  <c:v>0.57181171692940858</c:v>
                </c:pt>
                <c:pt idx="53">
                  <c:v>1.1469716891933004</c:v>
                </c:pt>
                <c:pt idx="54">
                  <c:v>0.79195607014804636</c:v>
                </c:pt>
                <c:pt idx="55">
                  <c:v>0.92066673891311979</c:v>
                </c:pt>
                <c:pt idx="56">
                  <c:v>0.40562082695680246</c:v>
                </c:pt>
                <c:pt idx="57">
                  <c:v>4.971170201861419E-2</c:v>
                </c:pt>
                <c:pt idx="58">
                  <c:v>0.31939930366659297</c:v>
                </c:pt>
                <c:pt idx="59">
                  <c:v>-5.4193698688472125E-2</c:v>
                </c:pt>
                <c:pt idx="60">
                  <c:v>-7.9610340047192807E-2</c:v>
                </c:pt>
                <c:pt idx="61">
                  <c:v>-0.49908502751784312</c:v>
                </c:pt>
                <c:pt idx="62">
                  <c:v>-0.91476617407363481</c:v>
                </c:pt>
                <c:pt idx="63">
                  <c:v>-0.60286573817931455</c:v>
                </c:pt>
                <c:pt idx="64">
                  <c:v>-0.59650273525312603</c:v>
                </c:pt>
                <c:pt idx="65">
                  <c:v>-0.74222645952140542</c:v>
                </c:pt>
                <c:pt idx="66">
                  <c:v>-0.45308980623760498</c:v>
                </c:pt>
                <c:pt idx="67">
                  <c:v>-0.46638344963633482</c:v>
                </c:pt>
                <c:pt idx="68">
                  <c:v>-0.31215465651501972</c:v>
                </c:pt>
                <c:pt idx="69">
                  <c:v>1.5099391157242792E-3</c:v>
                </c:pt>
                <c:pt idx="70">
                  <c:v>3.5696112750883024E-2</c:v>
                </c:pt>
                <c:pt idx="71">
                  <c:v>-9.5686003624466665E-3</c:v>
                </c:pt>
                <c:pt idx="72">
                  <c:v>-0.49239363366266264</c:v>
                </c:pt>
                <c:pt idx="73">
                  <c:v>-0.50762183602062638</c:v>
                </c:pt>
                <c:pt idx="74">
                  <c:v>-0.54944596659867084</c:v>
                </c:pt>
                <c:pt idx="75">
                  <c:v>-0.6109177043756393</c:v>
                </c:pt>
                <c:pt idx="76">
                  <c:v>-4.1495107563619626E-2</c:v>
                </c:pt>
                <c:pt idx="77">
                  <c:v>-1.6857532930361074E-3</c:v>
                </c:pt>
                <c:pt idx="78">
                  <c:v>4.8537985974948405E-2</c:v>
                </c:pt>
                <c:pt idx="79">
                  <c:v>0.20879502648957615</c:v>
                </c:pt>
                <c:pt idx="80">
                  <c:v>0.23290892248092021</c:v>
                </c:pt>
                <c:pt idx="81">
                  <c:v>2.1894976112695197E-2</c:v>
                </c:pt>
                <c:pt idx="82">
                  <c:v>4.4666751468236399E-3</c:v>
                </c:pt>
                <c:pt idx="83">
                  <c:v>-0.58266201432466769</c:v>
                </c:pt>
                <c:pt idx="84">
                  <c:v>-0.92434731098756817</c:v>
                </c:pt>
                <c:pt idx="85">
                  <c:v>-0.73969605962141394</c:v>
                </c:pt>
                <c:pt idx="86">
                  <c:v>-0.14635583624573112</c:v>
                </c:pt>
                <c:pt idx="87">
                  <c:v>0.83405290693599277</c:v>
                </c:pt>
                <c:pt idx="88">
                  <c:v>1.2999317841956302</c:v>
                </c:pt>
                <c:pt idx="89">
                  <c:v>1.0016569268105853</c:v>
                </c:pt>
                <c:pt idx="90">
                  <c:v>0.32281248848692101</c:v>
                </c:pt>
                <c:pt idx="91">
                  <c:v>-0.14143430910853461</c:v>
                </c:pt>
                <c:pt idx="92">
                  <c:v>-0.54705161263112867</c:v>
                </c:pt>
                <c:pt idx="93">
                  <c:v>-0.31586829939754946</c:v>
                </c:pt>
                <c:pt idx="94">
                  <c:v>-0.27759100854414065</c:v>
                </c:pt>
                <c:pt idx="95">
                  <c:v>-1.2025455905788185E-2</c:v>
                </c:pt>
                <c:pt idx="96">
                  <c:v>0.21580186951482005</c:v>
                </c:pt>
                <c:pt idx="97">
                  <c:v>0.39053145899547914</c:v>
                </c:pt>
                <c:pt idx="98">
                  <c:v>0.68094426281367504</c:v>
                </c:pt>
                <c:pt idx="99">
                  <c:v>0.94981248571953802</c:v>
                </c:pt>
                <c:pt idx="100">
                  <c:v>0.6764219598400576</c:v>
                </c:pt>
                <c:pt idx="101">
                  <c:v>0.21025190610568156</c:v>
                </c:pt>
                <c:pt idx="102">
                  <c:v>1.3181465292754879E-2</c:v>
                </c:pt>
                <c:pt idx="103">
                  <c:v>-0.37049752519801782</c:v>
                </c:pt>
                <c:pt idx="104">
                  <c:v>-0.32566727485558822</c:v>
                </c:pt>
                <c:pt idx="105">
                  <c:v>-0.23802587184745327</c:v>
                </c:pt>
                <c:pt idx="106">
                  <c:v>-0.35245904898686486</c:v>
                </c:pt>
                <c:pt idx="107">
                  <c:v>-0.46717679340533724</c:v>
                </c:pt>
                <c:pt idx="108">
                  <c:v>-0.7479687506686421</c:v>
                </c:pt>
                <c:pt idx="109">
                  <c:v>-0.72906740244467638</c:v>
                </c:pt>
                <c:pt idx="110">
                  <c:v>-0.60899412593650393</c:v>
                </c:pt>
                <c:pt idx="111">
                  <c:v>-0.65063342379664491</c:v>
                </c:pt>
                <c:pt idx="112">
                  <c:v>-0.30985111321149006</c:v>
                </c:pt>
                <c:pt idx="113">
                  <c:v>-0.18545533836386241</c:v>
                </c:pt>
                <c:pt idx="114">
                  <c:v>-0.22288024623204628</c:v>
                </c:pt>
                <c:pt idx="115">
                  <c:v>-5.1005610745574081E-2</c:v>
                </c:pt>
                <c:pt idx="116">
                  <c:v>2.7072890397126237E-2</c:v>
                </c:pt>
                <c:pt idx="117">
                  <c:v>1.6366377144452215E-3</c:v>
                </c:pt>
                <c:pt idx="118">
                  <c:v>0.22084308989905477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C-4FAC-B1CE-F7ED9C494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3536"/>
        <c:axId val="1217527856"/>
      </c:scatterChart>
      <c:valAx>
        <c:axId val="121752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7856"/>
        <c:crosses val="autoZero"/>
        <c:crossBetween val="midCat"/>
      </c:valAx>
      <c:valAx>
        <c:axId val="1217527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35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Chi'!$C$28:$C$146</c:f>
              <c:numCache>
                <c:formatCode>General</c:formatCode>
                <c:ptCount val="119"/>
                <c:pt idx="0">
                  <c:v>-0.47032557346370485</c:v>
                </c:pt>
                <c:pt idx="1">
                  <c:v>-1.061557356856178</c:v>
                </c:pt>
                <c:pt idx="2">
                  <c:v>-1.8658892836054299</c:v>
                </c:pt>
                <c:pt idx="3">
                  <c:v>-2.3554623016396663</c:v>
                </c:pt>
                <c:pt idx="4">
                  <c:v>-1.6136696983246628</c:v>
                </c:pt>
                <c:pt idx="5">
                  <c:v>-0.86533698232096246</c:v>
                </c:pt>
                <c:pt idx="6">
                  <c:v>-4.0942600384347827E-2</c:v>
                </c:pt>
                <c:pt idx="7">
                  <c:v>0.72691625923673886</c:v>
                </c:pt>
                <c:pt idx="8">
                  <c:v>0.55403434834863585</c:v>
                </c:pt>
                <c:pt idx="9">
                  <c:v>-2.9826596051091947E-2</c:v>
                </c:pt>
                <c:pt idx="10">
                  <c:v>8.1932326340654171E-2</c:v>
                </c:pt>
                <c:pt idx="11">
                  <c:v>0.14646639346975299</c:v>
                </c:pt>
                <c:pt idx="12">
                  <c:v>7.3660782548778059E-2</c:v>
                </c:pt>
                <c:pt idx="13">
                  <c:v>2.3091672566914134E-2</c:v>
                </c:pt>
                <c:pt idx="14">
                  <c:v>-7.7605501049708536E-2</c:v>
                </c:pt>
                <c:pt idx="15">
                  <c:v>-0.14414227132156388</c:v>
                </c:pt>
                <c:pt idx="16">
                  <c:v>-4.59428401527191E-2</c:v>
                </c:pt>
                <c:pt idx="17">
                  <c:v>0.37491726819302684</c:v>
                </c:pt>
                <c:pt idx="18">
                  <c:v>0.75972686214374185</c:v>
                </c:pt>
                <c:pt idx="19">
                  <c:v>0.56076329267926361</c:v>
                </c:pt>
                <c:pt idx="20">
                  <c:v>0.40128765236396458</c:v>
                </c:pt>
                <c:pt idx="21">
                  <c:v>0.1719622384966053</c:v>
                </c:pt>
                <c:pt idx="22">
                  <c:v>-0.28171066192628569</c:v>
                </c:pt>
                <c:pt idx="23">
                  <c:v>-0.11501323726857127</c:v>
                </c:pt>
                <c:pt idx="24">
                  <c:v>0.1372812088175257</c:v>
                </c:pt>
                <c:pt idx="25">
                  <c:v>0.73819650081275512</c:v>
                </c:pt>
                <c:pt idx="26">
                  <c:v>1.5857403589247614</c:v>
                </c:pt>
                <c:pt idx="27">
                  <c:v>1.6977066504660208</c:v>
                </c:pt>
                <c:pt idx="28">
                  <c:v>2.0049013529400348</c:v>
                </c:pt>
                <c:pt idx="29">
                  <c:v>1.2962028064982754</c:v>
                </c:pt>
                <c:pt idx="30">
                  <c:v>0.39894506379304318</c:v>
                </c:pt>
                <c:pt idx="31">
                  <c:v>5.8336349817846411E-2</c:v>
                </c:pt>
                <c:pt idx="32">
                  <c:v>-0.50706237928903697</c:v>
                </c:pt>
                <c:pt idx="33">
                  <c:v>-0.35137916677905601</c:v>
                </c:pt>
                <c:pt idx="34">
                  <c:v>-8.393956273837766E-2</c:v>
                </c:pt>
                <c:pt idx="35">
                  <c:v>-0.10216648165400066</c:v>
                </c:pt>
                <c:pt idx="36">
                  <c:v>-0.23277741641034044</c:v>
                </c:pt>
                <c:pt idx="37">
                  <c:v>-0.73050784952375558</c:v>
                </c:pt>
                <c:pt idx="38">
                  <c:v>-0.44159828495237097</c:v>
                </c:pt>
                <c:pt idx="39">
                  <c:v>-9.2504193649089572E-2</c:v>
                </c:pt>
                <c:pt idx="40">
                  <c:v>0.35142712713386004</c:v>
                </c:pt>
                <c:pt idx="41">
                  <c:v>0.6292212335992744</c:v>
                </c:pt>
                <c:pt idx="42">
                  <c:v>0.60328947605175287</c:v>
                </c:pt>
                <c:pt idx="43">
                  <c:v>0.7704245500241651</c:v>
                </c:pt>
                <c:pt idx="44">
                  <c:v>0.37188912584603884</c:v>
                </c:pt>
                <c:pt idx="45">
                  <c:v>0.5587026120501104</c:v>
                </c:pt>
                <c:pt idx="46">
                  <c:v>0.22902814928828796</c:v>
                </c:pt>
                <c:pt idx="47">
                  <c:v>0.18341652655390384</c:v>
                </c:pt>
                <c:pt idx="48">
                  <c:v>0.17930684282604581</c:v>
                </c:pt>
                <c:pt idx="49">
                  <c:v>-0.24884666484364626</c:v>
                </c:pt>
                <c:pt idx="50">
                  <c:v>0.2670939442815099</c:v>
                </c:pt>
                <c:pt idx="51">
                  <c:v>9.8159229477404963E-2</c:v>
                </c:pt>
                <c:pt idx="52">
                  <c:v>0.57181171692940858</c:v>
                </c:pt>
                <c:pt idx="53">
                  <c:v>1.1469716891933004</c:v>
                </c:pt>
                <c:pt idx="54">
                  <c:v>0.79195607014804636</c:v>
                </c:pt>
                <c:pt idx="55">
                  <c:v>0.92066673891311979</c:v>
                </c:pt>
                <c:pt idx="56">
                  <c:v>0.40562082695680246</c:v>
                </c:pt>
                <c:pt idx="57">
                  <c:v>4.971170201861419E-2</c:v>
                </c:pt>
                <c:pt idx="58">
                  <c:v>0.31939930366659297</c:v>
                </c:pt>
                <c:pt idx="59">
                  <c:v>-5.4193698688472125E-2</c:v>
                </c:pt>
                <c:pt idx="60">
                  <c:v>-7.9610340047192807E-2</c:v>
                </c:pt>
                <c:pt idx="61">
                  <c:v>-0.49908502751784312</c:v>
                </c:pt>
                <c:pt idx="62">
                  <c:v>-0.91476617407363481</c:v>
                </c:pt>
                <c:pt idx="63">
                  <c:v>-0.60286573817931455</c:v>
                </c:pt>
                <c:pt idx="64">
                  <c:v>-0.59650273525312603</c:v>
                </c:pt>
                <c:pt idx="65">
                  <c:v>-0.74222645952140542</c:v>
                </c:pt>
                <c:pt idx="66">
                  <c:v>-0.45308980623760498</c:v>
                </c:pt>
                <c:pt idx="67">
                  <c:v>-0.46638344963633482</c:v>
                </c:pt>
                <c:pt idx="68">
                  <c:v>-0.31215465651501972</c:v>
                </c:pt>
                <c:pt idx="69">
                  <c:v>1.5099391157242792E-3</c:v>
                </c:pt>
                <c:pt idx="70">
                  <c:v>3.5696112750883024E-2</c:v>
                </c:pt>
                <c:pt idx="71">
                  <c:v>-9.5686003624466665E-3</c:v>
                </c:pt>
                <c:pt idx="72">
                  <c:v>-0.49239363366266264</c:v>
                </c:pt>
                <c:pt idx="73">
                  <c:v>-0.50762183602062638</c:v>
                </c:pt>
                <c:pt idx="74">
                  <c:v>-0.54944596659867084</c:v>
                </c:pt>
                <c:pt idx="75">
                  <c:v>-0.6109177043756393</c:v>
                </c:pt>
                <c:pt idx="76">
                  <c:v>-4.1495107563619626E-2</c:v>
                </c:pt>
                <c:pt idx="77">
                  <c:v>-1.6857532930361074E-3</c:v>
                </c:pt>
                <c:pt idx="78">
                  <c:v>4.8537985974948405E-2</c:v>
                </c:pt>
                <c:pt idx="79">
                  <c:v>0.20879502648957615</c:v>
                </c:pt>
                <c:pt idx="80">
                  <c:v>0.23290892248092021</c:v>
                </c:pt>
                <c:pt idx="81">
                  <c:v>2.1894976112695197E-2</c:v>
                </c:pt>
                <c:pt idx="82">
                  <c:v>4.4666751468236399E-3</c:v>
                </c:pt>
                <c:pt idx="83">
                  <c:v>-0.58266201432466769</c:v>
                </c:pt>
                <c:pt idx="84">
                  <c:v>-0.92434731098756817</c:v>
                </c:pt>
                <c:pt idx="85">
                  <c:v>-0.73969605962141394</c:v>
                </c:pt>
                <c:pt idx="86">
                  <c:v>-0.14635583624573112</c:v>
                </c:pt>
                <c:pt idx="87">
                  <c:v>0.83405290693599277</c:v>
                </c:pt>
                <c:pt idx="88">
                  <c:v>1.2999317841956302</c:v>
                </c:pt>
                <c:pt idx="89">
                  <c:v>1.0016569268105853</c:v>
                </c:pt>
                <c:pt idx="90">
                  <c:v>0.32281248848692101</c:v>
                </c:pt>
                <c:pt idx="91">
                  <c:v>-0.14143430910853461</c:v>
                </c:pt>
                <c:pt idx="92">
                  <c:v>-0.54705161263112867</c:v>
                </c:pt>
                <c:pt idx="93">
                  <c:v>-0.31586829939754946</c:v>
                </c:pt>
                <c:pt idx="94">
                  <c:v>-0.27759100854414065</c:v>
                </c:pt>
                <c:pt idx="95">
                  <c:v>-1.2025455905788185E-2</c:v>
                </c:pt>
                <c:pt idx="96">
                  <c:v>0.21580186951482005</c:v>
                </c:pt>
                <c:pt idx="97">
                  <c:v>0.39053145899547914</c:v>
                </c:pt>
                <c:pt idx="98">
                  <c:v>0.68094426281367504</c:v>
                </c:pt>
                <c:pt idx="99">
                  <c:v>0.94981248571953802</c:v>
                </c:pt>
                <c:pt idx="100">
                  <c:v>0.6764219598400576</c:v>
                </c:pt>
                <c:pt idx="101">
                  <c:v>0.21025190610568156</c:v>
                </c:pt>
                <c:pt idx="102">
                  <c:v>1.3181465292754879E-2</c:v>
                </c:pt>
                <c:pt idx="103">
                  <c:v>-0.37049752519801782</c:v>
                </c:pt>
                <c:pt idx="104">
                  <c:v>-0.32566727485558822</c:v>
                </c:pt>
                <c:pt idx="105">
                  <c:v>-0.23802587184745327</c:v>
                </c:pt>
                <c:pt idx="106">
                  <c:v>-0.35245904898686486</c:v>
                </c:pt>
                <c:pt idx="107">
                  <c:v>-0.46717679340533724</c:v>
                </c:pt>
                <c:pt idx="108">
                  <c:v>-0.7479687506686421</c:v>
                </c:pt>
                <c:pt idx="109">
                  <c:v>-0.72906740244467638</c:v>
                </c:pt>
                <c:pt idx="110">
                  <c:v>-0.60899412593650393</c:v>
                </c:pt>
                <c:pt idx="111">
                  <c:v>-0.65063342379664491</c:v>
                </c:pt>
                <c:pt idx="112">
                  <c:v>-0.30985111321149006</c:v>
                </c:pt>
                <c:pt idx="113">
                  <c:v>-0.18545533836386241</c:v>
                </c:pt>
                <c:pt idx="114">
                  <c:v>-0.22288024623204628</c:v>
                </c:pt>
                <c:pt idx="115">
                  <c:v>-5.1005610745574081E-2</c:v>
                </c:pt>
                <c:pt idx="116">
                  <c:v>2.7072890397126237E-2</c:v>
                </c:pt>
                <c:pt idx="117">
                  <c:v>1.6366377144452215E-3</c:v>
                </c:pt>
                <c:pt idx="118">
                  <c:v>0.22084308989905477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3A-4A2C-9628-2C8A74A28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6416"/>
        <c:axId val="1217524976"/>
      </c:scatterChart>
      <c:valAx>
        <c:axId val="121752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4976"/>
        <c:crosses val="autoZero"/>
        <c:crossBetween val="midCat"/>
      </c:valAx>
      <c:valAx>
        <c:axId val="1217524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6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Chicago!$O$6:$O$124</c:f>
              <c:numCache>
                <c:formatCode>General</c:formatCode>
                <c:ptCount val="119"/>
                <c:pt idx="0">
                  <c:v>1.0269378779549203</c:v>
                </c:pt>
                <c:pt idx="1">
                  <c:v>1.0530344450519411</c:v>
                </c:pt>
                <c:pt idx="2">
                  <c:v>1.0587912087912088</c:v>
                </c:pt>
                <c:pt idx="3">
                  <c:v>1.0651573716178906</c:v>
                </c:pt>
                <c:pt idx="4">
                  <c:v>1.0369379014989295</c:v>
                </c:pt>
                <c:pt idx="5">
                  <c:v>1.0103842159916925</c:v>
                </c:pt>
                <c:pt idx="6">
                  <c:v>0.99948105864037373</c:v>
                </c:pt>
                <c:pt idx="7">
                  <c:v>0.98807672369103161</c:v>
                </c:pt>
                <c:pt idx="8">
                  <c:v>0.99277232834279816</c:v>
                </c:pt>
                <c:pt idx="9">
                  <c:v>0.99794450154162384</c:v>
                </c:pt>
                <c:pt idx="10">
                  <c:v>0.99532710280373837</c:v>
                </c:pt>
                <c:pt idx="11">
                  <c:v>0.9931794333683106</c:v>
                </c:pt>
                <c:pt idx="12">
                  <c:v>0.98023920956838284</c:v>
                </c:pt>
                <c:pt idx="13">
                  <c:v>0.96652935118434591</c:v>
                </c:pt>
                <c:pt idx="14">
                  <c:v>0.9853938445487741</c:v>
                </c:pt>
                <c:pt idx="15">
                  <c:v>1.0042260961436873</c:v>
                </c:pt>
                <c:pt idx="16">
                  <c:v>0.98196286472148542</c:v>
                </c:pt>
                <c:pt idx="17">
                  <c:v>0.96004262120404904</c:v>
                </c:pt>
                <c:pt idx="18">
                  <c:v>0.94759131815775532</c:v>
                </c:pt>
                <c:pt idx="19">
                  <c:v>0.93529721199368754</c:v>
                </c:pt>
                <c:pt idx="20">
                  <c:v>0.95191788222582385</c:v>
                </c:pt>
                <c:pt idx="21">
                  <c:v>0.96892341842397345</c:v>
                </c:pt>
                <c:pt idx="22">
                  <c:v>0.97039106145251408</c:v>
                </c:pt>
                <c:pt idx="23">
                  <c:v>0.97187851518560175</c:v>
                </c:pt>
                <c:pt idx="24">
                  <c:v>1.0096481271282631</c:v>
                </c:pt>
                <c:pt idx="25">
                  <c:v>1.0492554410080184</c:v>
                </c:pt>
                <c:pt idx="26">
                  <c:v>1.0627518710420265</c:v>
                </c:pt>
                <c:pt idx="27">
                  <c:v>1.0769675925925926</c:v>
                </c:pt>
                <c:pt idx="28">
                  <c:v>1.0578976953344577</c:v>
                </c:pt>
                <c:pt idx="29">
                  <c:v>1.0387554585152838</c:v>
                </c:pt>
                <c:pt idx="30">
                  <c:v>1.0671722643553629</c:v>
                </c:pt>
                <c:pt idx="31">
                  <c:v>1.0956475013433637</c:v>
                </c:pt>
                <c:pt idx="32">
                  <c:v>1.0844845908607863</c:v>
                </c:pt>
                <c:pt idx="33">
                  <c:v>1.0735680504466631</c:v>
                </c:pt>
                <c:pt idx="34">
                  <c:v>1.050253807106599</c:v>
                </c:pt>
                <c:pt idx="35">
                  <c:v>1.0269740068661108</c:v>
                </c:pt>
                <c:pt idx="36">
                  <c:v>1.0602645761881431</c:v>
                </c:pt>
                <c:pt idx="37">
                  <c:v>1.0944689182574645</c:v>
                </c:pt>
                <c:pt idx="38">
                  <c:v>1.0749154180763651</c:v>
                </c:pt>
                <c:pt idx="39">
                  <c:v>1.0568290353390639</c:v>
                </c:pt>
                <c:pt idx="40">
                  <c:v>1.0563770794824399</c:v>
                </c:pt>
                <c:pt idx="41">
                  <c:v>1.056350626118068</c:v>
                </c:pt>
                <c:pt idx="42">
                  <c:v>1.0885791366906477</c:v>
                </c:pt>
                <c:pt idx="43">
                  <c:v>1.1220063262539539</c:v>
                </c:pt>
                <c:pt idx="44">
                  <c:v>1.0962379702537182</c:v>
                </c:pt>
                <c:pt idx="45">
                  <c:v>1.0711261642675698</c:v>
                </c:pt>
                <c:pt idx="46">
                  <c:v>1.0586534489880215</c:v>
                </c:pt>
                <c:pt idx="47">
                  <c:v>1.0455094643576319</c:v>
                </c:pt>
                <c:pt idx="48">
                  <c:v>1.0462889066241021</c:v>
                </c:pt>
                <c:pt idx="49">
                  <c:v>1.0466403162055335</c:v>
                </c:pt>
                <c:pt idx="50">
                  <c:v>1.0479906359734685</c:v>
                </c:pt>
                <c:pt idx="51">
                  <c:v>1.0493066255778118</c:v>
                </c:pt>
                <c:pt idx="52">
                  <c:v>1.0644546147978642</c:v>
                </c:pt>
                <c:pt idx="53">
                  <c:v>1.0796827794561934</c:v>
                </c:pt>
                <c:pt idx="54">
                  <c:v>1.0446760982874161</c:v>
                </c:pt>
                <c:pt idx="55">
                  <c:v>1.0121145374449341</c:v>
                </c:pt>
                <c:pt idx="56">
                  <c:v>0.92834109638122542</c:v>
                </c:pt>
                <c:pt idx="57">
                  <c:v>0.88772298006295902</c:v>
                </c:pt>
                <c:pt idx="58">
                  <c:v>0.88560228082679981</c:v>
                </c:pt>
                <c:pt idx="59">
                  <c:v>0.8828436706565107</c:v>
                </c:pt>
                <c:pt idx="60">
                  <c:v>0.91354689309147052</c:v>
                </c:pt>
                <c:pt idx="61">
                  <c:v>0.91292356185973222</c:v>
                </c:pt>
                <c:pt idx="62">
                  <c:v>0.92273641851106636</c:v>
                </c:pt>
                <c:pt idx="63">
                  <c:v>0.94248151191454399</c:v>
                </c:pt>
                <c:pt idx="64">
                  <c:v>0.96620194338825516</c:v>
                </c:pt>
                <c:pt idx="65">
                  <c:v>0.97151488994389301</c:v>
                </c:pt>
                <c:pt idx="66">
                  <c:v>0.97514173571740081</c:v>
                </c:pt>
                <c:pt idx="67">
                  <c:v>0.96992153443766338</c:v>
                </c:pt>
                <c:pt idx="68">
                  <c:v>0.97857455181460418</c:v>
                </c:pt>
                <c:pt idx="69">
                  <c:v>0.99955575299866717</c:v>
                </c:pt>
                <c:pt idx="70">
                  <c:v>1.012969588550984</c:v>
                </c:pt>
                <c:pt idx="71">
                  <c:v>1.0242696629213484</c:v>
                </c:pt>
                <c:pt idx="72">
                  <c:v>1.0241286863270778</c:v>
                </c:pt>
                <c:pt idx="73">
                  <c:v>1.0337777777777779</c:v>
                </c:pt>
                <c:pt idx="74">
                  <c:v>1.0392935982339957</c:v>
                </c:pt>
                <c:pt idx="75">
                  <c:v>1.046072838964458</c:v>
                </c:pt>
                <c:pt idx="76">
                  <c:v>1.050174520069808</c:v>
                </c:pt>
                <c:pt idx="77">
                  <c:v>1.0249355116079104</c:v>
                </c:pt>
                <c:pt idx="78">
                  <c:v>1.0131690739167376</c:v>
                </c:pt>
                <c:pt idx="79">
                  <c:v>0.99958053691275162</c:v>
                </c:pt>
                <c:pt idx="80">
                  <c:v>1.0091400083090984</c:v>
                </c:pt>
                <c:pt idx="81">
                  <c:v>1.0281040268456376</c:v>
                </c:pt>
                <c:pt idx="82">
                  <c:v>1.0373165618448636</c:v>
                </c:pt>
                <c:pt idx="83">
                  <c:v>1.0474192194712548</c:v>
                </c:pt>
                <c:pt idx="84">
                  <c:v>1.0251132153149445</c:v>
                </c:pt>
                <c:pt idx="85">
                  <c:v>0.9632802937576499</c:v>
                </c:pt>
                <c:pt idx="86">
                  <c:v>0.96079223928860147</c:v>
                </c:pt>
                <c:pt idx="87">
                  <c:v>0.95272435897435903</c:v>
                </c:pt>
                <c:pt idx="88">
                  <c:v>0.94457831325301211</c:v>
                </c:pt>
                <c:pt idx="89">
                  <c:v>0.98348157560355776</c:v>
                </c:pt>
                <c:pt idx="90">
                  <c:v>0.97139251156920492</c:v>
                </c:pt>
                <c:pt idx="91">
                  <c:v>0.96173254835996635</c:v>
                </c:pt>
                <c:pt idx="92">
                  <c:v>0.96386054421768719</c:v>
                </c:pt>
                <c:pt idx="93">
                  <c:v>1.0055986218776918</c:v>
                </c:pt>
                <c:pt idx="94">
                  <c:v>0.99220441749675181</c:v>
                </c:pt>
                <c:pt idx="95">
                  <c:v>0.974639265413205</c:v>
                </c:pt>
                <c:pt idx="96">
                  <c:v>0.99294221438023822</c:v>
                </c:pt>
                <c:pt idx="97">
                  <c:v>0.99528907922912191</c:v>
                </c:pt>
                <c:pt idx="98">
                  <c:v>0.96726320384111741</c:v>
                </c:pt>
                <c:pt idx="99">
                  <c:v>1.0143562135486766</c:v>
                </c:pt>
                <c:pt idx="100">
                  <c:v>1.0075521990226566</c:v>
                </c:pt>
                <c:pt idx="101">
                  <c:v>0.98881239242685037</c:v>
                </c:pt>
                <c:pt idx="102">
                  <c:v>1.046028880866426</c:v>
                </c:pt>
                <c:pt idx="103">
                  <c:v>1.0358248562582928</c:v>
                </c:pt>
                <c:pt idx="104">
                  <c:v>1.0401234567901234</c:v>
                </c:pt>
                <c:pt idx="105">
                  <c:v>1.0113141862489121</c:v>
                </c:pt>
                <c:pt idx="106">
                  <c:v>1.0056082830025883</c:v>
                </c:pt>
                <c:pt idx="107">
                  <c:v>1.0333048676345002</c:v>
                </c:pt>
                <c:pt idx="108">
                  <c:v>1.0428147520135651</c:v>
                </c:pt>
                <c:pt idx="109">
                  <c:v>1.0593803786574871</c:v>
                </c:pt>
                <c:pt idx="110">
                  <c:v>1.0634920634920635</c:v>
                </c:pt>
                <c:pt idx="111">
                  <c:v>1.0301652892561983</c:v>
                </c:pt>
                <c:pt idx="112">
                  <c:v>1.0215447154471544</c:v>
                </c:pt>
                <c:pt idx="113">
                  <c:v>1.0227457351746547</c:v>
                </c:pt>
                <c:pt idx="114">
                  <c:v>1.0068576038725292</c:v>
                </c:pt>
                <c:pt idx="115">
                  <c:v>1.0092258323305254</c:v>
                </c:pt>
                <c:pt idx="116">
                  <c:v>1.0071627536808596</c:v>
                </c:pt>
                <c:pt idx="117">
                  <c:v>1.0063542494042892</c:v>
                </c:pt>
                <c:pt idx="118">
                  <c:v>1.0224358974358974</c:v>
                </c:pt>
              </c:numCache>
            </c:numRef>
          </c:xVal>
          <c:yVal>
            <c:numRef>
              <c:f>'Model 2 Chi'!$C$28:$C$146</c:f>
              <c:numCache>
                <c:formatCode>General</c:formatCode>
                <c:ptCount val="119"/>
                <c:pt idx="0">
                  <c:v>-0.47032557346370485</c:v>
                </c:pt>
                <c:pt idx="1">
                  <c:v>-1.061557356856178</c:v>
                </c:pt>
                <c:pt idx="2">
                  <c:v>-1.8658892836054299</c:v>
                </c:pt>
                <c:pt idx="3">
                  <c:v>-2.3554623016396663</c:v>
                </c:pt>
                <c:pt idx="4">
                  <c:v>-1.6136696983246628</c:v>
                </c:pt>
                <c:pt idx="5">
                  <c:v>-0.86533698232096246</c:v>
                </c:pt>
                <c:pt idx="6">
                  <c:v>-4.0942600384347827E-2</c:v>
                </c:pt>
                <c:pt idx="7">
                  <c:v>0.72691625923673886</c:v>
                </c:pt>
                <c:pt idx="8">
                  <c:v>0.55403434834863585</c:v>
                </c:pt>
                <c:pt idx="9">
                  <c:v>-2.9826596051091947E-2</c:v>
                </c:pt>
                <c:pt idx="10">
                  <c:v>8.1932326340654171E-2</c:v>
                </c:pt>
                <c:pt idx="11">
                  <c:v>0.14646639346975299</c:v>
                </c:pt>
                <c:pt idx="12">
                  <c:v>7.3660782548778059E-2</c:v>
                </c:pt>
                <c:pt idx="13">
                  <c:v>2.3091672566914134E-2</c:v>
                </c:pt>
                <c:pt idx="14">
                  <c:v>-7.7605501049708536E-2</c:v>
                </c:pt>
                <c:pt idx="15">
                  <c:v>-0.14414227132156388</c:v>
                </c:pt>
                <c:pt idx="16">
                  <c:v>-4.59428401527191E-2</c:v>
                </c:pt>
                <c:pt idx="17">
                  <c:v>0.37491726819302684</c:v>
                </c:pt>
                <c:pt idx="18">
                  <c:v>0.75972686214374185</c:v>
                </c:pt>
                <c:pt idx="19">
                  <c:v>0.56076329267926361</c:v>
                </c:pt>
                <c:pt idx="20">
                  <c:v>0.40128765236396458</c:v>
                </c:pt>
                <c:pt idx="21">
                  <c:v>0.1719622384966053</c:v>
                </c:pt>
                <c:pt idx="22">
                  <c:v>-0.28171066192628569</c:v>
                </c:pt>
                <c:pt idx="23">
                  <c:v>-0.11501323726857127</c:v>
                </c:pt>
                <c:pt idx="24">
                  <c:v>0.1372812088175257</c:v>
                </c:pt>
                <c:pt idx="25">
                  <c:v>0.73819650081275512</c:v>
                </c:pt>
                <c:pt idx="26">
                  <c:v>1.5857403589247614</c:v>
                </c:pt>
                <c:pt idx="27">
                  <c:v>1.6977066504660208</c:v>
                </c:pt>
                <c:pt idx="28">
                  <c:v>2.0049013529400348</c:v>
                </c:pt>
                <c:pt idx="29">
                  <c:v>1.2962028064982754</c:v>
                </c:pt>
                <c:pt idx="30">
                  <c:v>0.39894506379304318</c:v>
                </c:pt>
                <c:pt idx="31">
                  <c:v>5.8336349817846411E-2</c:v>
                </c:pt>
                <c:pt idx="32">
                  <c:v>-0.50706237928903697</c:v>
                </c:pt>
                <c:pt idx="33">
                  <c:v>-0.35137916677905601</c:v>
                </c:pt>
                <c:pt idx="34">
                  <c:v>-8.393956273837766E-2</c:v>
                </c:pt>
                <c:pt idx="35">
                  <c:v>-0.10216648165400066</c:v>
                </c:pt>
                <c:pt idx="36">
                  <c:v>-0.23277741641034044</c:v>
                </c:pt>
                <c:pt idx="37">
                  <c:v>-0.73050784952375558</c:v>
                </c:pt>
                <c:pt idx="38">
                  <c:v>-0.44159828495237097</c:v>
                </c:pt>
                <c:pt idx="39">
                  <c:v>-9.2504193649089572E-2</c:v>
                </c:pt>
                <c:pt idx="40">
                  <c:v>0.35142712713386004</c:v>
                </c:pt>
                <c:pt idx="41">
                  <c:v>0.6292212335992744</c:v>
                </c:pt>
                <c:pt idx="42">
                  <c:v>0.60328947605175287</c:v>
                </c:pt>
                <c:pt idx="43">
                  <c:v>0.7704245500241651</c:v>
                </c:pt>
                <c:pt idx="44">
                  <c:v>0.37188912584603884</c:v>
                </c:pt>
                <c:pt idx="45">
                  <c:v>0.5587026120501104</c:v>
                </c:pt>
                <c:pt idx="46">
                  <c:v>0.22902814928828796</c:v>
                </c:pt>
                <c:pt idx="47">
                  <c:v>0.18341652655390384</c:v>
                </c:pt>
                <c:pt idx="48">
                  <c:v>0.17930684282604581</c:v>
                </c:pt>
                <c:pt idx="49">
                  <c:v>-0.24884666484364626</c:v>
                </c:pt>
                <c:pt idx="50">
                  <c:v>0.2670939442815099</c:v>
                </c:pt>
                <c:pt idx="51">
                  <c:v>9.8159229477404963E-2</c:v>
                </c:pt>
                <c:pt idx="52">
                  <c:v>0.57181171692940858</c:v>
                </c:pt>
                <c:pt idx="53">
                  <c:v>1.1469716891933004</c:v>
                </c:pt>
                <c:pt idx="54">
                  <c:v>0.79195607014804636</c:v>
                </c:pt>
                <c:pt idx="55">
                  <c:v>0.92066673891311979</c:v>
                </c:pt>
                <c:pt idx="56">
                  <c:v>0.40562082695680246</c:v>
                </c:pt>
                <c:pt idx="57">
                  <c:v>4.971170201861419E-2</c:v>
                </c:pt>
                <c:pt idx="58">
                  <c:v>0.31939930366659297</c:v>
                </c:pt>
                <c:pt idx="59">
                  <c:v>-5.4193698688472125E-2</c:v>
                </c:pt>
                <c:pt idx="60">
                  <c:v>-7.9610340047192807E-2</c:v>
                </c:pt>
                <c:pt idx="61">
                  <c:v>-0.49908502751784312</c:v>
                </c:pt>
                <c:pt idx="62">
                  <c:v>-0.91476617407363481</c:v>
                </c:pt>
                <c:pt idx="63">
                  <c:v>-0.60286573817931455</c:v>
                </c:pt>
                <c:pt idx="64">
                  <c:v>-0.59650273525312603</c:v>
                </c:pt>
                <c:pt idx="65">
                  <c:v>-0.74222645952140542</c:v>
                </c:pt>
                <c:pt idx="66">
                  <c:v>-0.45308980623760498</c:v>
                </c:pt>
                <c:pt idx="67">
                  <c:v>-0.46638344963633482</c:v>
                </c:pt>
                <c:pt idx="68">
                  <c:v>-0.31215465651501972</c:v>
                </c:pt>
                <c:pt idx="69">
                  <c:v>1.5099391157242792E-3</c:v>
                </c:pt>
                <c:pt idx="70">
                  <c:v>3.5696112750883024E-2</c:v>
                </c:pt>
                <c:pt idx="71">
                  <c:v>-9.5686003624466665E-3</c:v>
                </c:pt>
                <c:pt idx="72">
                  <c:v>-0.49239363366266264</c:v>
                </c:pt>
                <c:pt idx="73">
                  <c:v>-0.50762183602062638</c:v>
                </c:pt>
                <c:pt idx="74">
                  <c:v>-0.54944596659867084</c:v>
                </c:pt>
                <c:pt idx="75">
                  <c:v>-0.6109177043756393</c:v>
                </c:pt>
                <c:pt idx="76">
                  <c:v>-4.1495107563619626E-2</c:v>
                </c:pt>
                <c:pt idx="77">
                  <c:v>-1.6857532930361074E-3</c:v>
                </c:pt>
                <c:pt idx="78">
                  <c:v>4.8537985974948405E-2</c:v>
                </c:pt>
                <c:pt idx="79">
                  <c:v>0.20879502648957615</c:v>
                </c:pt>
                <c:pt idx="80">
                  <c:v>0.23290892248092021</c:v>
                </c:pt>
                <c:pt idx="81">
                  <c:v>2.1894976112695197E-2</c:v>
                </c:pt>
                <c:pt idx="82">
                  <c:v>4.4666751468236399E-3</c:v>
                </c:pt>
                <c:pt idx="83">
                  <c:v>-0.58266201432466769</c:v>
                </c:pt>
                <c:pt idx="84">
                  <c:v>-0.92434731098756817</c:v>
                </c:pt>
                <c:pt idx="85">
                  <c:v>-0.73969605962141394</c:v>
                </c:pt>
                <c:pt idx="86">
                  <c:v>-0.14635583624573112</c:v>
                </c:pt>
                <c:pt idx="87">
                  <c:v>0.83405290693599277</c:v>
                </c:pt>
                <c:pt idx="88">
                  <c:v>1.2999317841956302</c:v>
                </c:pt>
                <c:pt idx="89">
                  <c:v>1.0016569268105853</c:v>
                </c:pt>
                <c:pt idx="90">
                  <c:v>0.32281248848692101</c:v>
                </c:pt>
                <c:pt idx="91">
                  <c:v>-0.14143430910853461</c:v>
                </c:pt>
                <c:pt idx="92">
                  <c:v>-0.54705161263112867</c:v>
                </c:pt>
                <c:pt idx="93">
                  <c:v>-0.31586829939754946</c:v>
                </c:pt>
                <c:pt idx="94">
                  <c:v>-0.27759100854414065</c:v>
                </c:pt>
                <c:pt idx="95">
                  <c:v>-1.2025455905788185E-2</c:v>
                </c:pt>
                <c:pt idx="96">
                  <c:v>0.21580186951482005</c:v>
                </c:pt>
                <c:pt idx="97">
                  <c:v>0.39053145899547914</c:v>
                </c:pt>
                <c:pt idx="98">
                  <c:v>0.68094426281367504</c:v>
                </c:pt>
                <c:pt idx="99">
                  <c:v>0.94981248571953802</c:v>
                </c:pt>
                <c:pt idx="100">
                  <c:v>0.6764219598400576</c:v>
                </c:pt>
                <c:pt idx="101">
                  <c:v>0.21025190610568156</c:v>
                </c:pt>
                <c:pt idx="102">
                  <c:v>1.3181465292754879E-2</c:v>
                </c:pt>
                <c:pt idx="103">
                  <c:v>-0.37049752519801782</c:v>
                </c:pt>
                <c:pt idx="104">
                  <c:v>-0.32566727485558822</c:v>
                </c:pt>
                <c:pt idx="105">
                  <c:v>-0.23802587184745327</c:v>
                </c:pt>
                <c:pt idx="106">
                  <c:v>-0.35245904898686486</c:v>
                </c:pt>
                <c:pt idx="107">
                  <c:v>-0.46717679340533724</c:v>
                </c:pt>
                <c:pt idx="108">
                  <c:v>-0.7479687506686421</c:v>
                </c:pt>
                <c:pt idx="109">
                  <c:v>-0.72906740244467638</c:v>
                </c:pt>
                <c:pt idx="110">
                  <c:v>-0.60899412593650393</c:v>
                </c:pt>
                <c:pt idx="111">
                  <c:v>-0.65063342379664491</c:v>
                </c:pt>
                <c:pt idx="112">
                  <c:v>-0.30985111321149006</c:v>
                </c:pt>
                <c:pt idx="113">
                  <c:v>-0.18545533836386241</c:v>
                </c:pt>
                <c:pt idx="114">
                  <c:v>-0.22288024623204628</c:v>
                </c:pt>
                <c:pt idx="115">
                  <c:v>-5.1005610745574081E-2</c:v>
                </c:pt>
                <c:pt idx="116">
                  <c:v>2.7072890397126237E-2</c:v>
                </c:pt>
                <c:pt idx="117">
                  <c:v>1.6366377144452215E-3</c:v>
                </c:pt>
                <c:pt idx="118">
                  <c:v>0.22084308989905477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F4-4732-8E42-23CC485B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4016"/>
        <c:axId val="1217516816"/>
      </c:scatterChart>
      <c:valAx>
        <c:axId val="121752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6816"/>
        <c:crosses val="autoZero"/>
        <c:crossBetween val="midCat"/>
      </c:valAx>
      <c:valAx>
        <c:axId val="1217516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40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Chicago!$P$6:$P$124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Chi'!$C$28:$C$146</c:f>
              <c:numCache>
                <c:formatCode>General</c:formatCode>
                <c:ptCount val="119"/>
                <c:pt idx="0">
                  <c:v>-0.47032557346370485</c:v>
                </c:pt>
                <c:pt idx="1">
                  <c:v>-1.061557356856178</c:v>
                </c:pt>
                <c:pt idx="2">
                  <c:v>-1.8658892836054299</c:v>
                </c:pt>
                <c:pt idx="3">
                  <c:v>-2.3554623016396663</c:v>
                </c:pt>
                <c:pt idx="4">
                  <c:v>-1.6136696983246628</c:v>
                </c:pt>
                <c:pt idx="5">
                  <c:v>-0.86533698232096246</c:v>
                </c:pt>
                <c:pt idx="6">
                  <c:v>-4.0942600384347827E-2</c:v>
                </c:pt>
                <c:pt idx="7">
                  <c:v>0.72691625923673886</c:v>
                </c:pt>
                <c:pt idx="8">
                  <c:v>0.55403434834863585</c:v>
                </c:pt>
                <c:pt idx="9">
                  <c:v>-2.9826596051091947E-2</c:v>
                </c:pt>
                <c:pt idx="10">
                  <c:v>8.1932326340654171E-2</c:v>
                </c:pt>
                <c:pt idx="11">
                  <c:v>0.14646639346975299</c:v>
                </c:pt>
                <c:pt idx="12">
                  <c:v>7.3660782548778059E-2</c:v>
                </c:pt>
                <c:pt idx="13">
                  <c:v>2.3091672566914134E-2</c:v>
                </c:pt>
                <c:pt idx="14">
                  <c:v>-7.7605501049708536E-2</c:v>
                </c:pt>
                <c:pt idx="15">
                  <c:v>-0.14414227132156388</c:v>
                </c:pt>
                <c:pt idx="16">
                  <c:v>-4.59428401527191E-2</c:v>
                </c:pt>
                <c:pt idx="17">
                  <c:v>0.37491726819302684</c:v>
                </c:pt>
                <c:pt idx="18">
                  <c:v>0.75972686214374185</c:v>
                </c:pt>
                <c:pt idx="19">
                  <c:v>0.56076329267926361</c:v>
                </c:pt>
                <c:pt idx="20">
                  <c:v>0.40128765236396458</c:v>
                </c:pt>
                <c:pt idx="21">
                  <c:v>0.1719622384966053</c:v>
                </c:pt>
                <c:pt idx="22">
                  <c:v>-0.28171066192628569</c:v>
                </c:pt>
                <c:pt idx="23">
                  <c:v>-0.11501323726857127</c:v>
                </c:pt>
                <c:pt idx="24">
                  <c:v>0.1372812088175257</c:v>
                </c:pt>
                <c:pt idx="25">
                  <c:v>0.73819650081275512</c:v>
                </c:pt>
                <c:pt idx="26">
                  <c:v>1.5857403589247614</c:v>
                </c:pt>
                <c:pt idx="27">
                  <c:v>1.6977066504660208</c:v>
                </c:pt>
                <c:pt idx="28">
                  <c:v>2.0049013529400348</c:v>
                </c:pt>
                <c:pt idx="29">
                  <c:v>1.2962028064982754</c:v>
                </c:pt>
                <c:pt idx="30">
                  <c:v>0.39894506379304318</c:v>
                </c:pt>
                <c:pt idx="31">
                  <c:v>5.8336349817846411E-2</c:v>
                </c:pt>
                <c:pt idx="32">
                  <c:v>-0.50706237928903697</c:v>
                </c:pt>
                <c:pt idx="33">
                  <c:v>-0.35137916677905601</c:v>
                </c:pt>
                <c:pt idx="34">
                  <c:v>-8.393956273837766E-2</c:v>
                </c:pt>
                <c:pt idx="35">
                  <c:v>-0.10216648165400066</c:v>
                </c:pt>
                <c:pt idx="36">
                  <c:v>-0.23277741641034044</c:v>
                </c:pt>
                <c:pt idx="37">
                  <c:v>-0.73050784952375558</c:v>
                </c:pt>
                <c:pt idx="38">
                  <c:v>-0.44159828495237097</c:v>
                </c:pt>
                <c:pt idx="39">
                  <c:v>-9.2504193649089572E-2</c:v>
                </c:pt>
                <c:pt idx="40">
                  <c:v>0.35142712713386004</c:v>
                </c:pt>
                <c:pt idx="41">
                  <c:v>0.6292212335992744</c:v>
                </c:pt>
                <c:pt idx="42">
                  <c:v>0.60328947605175287</c:v>
                </c:pt>
                <c:pt idx="43">
                  <c:v>0.7704245500241651</c:v>
                </c:pt>
                <c:pt idx="44">
                  <c:v>0.37188912584603884</c:v>
                </c:pt>
                <c:pt idx="45">
                  <c:v>0.5587026120501104</c:v>
                </c:pt>
                <c:pt idx="46">
                  <c:v>0.22902814928828796</c:v>
                </c:pt>
                <c:pt idx="47">
                  <c:v>0.18341652655390384</c:v>
                </c:pt>
                <c:pt idx="48">
                  <c:v>0.17930684282604581</c:v>
                </c:pt>
                <c:pt idx="49">
                  <c:v>-0.24884666484364626</c:v>
                </c:pt>
                <c:pt idx="50">
                  <c:v>0.2670939442815099</c:v>
                </c:pt>
                <c:pt idx="51">
                  <c:v>9.8159229477404963E-2</c:v>
                </c:pt>
                <c:pt idx="52">
                  <c:v>0.57181171692940858</c:v>
                </c:pt>
                <c:pt idx="53">
                  <c:v>1.1469716891933004</c:v>
                </c:pt>
                <c:pt idx="54">
                  <c:v>0.79195607014804636</c:v>
                </c:pt>
                <c:pt idx="55">
                  <c:v>0.92066673891311979</c:v>
                </c:pt>
                <c:pt idx="56">
                  <c:v>0.40562082695680246</c:v>
                </c:pt>
                <c:pt idx="57">
                  <c:v>4.971170201861419E-2</c:v>
                </c:pt>
                <c:pt idx="58">
                  <c:v>0.31939930366659297</c:v>
                </c:pt>
                <c:pt idx="59">
                  <c:v>-5.4193698688472125E-2</c:v>
                </c:pt>
                <c:pt idx="60">
                  <c:v>-7.9610340047192807E-2</c:v>
                </c:pt>
                <c:pt idx="61">
                  <c:v>-0.49908502751784312</c:v>
                </c:pt>
                <c:pt idx="62">
                  <c:v>-0.91476617407363481</c:v>
                </c:pt>
                <c:pt idx="63">
                  <c:v>-0.60286573817931455</c:v>
                </c:pt>
                <c:pt idx="64">
                  <c:v>-0.59650273525312603</c:v>
                </c:pt>
                <c:pt idx="65">
                  <c:v>-0.74222645952140542</c:v>
                </c:pt>
                <c:pt idx="66">
                  <c:v>-0.45308980623760498</c:v>
                </c:pt>
                <c:pt idx="67">
                  <c:v>-0.46638344963633482</c:v>
                </c:pt>
                <c:pt idx="68">
                  <c:v>-0.31215465651501972</c:v>
                </c:pt>
                <c:pt idx="69">
                  <c:v>1.5099391157242792E-3</c:v>
                </c:pt>
                <c:pt idx="70">
                  <c:v>3.5696112750883024E-2</c:v>
                </c:pt>
                <c:pt idx="71">
                  <c:v>-9.5686003624466665E-3</c:v>
                </c:pt>
                <c:pt idx="72">
                  <c:v>-0.49239363366266264</c:v>
                </c:pt>
                <c:pt idx="73">
                  <c:v>-0.50762183602062638</c:v>
                </c:pt>
                <c:pt idx="74">
                  <c:v>-0.54944596659867084</c:v>
                </c:pt>
                <c:pt idx="75">
                  <c:v>-0.6109177043756393</c:v>
                </c:pt>
                <c:pt idx="76">
                  <c:v>-4.1495107563619626E-2</c:v>
                </c:pt>
                <c:pt idx="77">
                  <c:v>-1.6857532930361074E-3</c:v>
                </c:pt>
                <c:pt idx="78">
                  <c:v>4.8537985974948405E-2</c:v>
                </c:pt>
                <c:pt idx="79">
                  <c:v>0.20879502648957615</c:v>
                </c:pt>
                <c:pt idx="80">
                  <c:v>0.23290892248092021</c:v>
                </c:pt>
                <c:pt idx="81">
                  <c:v>2.1894976112695197E-2</c:v>
                </c:pt>
                <c:pt idx="82">
                  <c:v>4.4666751468236399E-3</c:v>
                </c:pt>
                <c:pt idx="83">
                  <c:v>-0.58266201432466769</c:v>
                </c:pt>
                <c:pt idx="84">
                  <c:v>-0.92434731098756817</c:v>
                </c:pt>
                <c:pt idx="85">
                  <c:v>-0.73969605962141394</c:v>
                </c:pt>
                <c:pt idx="86">
                  <c:v>-0.14635583624573112</c:v>
                </c:pt>
                <c:pt idx="87">
                  <c:v>0.83405290693599277</c:v>
                </c:pt>
                <c:pt idx="88">
                  <c:v>1.2999317841956302</c:v>
                </c:pt>
                <c:pt idx="89">
                  <c:v>1.0016569268105853</c:v>
                </c:pt>
                <c:pt idx="90">
                  <c:v>0.32281248848692101</c:v>
                </c:pt>
                <c:pt idx="91">
                  <c:v>-0.14143430910853461</c:v>
                </c:pt>
                <c:pt idx="92">
                  <c:v>-0.54705161263112867</c:v>
                </c:pt>
                <c:pt idx="93">
                  <c:v>-0.31586829939754946</c:v>
                </c:pt>
                <c:pt idx="94">
                  <c:v>-0.27759100854414065</c:v>
                </c:pt>
                <c:pt idx="95">
                  <c:v>-1.2025455905788185E-2</c:v>
                </c:pt>
                <c:pt idx="96">
                  <c:v>0.21580186951482005</c:v>
                </c:pt>
                <c:pt idx="97">
                  <c:v>0.39053145899547914</c:v>
                </c:pt>
                <c:pt idx="98">
                  <c:v>0.68094426281367504</c:v>
                </c:pt>
                <c:pt idx="99">
                  <c:v>0.94981248571953802</c:v>
                </c:pt>
                <c:pt idx="100">
                  <c:v>0.6764219598400576</c:v>
                </c:pt>
                <c:pt idx="101">
                  <c:v>0.21025190610568156</c:v>
                </c:pt>
                <c:pt idx="102">
                  <c:v>1.3181465292754879E-2</c:v>
                </c:pt>
                <c:pt idx="103">
                  <c:v>-0.37049752519801782</c:v>
                </c:pt>
                <c:pt idx="104">
                  <c:v>-0.32566727485558822</c:v>
                </c:pt>
                <c:pt idx="105">
                  <c:v>-0.23802587184745327</c:v>
                </c:pt>
                <c:pt idx="106">
                  <c:v>-0.35245904898686486</c:v>
                </c:pt>
                <c:pt idx="107">
                  <c:v>-0.46717679340533724</c:v>
                </c:pt>
                <c:pt idx="108">
                  <c:v>-0.7479687506686421</c:v>
                </c:pt>
                <c:pt idx="109">
                  <c:v>-0.72906740244467638</c:v>
                </c:pt>
                <c:pt idx="110">
                  <c:v>-0.60899412593650393</c:v>
                </c:pt>
                <c:pt idx="111">
                  <c:v>-0.65063342379664491</c:v>
                </c:pt>
                <c:pt idx="112">
                  <c:v>-0.30985111321149006</c:v>
                </c:pt>
                <c:pt idx="113">
                  <c:v>-0.18545533836386241</c:v>
                </c:pt>
                <c:pt idx="114">
                  <c:v>-0.22288024623204628</c:v>
                </c:pt>
                <c:pt idx="115">
                  <c:v>-5.1005610745574081E-2</c:v>
                </c:pt>
                <c:pt idx="116">
                  <c:v>2.7072890397126237E-2</c:v>
                </c:pt>
                <c:pt idx="117">
                  <c:v>1.6366377144452215E-3</c:v>
                </c:pt>
                <c:pt idx="118">
                  <c:v>0.22084308989905477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CC-4789-A531-966CA011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19696"/>
        <c:axId val="1217526416"/>
      </c:scatterChart>
      <c:valAx>
        <c:axId val="121751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6416"/>
        <c:crosses val="autoZero"/>
        <c:crossBetween val="midCat"/>
      </c:valAx>
      <c:valAx>
        <c:axId val="1217526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96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Dallas!$M$6:$M$124</c:f>
              <c:numCache>
                <c:formatCode>General</c:formatCode>
                <c:ptCount val="119"/>
                <c:pt idx="0">
                  <c:v>4.3479179999999999</c:v>
                </c:pt>
                <c:pt idx="1">
                  <c:v>4.3234870000000001</c:v>
                </c:pt>
                <c:pt idx="2">
                  <c:v>4.4051850000000004</c:v>
                </c:pt>
                <c:pt idx="3">
                  <c:v>4.5665009999999997</c:v>
                </c:pt>
                <c:pt idx="4">
                  <c:v>4.776186</c:v>
                </c:pt>
                <c:pt idx="5">
                  <c:v>4.7628370000000002</c:v>
                </c:pt>
                <c:pt idx="6">
                  <c:v>4.6169599999999997</c:v>
                </c:pt>
                <c:pt idx="7">
                  <c:v>4.49498</c:v>
                </c:pt>
                <c:pt idx="8">
                  <c:v>4.6169570000000002</c:v>
                </c:pt>
                <c:pt idx="9">
                  <c:v>4.8016819999999996</c:v>
                </c:pt>
                <c:pt idx="10">
                  <c:v>5.2319659999999999</c:v>
                </c:pt>
                <c:pt idx="11">
                  <c:v>5.5856120000000002</c:v>
                </c:pt>
                <c:pt idx="12">
                  <c:v>5.6896829999999996</c:v>
                </c:pt>
                <c:pt idx="13">
                  <c:v>6.0473460000000001</c:v>
                </c:pt>
                <c:pt idx="14">
                  <c:v>6.2918609999999999</c:v>
                </c:pt>
                <c:pt idx="15">
                  <c:v>6.5132519999999996</c:v>
                </c:pt>
                <c:pt idx="16">
                  <c:v>6.8464859999999996</c:v>
                </c:pt>
                <c:pt idx="17">
                  <c:v>7.0462300000000004</c:v>
                </c:pt>
                <c:pt idx="18">
                  <c:v>7.4888440000000003</c:v>
                </c:pt>
                <c:pt idx="19">
                  <c:v>7.4364439999999998</c:v>
                </c:pt>
                <c:pt idx="20">
                  <c:v>8.1919059999999995</c:v>
                </c:pt>
                <c:pt idx="21">
                  <c:v>9.0988279999999992</c:v>
                </c:pt>
                <c:pt idx="22">
                  <c:v>10.247389999999999</c:v>
                </c:pt>
                <c:pt idx="23">
                  <c:v>11.06343</c:v>
                </c:pt>
                <c:pt idx="24">
                  <c:v>11.190899999999999</c:v>
                </c:pt>
                <c:pt idx="25">
                  <c:v>11.329739999999999</c:v>
                </c:pt>
                <c:pt idx="26">
                  <c:v>10.762779999999999</c:v>
                </c:pt>
                <c:pt idx="27">
                  <c:v>10.88693</c:v>
                </c:pt>
                <c:pt idx="28">
                  <c:v>11.01376</c:v>
                </c:pt>
                <c:pt idx="29">
                  <c:v>10.937530000000001</c:v>
                </c:pt>
                <c:pt idx="30">
                  <c:v>10.379519999999999</c:v>
                </c:pt>
                <c:pt idx="31">
                  <c:v>10.195489999999999</c:v>
                </c:pt>
                <c:pt idx="32">
                  <c:v>10.29513</c:v>
                </c:pt>
                <c:pt idx="33">
                  <c:v>9.7417850000000001</c:v>
                </c:pt>
                <c:pt idx="34">
                  <c:v>9.8103230000000003</c:v>
                </c:pt>
                <c:pt idx="35">
                  <c:v>9.6557410000000008</c:v>
                </c:pt>
                <c:pt idx="36">
                  <c:v>8.7117900000000006</c:v>
                </c:pt>
                <c:pt idx="37">
                  <c:v>8.6881799999999991</c:v>
                </c:pt>
                <c:pt idx="38">
                  <c:v>8.5117989999999999</c:v>
                </c:pt>
                <c:pt idx="39">
                  <c:v>8.4162099999999995</c:v>
                </c:pt>
                <c:pt idx="40">
                  <c:v>8.5918759999999992</c:v>
                </c:pt>
                <c:pt idx="41">
                  <c:v>8.6885940000000002</c:v>
                </c:pt>
                <c:pt idx="42">
                  <c:v>9.4660489999999999</c:v>
                </c:pt>
                <c:pt idx="43">
                  <c:v>9.4580660000000005</c:v>
                </c:pt>
                <c:pt idx="44">
                  <c:v>9.4437820000000006</c:v>
                </c:pt>
                <c:pt idx="45">
                  <c:v>9.2001150000000003</c:v>
                </c:pt>
                <c:pt idx="46">
                  <c:v>8.5219930000000002</c:v>
                </c:pt>
                <c:pt idx="47">
                  <c:v>7.9863999999999997</c:v>
                </c:pt>
                <c:pt idx="48">
                  <c:v>7.9028520000000002</c:v>
                </c:pt>
                <c:pt idx="49">
                  <c:v>7.9873120000000002</c:v>
                </c:pt>
                <c:pt idx="50">
                  <c:v>8.0204850000000008</c:v>
                </c:pt>
                <c:pt idx="51">
                  <c:v>8.2998860000000008</c:v>
                </c:pt>
                <c:pt idx="52">
                  <c:v>8.6412530000000007</c:v>
                </c:pt>
                <c:pt idx="53">
                  <c:v>8.4604700000000008</c:v>
                </c:pt>
                <c:pt idx="54">
                  <c:v>8.3760549999999991</c:v>
                </c:pt>
                <c:pt idx="55">
                  <c:v>8.476801</c:v>
                </c:pt>
                <c:pt idx="56">
                  <c:v>8.2713490000000007</c:v>
                </c:pt>
                <c:pt idx="57">
                  <c:v>8.4654249999999998</c:v>
                </c:pt>
                <c:pt idx="58">
                  <c:v>8.5887360000000008</c:v>
                </c:pt>
                <c:pt idx="59">
                  <c:v>8.916658</c:v>
                </c:pt>
                <c:pt idx="60">
                  <c:v>8.9603560000000009</c:v>
                </c:pt>
                <c:pt idx="61">
                  <c:v>9.0201209999999996</c:v>
                </c:pt>
                <c:pt idx="62">
                  <c:v>9.2713429999999999</c:v>
                </c:pt>
                <c:pt idx="63">
                  <c:v>8.9498750000000005</c:v>
                </c:pt>
                <c:pt idx="64">
                  <c:v>8.8479840000000003</c:v>
                </c:pt>
                <c:pt idx="65">
                  <c:v>8.5818159999999999</c:v>
                </c:pt>
                <c:pt idx="66">
                  <c:v>8.1493889999999993</c:v>
                </c:pt>
                <c:pt idx="67">
                  <c:v>8.0673960000000005</c:v>
                </c:pt>
                <c:pt idx="68">
                  <c:v>7.8799409999999996</c:v>
                </c:pt>
                <c:pt idx="69">
                  <c:v>7.636755</c:v>
                </c:pt>
                <c:pt idx="70">
                  <c:v>7.48672</c:v>
                </c:pt>
                <c:pt idx="71">
                  <c:v>7.3494619999999999</c:v>
                </c:pt>
                <c:pt idx="72">
                  <c:v>7.3459219999999998</c:v>
                </c:pt>
                <c:pt idx="73">
                  <c:v>7.1428099999999999</c:v>
                </c:pt>
                <c:pt idx="74">
                  <c:v>6.8912269999999998</c:v>
                </c:pt>
                <c:pt idx="75">
                  <c:v>6.645931</c:v>
                </c:pt>
                <c:pt idx="76">
                  <c:v>6.2943090000000002</c:v>
                </c:pt>
                <c:pt idx="77">
                  <c:v>6.3125989999999996</c:v>
                </c:pt>
                <c:pt idx="78">
                  <c:v>6.1756950000000002</c:v>
                </c:pt>
                <c:pt idx="79">
                  <c:v>6.0807989999999998</c:v>
                </c:pt>
                <c:pt idx="80">
                  <c:v>5.9653809999999998</c:v>
                </c:pt>
                <c:pt idx="81">
                  <c:v>6.0375079999999999</c:v>
                </c:pt>
                <c:pt idx="82">
                  <c:v>6.0893329999999999</c:v>
                </c:pt>
                <c:pt idx="83">
                  <c:v>6.0118220000000004</c:v>
                </c:pt>
                <c:pt idx="84">
                  <c:v>5.9383400000000002</c:v>
                </c:pt>
                <c:pt idx="85">
                  <c:v>5.4489239999999999</c:v>
                </c:pt>
                <c:pt idx="86">
                  <c:v>5.0869499999999999</c:v>
                </c:pt>
                <c:pt idx="87">
                  <c:v>5.042719</c:v>
                </c:pt>
                <c:pt idx="88">
                  <c:v>5.2557429999999998</c:v>
                </c:pt>
                <c:pt idx="89">
                  <c:v>5.7166930000000002</c:v>
                </c:pt>
                <c:pt idx="90">
                  <c:v>6.3018859999999997</c:v>
                </c:pt>
                <c:pt idx="91">
                  <c:v>6.5409709999999999</c:v>
                </c:pt>
                <c:pt idx="92">
                  <c:v>6.6551920000000004</c:v>
                </c:pt>
                <c:pt idx="93">
                  <c:v>6.6559990000000004</c:v>
                </c:pt>
                <c:pt idx="94">
                  <c:v>6.6521379999999999</c:v>
                </c:pt>
                <c:pt idx="95">
                  <c:v>6.5899089999999996</c:v>
                </c:pt>
                <c:pt idx="96">
                  <c:v>6.431476</c:v>
                </c:pt>
                <c:pt idx="97">
                  <c:v>6.2583799999999998</c:v>
                </c:pt>
                <c:pt idx="98">
                  <c:v>5.9919070000000003</c:v>
                </c:pt>
                <c:pt idx="99">
                  <c:v>5.8391690000000001</c:v>
                </c:pt>
                <c:pt idx="100">
                  <c:v>5.8134629999999996</c:v>
                </c:pt>
                <c:pt idx="101">
                  <c:v>5.9112580000000001</c:v>
                </c:pt>
                <c:pt idx="102">
                  <c:v>5.9212300000000004</c:v>
                </c:pt>
                <c:pt idx="103">
                  <c:v>5.9173429999999998</c:v>
                </c:pt>
                <c:pt idx="104">
                  <c:v>5.8012639999999998</c:v>
                </c:pt>
                <c:pt idx="105">
                  <c:v>5.7605589999999998</c:v>
                </c:pt>
                <c:pt idx="106">
                  <c:v>5.7827099999999998</c:v>
                </c:pt>
                <c:pt idx="107">
                  <c:v>5.9019550000000001</c:v>
                </c:pt>
                <c:pt idx="108">
                  <c:v>5.9586389999999998</c:v>
                </c:pt>
                <c:pt idx="109">
                  <c:v>6.0187619999999997</c:v>
                </c:pt>
                <c:pt idx="110">
                  <c:v>5.9897369999999999</c:v>
                </c:pt>
                <c:pt idx="111">
                  <c:v>5.912293</c:v>
                </c:pt>
                <c:pt idx="112">
                  <c:v>5.8351980000000001</c:v>
                </c:pt>
                <c:pt idx="113">
                  <c:v>5.7008010000000002</c:v>
                </c:pt>
                <c:pt idx="114">
                  <c:v>5.6069170000000002</c:v>
                </c:pt>
                <c:pt idx="115">
                  <c:v>5.5717590000000001</c:v>
                </c:pt>
                <c:pt idx="116">
                  <c:v>5.6148210000000001</c:v>
                </c:pt>
                <c:pt idx="117">
                  <c:v>5.6039760000000003</c:v>
                </c:pt>
                <c:pt idx="118">
                  <c:v>5.5490820000000003</c:v>
                </c:pt>
              </c:numCache>
            </c:numRef>
          </c:xVal>
          <c:yVal>
            <c:numRef>
              <c:f>'Model1 Dallas'!$C$27:$C$145</c:f>
              <c:numCache>
                <c:formatCode>General</c:formatCode>
                <c:ptCount val="119"/>
                <c:pt idx="0">
                  <c:v>-0.79250880577503224</c:v>
                </c:pt>
                <c:pt idx="1">
                  <c:v>-0.92549252397988191</c:v>
                </c:pt>
                <c:pt idx="2">
                  <c:v>-1.1671123131045418</c:v>
                </c:pt>
                <c:pt idx="3">
                  <c:v>-1.3968135283772867</c:v>
                </c:pt>
                <c:pt idx="4">
                  <c:v>-1.4235705208642626</c:v>
                </c:pt>
                <c:pt idx="5">
                  <c:v>-1.0830015347594397</c:v>
                </c:pt>
                <c:pt idx="6">
                  <c:v>-0.37766317335949839</c:v>
                </c:pt>
                <c:pt idx="7">
                  <c:v>0.15894864367289419</c:v>
                </c:pt>
                <c:pt idx="8">
                  <c:v>0.15252420139541822</c:v>
                </c:pt>
                <c:pt idx="9">
                  <c:v>0.3930455264269872</c:v>
                </c:pt>
                <c:pt idx="10">
                  <c:v>0.29012096919641461</c:v>
                </c:pt>
                <c:pt idx="11">
                  <c:v>0.28200277482738034</c:v>
                </c:pt>
                <c:pt idx="12">
                  <c:v>0.45493587829803328</c:v>
                </c:pt>
                <c:pt idx="13">
                  <c:v>0.2146214123728738</c:v>
                </c:pt>
                <c:pt idx="14">
                  <c:v>0.4235980364496017</c:v>
                </c:pt>
                <c:pt idx="15">
                  <c:v>0.22941209816059249</c:v>
                </c:pt>
                <c:pt idx="16">
                  <c:v>0.74931322425425151</c:v>
                </c:pt>
                <c:pt idx="17">
                  <c:v>1.5166239388777978</c:v>
                </c:pt>
                <c:pt idx="18">
                  <c:v>2.4414689046788824</c:v>
                </c:pt>
                <c:pt idx="19">
                  <c:v>3.3060121189665725</c:v>
                </c:pt>
                <c:pt idx="20">
                  <c:v>2.8986508501779618</c:v>
                </c:pt>
                <c:pt idx="21">
                  <c:v>2.3411946251414673</c:v>
                </c:pt>
                <c:pt idx="22">
                  <c:v>0.84941843986637977</c:v>
                </c:pt>
                <c:pt idx="23">
                  <c:v>0.26672512750409183</c:v>
                </c:pt>
                <c:pt idx="24">
                  <c:v>0.218607094151821</c:v>
                </c:pt>
                <c:pt idx="25">
                  <c:v>-0.12727790509270065</c:v>
                </c:pt>
                <c:pt idx="26">
                  <c:v>-0.18602910315867227</c:v>
                </c:pt>
                <c:pt idx="27">
                  <c:v>-0.48973622391896754</c:v>
                </c:pt>
                <c:pt idx="28">
                  <c:v>-0.49289085086750717</c:v>
                </c:pt>
                <c:pt idx="29">
                  <c:v>-0.89471454864753497</c:v>
                </c:pt>
                <c:pt idx="30">
                  <c:v>-0.27752547852114162</c:v>
                </c:pt>
                <c:pt idx="31">
                  <c:v>-0.16838887715068118</c:v>
                </c:pt>
                <c:pt idx="32">
                  <c:v>-1.0760604927913029</c:v>
                </c:pt>
                <c:pt idx="33">
                  <c:v>-0.63854387933947443</c:v>
                </c:pt>
                <c:pt idx="34">
                  <c:v>-0.91093228098218937</c:v>
                </c:pt>
                <c:pt idx="35">
                  <c:v>-0.83989079598943661</c:v>
                </c:pt>
                <c:pt idx="36">
                  <c:v>0.10313556106906496</c:v>
                </c:pt>
                <c:pt idx="37">
                  <c:v>0.20924868437039024</c:v>
                </c:pt>
                <c:pt idx="38">
                  <c:v>1.2508844895776114</c:v>
                </c:pt>
                <c:pt idx="39">
                  <c:v>1.4215597319146376</c:v>
                </c:pt>
                <c:pt idx="40">
                  <c:v>1.1700423293004896</c:v>
                </c:pt>
                <c:pt idx="41">
                  <c:v>0.71356154086990919</c:v>
                </c:pt>
                <c:pt idx="42">
                  <c:v>-0.59086652036785559</c:v>
                </c:pt>
                <c:pt idx="43">
                  <c:v>-1.0691246009248729</c:v>
                </c:pt>
                <c:pt idx="44">
                  <c:v>-1.1781299263434386</c:v>
                </c:pt>
                <c:pt idx="45">
                  <c:v>-0.95754061949762903</c:v>
                </c:pt>
                <c:pt idx="46">
                  <c:v>-0.43983685739798162</c:v>
                </c:pt>
                <c:pt idx="47">
                  <c:v>0.21737409670721064</c:v>
                </c:pt>
                <c:pt idx="48">
                  <c:v>0.57223359386040151</c:v>
                </c:pt>
                <c:pt idx="49">
                  <c:v>0.36074349570283459</c:v>
                </c:pt>
                <c:pt idx="50">
                  <c:v>0.28636546749054403</c:v>
                </c:pt>
                <c:pt idx="51">
                  <c:v>0.19494763929889736</c:v>
                </c:pt>
                <c:pt idx="52">
                  <c:v>-0.27209757135388735</c:v>
                </c:pt>
                <c:pt idx="53">
                  <c:v>-2.3138883035356272E-2</c:v>
                </c:pt>
                <c:pt idx="54">
                  <c:v>0.18996167798465535</c:v>
                </c:pt>
                <c:pt idx="55">
                  <c:v>0.44744262185085582</c:v>
                </c:pt>
                <c:pt idx="56">
                  <c:v>0.59570291170650513</c:v>
                </c:pt>
                <c:pt idx="57">
                  <c:v>0.47357956676819057</c:v>
                </c:pt>
                <c:pt idx="58">
                  <c:v>0.75719314877730426</c:v>
                </c:pt>
                <c:pt idx="59">
                  <c:v>0.18201943068782178</c:v>
                </c:pt>
                <c:pt idx="60">
                  <c:v>7.5227437664171504E-2</c:v>
                </c:pt>
                <c:pt idx="61">
                  <c:v>-0.11064954613465261</c:v>
                </c:pt>
                <c:pt idx="62">
                  <c:v>-0.82808852931561461</c:v>
                </c:pt>
                <c:pt idx="63">
                  <c:v>-0.57527613160397095</c:v>
                </c:pt>
                <c:pt idx="64">
                  <c:v>-0.59737057411311856</c:v>
                </c:pt>
                <c:pt idx="65">
                  <c:v>-0.7330088789943856</c:v>
                </c:pt>
                <c:pt idx="66">
                  <c:v>-0.48410253070480458</c:v>
                </c:pt>
                <c:pt idx="67">
                  <c:v>-0.57105582946982292</c:v>
                </c:pt>
                <c:pt idx="68">
                  <c:v>-0.41661893806281647</c:v>
                </c:pt>
                <c:pt idx="69">
                  <c:v>-0.38251330927078175</c:v>
                </c:pt>
                <c:pt idx="70">
                  <c:v>-0.50130737482594423</c:v>
                </c:pt>
                <c:pt idx="71">
                  <c:v>-0.65629998331935457</c:v>
                </c:pt>
                <c:pt idx="72">
                  <c:v>-0.96613016707654076</c:v>
                </c:pt>
                <c:pt idx="73">
                  <c:v>-0.83030813817417037</c:v>
                </c:pt>
                <c:pt idx="74">
                  <c:v>-0.70567106360851461</c:v>
                </c:pt>
                <c:pt idx="75">
                  <c:v>-0.53421768126337277</c:v>
                </c:pt>
                <c:pt idx="76">
                  <c:v>-0.36924782725528793</c:v>
                </c:pt>
                <c:pt idx="77">
                  <c:v>-0.36485435260238663</c:v>
                </c:pt>
                <c:pt idx="78">
                  <c:v>-0.1904559261236658</c:v>
                </c:pt>
                <c:pt idx="79">
                  <c:v>-0.12225558457748065</c:v>
                </c:pt>
                <c:pt idx="80">
                  <c:v>-7.9337083753747706E-3</c:v>
                </c:pt>
                <c:pt idx="81">
                  <c:v>-0.56687848136487862</c:v>
                </c:pt>
                <c:pt idx="82">
                  <c:v>-0.97942079458607623</c:v>
                </c:pt>
                <c:pt idx="83">
                  <c:v>-0.87421109581571077</c:v>
                </c:pt>
                <c:pt idx="84">
                  <c:v>-0.60171985091692726</c:v>
                </c:pt>
                <c:pt idx="85">
                  <c:v>0.12075988436147167</c:v>
                </c:pt>
                <c:pt idx="86">
                  <c:v>0.93415676850799212</c:v>
                </c:pt>
                <c:pt idx="87">
                  <c:v>1.1982322643848855</c:v>
                </c:pt>
                <c:pt idx="88">
                  <c:v>1.1157425799994929</c:v>
                </c:pt>
                <c:pt idx="89">
                  <c:v>0.77314774199230296</c:v>
                </c:pt>
                <c:pt idx="90">
                  <c:v>0.4156441011652463</c:v>
                </c:pt>
                <c:pt idx="91">
                  <c:v>0.14884533276899425</c:v>
                </c:pt>
                <c:pt idx="92">
                  <c:v>-0.1476404619163656</c:v>
                </c:pt>
                <c:pt idx="93">
                  <c:v>-0.31959423957519295</c:v>
                </c:pt>
                <c:pt idx="94">
                  <c:v>-0.3651038094328598</c:v>
                </c:pt>
                <c:pt idx="95">
                  <c:v>-0.44511842552337644</c:v>
                </c:pt>
                <c:pt idx="96">
                  <c:v>-0.34357181969103046</c:v>
                </c:pt>
                <c:pt idx="97">
                  <c:v>-3.0147875958160597E-2</c:v>
                </c:pt>
                <c:pt idx="98">
                  <c:v>0.24728778885682079</c:v>
                </c:pt>
                <c:pt idx="99">
                  <c:v>0.35670340640969922</c:v>
                </c:pt>
                <c:pt idx="100">
                  <c:v>0.21730469156831589</c:v>
                </c:pt>
                <c:pt idx="101">
                  <c:v>0.17351649914902456</c:v>
                </c:pt>
                <c:pt idx="102">
                  <c:v>-3.9038480281928578E-2</c:v>
                </c:pt>
                <c:pt idx="103">
                  <c:v>0.19025853588670394</c:v>
                </c:pt>
                <c:pt idx="104">
                  <c:v>0.3769333001435422</c:v>
                </c:pt>
                <c:pt idx="105">
                  <c:v>0.49142796431746749</c:v>
                </c:pt>
                <c:pt idx="106">
                  <c:v>0.46123482081087275</c:v>
                </c:pt>
                <c:pt idx="107">
                  <c:v>0.31529253230857091</c:v>
                </c:pt>
                <c:pt idx="108">
                  <c:v>0.21891313626474229</c:v>
                </c:pt>
                <c:pt idx="109">
                  <c:v>-5.9398103347071185E-2</c:v>
                </c:pt>
                <c:pt idx="110">
                  <c:v>-8.9189591384724487E-2</c:v>
                </c:pt>
                <c:pt idx="111">
                  <c:v>-8.0134761712944425E-2</c:v>
                </c:pt>
                <c:pt idx="112">
                  <c:v>4.8460277012969399E-2</c:v>
                </c:pt>
                <c:pt idx="113">
                  <c:v>0.17844009854374843</c:v>
                </c:pt>
                <c:pt idx="114">
                  <c:v>0.22347803984955217</c:v>
                </c:pt>
                <c:pt idx="115">
                  <c:v>-0.12686410907018608</c:v>
                </c:pt>
                <c:pt idx="116">
                  <c:v>-0.45732030788370448</c:v>
                </c:pt>
                <c:pt idx="117">
                  <c:v>-0.62894687356731005</c:v>
                </c:pt>
                <c:pt idx="118">
                  <c:v>-0.71367408182228598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8-45BC-9EA9-0A5D38744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516672"/>
        <c:axId val="572519552"/>
      </c:scatterChart>
      <c:valAx>
        <c:axId val="57251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519552"/>
        <c:crosses val="autoZero"/>
        <c:crossBetween val="midCat"/>
      </c:valAx>
      <c:valAx>
        <c:axId val="572519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5166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Dallas'!$C$27:$C$145</c:f>
              <c:numCache>
                <c:formatCode>General</c:formatCode>
                <c:ptCount val="119"/>
                <c:pt idx="0">
                  <c:v>-0.79250880577503224</c:v>
                </c:pt>
                <c:pt idx="1">
                  <c:v>-0.92549252397988191</c:v>
                </c:pt>
                <c:pt idx="2">
                  <c:v>-1.1671123131045418</c:v>
                </c:pt>
                <c:pt idx="3">
                  <c:v>-1.3968135283772867</c:v>
                </c:pt>
                <c:pt idx="4">
                  <c:v>-1.4235705208642626</c:v>
                </c:pt>
                <c:pt idx="5">
                  <c:v>-1.0830015347594397</c:v>
                </c:pt>
                <c:pt idx="6">
                  <c:v>-0.37766317335949839</c:v>
                </c:pt>
                <c:pt idx="7">
                  <c:v>0.15894864367289419</c:v>
                </c:pt>
                <c:pt idx="8">
                  <c:v>0.15252420139541822</c:v>
                </c:pt>
                <c:pt idx="9">
                  <c:v>0.3930455264269872</c:v>
                </c:pt>
                <c:pt idx="10">
                  <c:v>0.29012096919641461</c:v>
                </c:pt>
                <c:pt idx="11">
                  <c:v>0.28200277482738034</c:v>
                </c:pt>
                <c:pt idx="12">
                  <c:v>0.45493587829803328</c:v>
                </c:pt>
                <c:pt idx="13">
                  <c:v>0.2146214123728738</c:v>
                </c:pt>
                <c:pt idx="14">
                  <c:v>0.4235980364496017</c:v>
                </c:pt>
                <c:pt idx="15">
                  <c:v>0.22941209816059249</c:v>
                </c:pt>
                <c:pt idx="16">
                  <c:v>0.74931322425425151</c:v>
                </c:pt>
                <c:pt idx="17">
                  <c:v>1.5166239388777978</c:v>
                </c:pt>
                <c:pt idx="18">
                  <c:v>2.4414689046788824</c:v>
                </c:pt>
                <c:pt idx="19">
                  <c:v>3.3060121189665725</c:v>
                </c:pt>
                <c:pt idx="20">
                  <c:v>2.8986508501779618</c:v>
                </c:pt>
                <c:pt idx="21">
                  <c:v>2.3411946251414673</c:v>
                </c:pt>
                <c:pt idx="22">
                  <c:v>0.84941843986637977</c:v>
                </c:pt>
                <c:pt idx="23">
                  <c:v>0.26672512750409183</c:v>
                </c:pt>
                <c:pt idx="24">
                  <c:v>0.218607094151821</c:v>
                </c:pt>
                <c:pt idx="25">
                  <c:v>-0.12727790509270065</c:v>
                </c:pt>
                <c:pt idx="26">
                  <c:v>-0.18602910315867227</c:v>
                </c:pt>
                <c:pt idx="27">
                  <c:v>-0.48973622391896754</c:v>
                </c:pt>
                <c:pt idx="28">
                  <c:v>-0.49289085086750717</c:v>
                </c:pt>
                <c:pt idx="29">
                  <c:v>-0.89471454864753497</c:v>
                </c:pt>
                <c:pt idx="30">
                  <c:v>-0.27752547852114162</c:v>
                </c:pt>
                <c:pt idx="31">
                  <c:v>-0.16838887715068118</c:v>
                </c:pt>
                <c:pt idx="32">
                  <c:v>-1.0760604927913029</c:v>
                </c:pt>
                <c:pt idx="33">
                  <c:v>-0.63854387933947443</c:v>
                </c:pt>
                <c:pt idx="34">
                  <c:v>-0.91093228098218937</c:v>
                </c:pt>
                <c:pt idx="35">
                  <c:v>-0.83989079598943661</c:v>
                </c:pt>
                <c:pt idx="36">
                  <c:v>0.10313556106906496</c:v>
                </c:pt>
                <c:pt idx="37">
                  <c:v>0.20924868437039024</c:v>
                </c:pt>
                <c:pt idx="38">
                  <c:v>1.2508844895776114</c:v>
                </c:pt>
                <c:pt idx="39">
                  <c:v>1.4215597319146376</c:v>
                </c:pt>
                <c:pt idx="40">
                  <c:v>1.1700423293004896</c:v>
                </c:pt>
                <c:pt idx="41">
                  <c:v>0.71356154086990919</c:v>
                </c:pt>
                <c:pt idx="42">
                  <c:v>-0.59086652036785559</c:v>
                </c:pt>
                <c:pt idx="43">
                  <c:v>-1.0691246009248729</c:v>
                </c:pt>
                <c:pt idx="44">
                  <c:v>-1.1781299263434386</c:v>
                </c:pt>
                <c:pt idx="45">
                  <c:v>-0.95754061949762903</c:v>
                </c:pt>
                <c:pt idx="46">
                  <c:v>-0.43983685739798162</c:v>
                </c:pt>
                <c:pt idx="47">
                  <c:v>0.21737409670721064</c:v>
                </c:pt>
                <c:pt idx="48">
                  <c:v>0.57223359386040151</c:v>
                </c:pt>
                <c:pt idx="49">
                  <c:v>0.36074349570283459</c:v>
                </c:pt>
                <c:pt idx="50">
                  <c:v>0.28636546749054403</c:v>
                </c:pt>
                <c:pt idx="51">
                  <c:v>0.19494763929889736</c:v>
                </c:pt>
                <c:pt idx="52">
                  <c:v>-0.27209757135388735</c:v>
                </c:pt>
                <c:pt idx="53">
                  <c:v>-2.3138883035356272E-2</c:v>
                </c:pt>
                <c:pt idx="54">
                  <c:v>0.18996167798465535</c:v>
                </c:pt>
                <c:pt idx="55">
                  <c:v>0.44744262185085582</c:v>
                </c:pt>
                <c:pt idx="56">
                  <c:v>0.59570291170650513</c:v>
                </c:pt>
                <c:pt idx="57">
                  <c:v>0.47357956676819057</c:v>
                </c:pt>
                <c:pt idx="58">
                  <c:v>0.75719314877730426</c:v>
                </c:pt>
                <c:pt idx="59">
                  <c:v>0.18201943068782178</c:v>
                </c:pt>
                <c:pt idx="60">
                  <c:v>7.5227437664171504E-2</c:v>
                </c:pt>
                <c:pt idx="61">
                  <c:v>-0.11064954613465261</c:v>
                </c:pt>
                <c:pt idx="62">
                  <c:v>-0.82808852931561461</c:v>
                </c:pt>
                <c:pt idx="63">
                  <c:v>-0.57527613160397095</c:v>
                </c:pt>
                <c:pt idx="64">
                  <c:v>-0.59737057411311856</c:v>
                </c:pt>
                <c:pt idx="65">
                  <c:v>-0.7330088789943856</c:v>
                </c:pt>
                <c:pt idx="66">
                  <c:v>-0.48410253070480458</c:v>
                </c:pt>
                <c:pt idx="67">
                  <c:v>-0.57105582946982292</c:v>
                </c:pt>
                <c:pt idx="68">
                  <c:v>-0.41661893806281647</c:v>
                </c:pt>
                <c:pt idx="69">
                  <c:v>-0.38251330927078175</c:v>
                </c:pt>
                <c:pt idx="70">
                  <c:v>-0.50130737482594423</c:v>
                </c:pt>
                <c:pt idx="71">
                  <c:v>-0.65629998331935457</c:v>
                </c:pt>
                <c:pt idx="72">
                  <c:v>-0.96613016707654076</c:v>
                </c:pt>
                <c:pt idx="73">
                  <c:v>-0.83030813817417037</c:v>
                </c:pt>
                <c:pt idx="74">
                  <c:v>-0.70567106360851461</c:v>
                </c:pt>
                <c:pt idx="75">
                  <c:v>-0.53421768126337277</c:v>
                </c:pt>
                <c:pt idx="76">
                  <c:v>-0.36924782725528793</c:v>
                </c:pt>
                <c:pt idx="77">
                  <c:v>-0.36485435260238663</c:v>
                </c:pt>
                <c:pt idx="78">
                  <c:v>-0.1904559261236658</c:v>
                </c:pt>
                <c:pt idx="79">
                  <c:v>-0.12225558457748065</c:v>
                </c:pt>
                <c:pt idx="80">
                  <c:v>-7.9337083753747706E-3</c:v>
                </c:pt>
                <c:pt idx="81">
                  <c:v>-0.56687848136487862</c:v>
                </c:pt>
                <c:pt idx="82">
                  <c:v>-0.97942079458607623</c:v>
                </c:pt>
                <c:pt idx="83">
                  <c:v>-0.87421109581571077</c:v>
                </c:pt>
                <c:pt idx="84">
                  <c:v>-0.60171985091692726</c:v>
                </c:pt>
                <c:pt idx="85">
                  <c:v>0.12075988436147167</c:v>
                </c:pt>
                <c:pt idx="86">
                  <c:v>0.93415676850799212</c:v>
                </c:pt>
                <c:pt idx="87">
                  <c:v>1.1982322643848855</c:v>
                </c:pt>
                <c:pt idx="88">
                  <c:v>1.1157425799994929</c:v>
                </c:pt>
                <c:pt idx="89">
                  <c:v>0.77314774199230296</c:v>
                </c:pt>
                <c:pt idx="90">
                  <c:v>0.4156441011652463</c:v>
                </c:pt>
                <c:pt idx="91">
                  <c:v>0.14884533276899425</c:v>
                </c:pt>
                <c:pt idx="92">
                  <c:v>-0.1476404619163656</c:v>
                </c:pt>
                <c:pt idx="93">
                  <c:v>-0.31959423957519295</c:v>
                </c:pt>
                <c:pt idx="94">
                  <c:v>-0.3651038094328598</c:v>
                </c:pt>
                <c:pt idx="95">
                  <c:v>-0.44511842552337644</c:v>
                </c:pt>
                <c:pt idx="96">
                  <c:v>-0.34357181969103046</c:v>
                </c:pt>
                <c:pt idx="97">
                  <c:v>-3.0147875958160597E-2</c:v>
                </c:pt>
                <c:pt idx="98">
                  <c:v>0.24728778885682079</c:v>
                </c:pt>
                <c:pt idx="99">
                  <c:v>0.35670340640969922</c:v>
                </c:pt>
                <c:pt idx="100">
                  <c:v>0.21730469156831589</c:v>
                </c:pt>
                <c:pt idx="101">
                  <c:v>0.17351649914902456</c:v>
                </c:pt>
                <c:pt idx="102">
                  <c:v>-3.9038480281928578E-2</c:v>
                </c:pt>
                <c:pt idx="103">
                  <c:v>0.19025853588670394</c:v>
                </c:pt>
                <c:pt idx="104">
                  <c:v>0.3769333001435422</c:v>
                </c:pt>
                <c:pt idx="105">
                  <c:v>0.49142796431746749</c:v>
                </c:pt>
                <c:pt idx="106">
                  <c:v>0.46123482081087275</c:v>
                </c:pt>
                <c:pt idx="107">
                  <c:v>0.31529253230857091</c:v>
                </c:pt>
                <c:pt idx="108">
                  <c:v>0.21891313626474229</c:v>
                </c:pt>
                <c:pt idx="109">
                  <c:v>-5.9398103347071185E-2</c:v>
                </c:pt>
                <c:pt idx="110">
                  <c:v>-8.9189591384724487E-2</c:v>
                </c:pt>
                <c:pt idx="111">
                  <c:v>-8.0134761712944425E-2</c:v>
                </c:pt>
                <c:pt idx="112">
                  <c:v>4.8460277012969399E-2</c:v>
                </c:pt>
                <c:pt idx="113">
                  <c:v>0.17844009854374843</c:v>
                </c:pt>
                <c:pt idx="114">
                  <c:v>0.22347803984955217</c:v>
                </c:pt>
                <c:pt idx="115">
                  <c:v>-0.12686410907018608</c:v>
                </c:pt>
                <c:pt idx="116">
                  <c:v>-0.45732030788370448</c:v>
                </c:pt>
                <c:pt idx="117">
                  <c:v>-0.62894687356731005</c:v>
                </c:pt>
                <c:pt idx="118">
                  <c:v>-0.71367408182228598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C-47D9-B2F7-B049CEC2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520032"/>
        <c:axId val="572522432"/>
      </c:scatterChart>
      <c:valAx>
        <c:axId val="57252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522432"/>
        <c:crosses val="autoZero"/>
        <c:crossBetween val="midCat"/>
      </c:valAx>
      <c:valAx>
        <c:axId val="57252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520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Dallas!$O$6:$O$124</c:f>
              <c:numCache>
                <c:formatCode>General</c:formatCode>
                <c:ptCount val="119"/>
                <c:pt idx="0">
                  <c:v>0.92435577722360762</c:v>
                </c:pt>
                <c:pt idx="1">
                  <c:v>0.88852188274153598</c:v>
                </c:pt>
                <c:pt idx="2">
                  <c:v>0.89067796610169481</c:v>
                </c:pt>
                <c:pt idx="3">
                  <c:v>0.89295039164490864</c:v>
                </c:pt>
                <c:pt idx="4">
                  <c:v>0.93435251798561159</c:v>
                </c:pt>
                <c:pt idx="5">
                  <c:v>0.97769516728624528</c:v>
                </c:pt>
                <c:pt idx="6">
                  <c:v>1.0066603235014273</c:v>
                </c:pt>
                <c:pt idx="7">
                  <c:v>1.0360623781676415</c:v>
                </c:pt>
                <c:pt idx="8">
                  <c:v>1.0818094321462945</c:v>
                </c:pt>
                <c:pt idx="9">
                  <c:v>1.1292775665399242</c:v>
                </c:pt>
                <c:pt idx="10">
                  <c:v>1.1398865784499055</c:v>
                </c:pt>
                <c:pt idx="11">
                  <c:v>1.1514581373471307</c:v>
                </c:pt>
                <c:pt idx="12">
                  <c:v>1.0693950177935942</c:v>
                </c:pt>
                <c:pt idx="13">
                  <c:v>0.99410774410774405</c:v>
                </c:pt>
                <c:pt idx="14">
                  <c:v>0.95936981757877282</c:v>
                </c:pt>
                <c:pt idx="15">
                  <c:v>0.92647058823529405</c:v>
                </c:pt>
                <c:pt idx="16">
                  <c:v>0.94925124792013316</c:v>
                </c:pt>
                <c:pt idx="17">
                  <c:v>0.97290431837425906</c:v>
                </c:pt>
                <c:pt idx="18">
                  <c:v>0.98789974070872943</c:v>
                </c:pt>
                <c:pt idx="19">
                  <c:v>1.0026455026455026</c:v>
                </c:pt>
                <c:pt idx="20">
                  <c:v>1.0148992112182296</c:v>
                </c:pt>
                <c:pt idx="21">
                  <c:v>1.0269799825935597</c:v>
                </c:pt>
                <c:pt idx="22">
                  <c:v>1.0131233595800526</c:v>
                </c:pt>
                <c:pt idx="23">
                  <c:v>0.99912049252418644</c:v>
                </c:pt>
                <c:pt idx="24">
                  <c:v>1.0043177892918826</c:v>
                </c:pt>
                <c:pt idx="25">
                  <c:v>1.0093220338983051</c:v>
                </c:pt>
                <c:pt idx="26">
                  <c:v>1.0474956822107082</c:v>
                </c:pt>
                <c:pt idx="27">
                  <c:v>1.0880281690140845</c:v>
                </c:pt>
                <c:pt idx="28">
                  <c:v>1.0541702493551159</c:v>
                </c:pt>
                <c:pt idx="29">
                  <c:v>1.0218303946263645</c:v>
                </c:pt>
                <c:pt idx="30">
                  <c:v>1.0445177246496289</c:v>
                </c:pt>
                <c:pt idx="31">
                  <c:v>1.068770226537217</c:v>
                </c:pt>
                <c:pt idx="32">
                  <c:v>1.1427406199021206</c:v>
                </c:pt>
                <c:pt idx="33">
                  <c:v>1.220213640098603</c:v>
                </c:pt>
                <c:pt idx="34">
                  <c:v>1.2028413575374901</c:v>
                </c:pt>
                <c:pt idx="35">
                  <c:v>1.1839515518546555</c:v>
                </c:pt>
                <c:pt idx="36">
                  <c:v>1.1905781584582442</c:v>
                </c:pt>
                <c:pt idx="37">
                  <c:v>1.1973063973063973</c:v>
                </c:pt>
                <c:pt idx="38">
                  <c:v>1.2230971128608925</c:v>
                </c:pt>
                <c:pt idx="39">
                  <c:v>1.25</c:v>
                </c:pt>
                <c:pt idx="40">
                  <c:v>1.1642685851318946</c:v>
                </c:pt>
                <c:pt idx="41">
                  <c:v>1.0843644544431945</c:v>
                </c:pt>
                <c:pt idx="42">
                  <c:v>1.061695278969957</c:v>
                </c:pt>
                <c:pt idx="43">
                  <c:v>1.0388746803069053</c:v>
                </c:pt>
                <c:pt idx="44">
                  <c:v>1.0494335736354272</c:v>
                </c:pt>
                <c:pt idx="45">
                  <c:v>1.0612033195020747</c:v>
                </c:pt>
                <c:pt idx="46">
                  <c:v>1.0439615967660436</c:v>
                </c:pt>
                <c:pt idx="47">
                  <c:v>1.0265878877400296</c:v>
                </c:pt>
                <c:pt idx="48">
                  <c:v>1.0240431795878313</c:v>
                </c:pt>
                <c:pt idx="49">
                  <c:v>1.0205278592375366</c:v>
                </c:pt>
                <c:pt idx="50">
                  <c:v>1.0145208131655372</c:v>
                </c:pt>
                <c:pt idx="51">
                  <c:v>1.0086330935251799</c:v>
                </c:pt>
                <c:pt idx="52">
                  <c:v>0.97172975563009101</c:v>
                </c:pt>
                <c:pt idx="53">
                  <c:v>0.93582375478927204</c:v>
                </c:pt>
                <c:pt idx="54">
                  <c:v>0.91984732824427484</c:v>
                </c:pt>
                <c:pt idx="55">
                  <c:v>0.90537327627199227</c:v>
                </c:pt>
                <c:pt idx="56">
                  <c:v>0.89546351084812614</c:v>
                </c:pt>
                <c:pt idx="57">
                  <c:v>0.88638689866939613</c:v>
                </c:pt>
                <c:pt idx="58">
                  <c:v>0.88692946058091293</c:v>
                </c:pt>
                <c:pt idx="59">
                  <c:v>0.87342436974789917</c:v>
                </c:pt>
                <c:pt idx="60">
                  <c:v>0.88436123348017615</c:v>
                </c:pt>
                <c:pt idx="61">
                  <c:v>0.93418013856812931</c:v>
                </c:pt>
                <c:pt idx="62">
                  <c:v>0.94853801169590624</c:v>
                </c:pt>
                <c:pt idx="63">
                  <c:v>0.99398677089597132</c:v>
                </c:pt>
                <c:pt idx="64">
                  <c:v>1.0155666251556663</c:v>
                </c:pt>
                <c:pt idx="65">
                  <c:v>1.0030902348578492</c:v>
                </c:pt>
                <c:pt idx="66">
                  <c:v>0.996300863131936</c:v>
                </c:pt>
                <c:pt idx="67">
                  <c:v>0.97277676950998171</c:v>
                </c:pt>
                <c:pt idx="68">
                  <c:v>0.9858982219497241</c:v>
                </c:pt>
                <c:pt idx="69">
                  <c:v>0.99199014171287747</c:v>
                </c:pt>
                <c:pt idx="70">
                  <c:v>1.0018564356435644</c:v>
                </c:pt>
                <c:pt idx="71">
                  <c:v>1.0136815920398012</c:v>
                </c:pt>
                <c:pt idx="72">
                  <c:v>1.0460199004975126</c:v>
                </c:pt>
                <c:pt idx="73">
                  <c:v>1.0627329192546582</c:v>
                </c:pt>
                <c:pt idx="74">
                  <c:v>1.0759728227300802</c:v>
                </c:pt>
                <c:pt idx="75">
                  <c:v>1.0871165644171779</c:v>
                </c:pt>
                <c:pt idx="76">
                  <c:v>1.0832342449464922</c:v>
                </c:pt>
                <c:pt idx="77">
                  <c:v>1.0677966101694916</c:v>
                </c:pt>
                <c:pt idx="78">
                  <c:v>1.0619977037887485</c:v>
                </c:pt>
                <c:pt idx="79">
                  <c:v>1.0558690744920995</c:v>
                </c:pt>
                <c:pt idx="80">
                  <c:v>1.0521405049396269</c:v>
                </c:pt>
                <c:pt idx="81">
                  <c:v>1.0678708264915162</c:v>
                </c:pt>
                <c:pt idx="82">
                  <c:v>1.0616216216216217</c:v>
                </c:pt>
                <c:pt idx="83">
                  <c:v>1.051309460181721</c:v>
                </c:pt>
                <c:pt idx="84">
                  <c:v>1.0010432968179446</c:v>
                </c:pt>
                <c:pt idx="85">
                  <c:v>0.96822142491030239</c:v>
                </c:pt>
                <c:pt idx="86">
                  <c:v>0.94195519348268841</c:v>
                </c:pt>
                <c:pt idx="87">
                  <c:v>0.92933401118454495</c:v>
                </c:pt>
                <c:pt idx="88">
                  <c:v>0.94319958311620633</c:v>
                </c:pt>
                <c:pt idx="89">
                  <c:v>0.94706193753308632</c:v>
                </c:pt>
                <c:pt idx="90">
                  <c:v>0.9605405405405405</c:v>
                </c:pt>
                <c:pt idx="91">
                  <c:v>0.96717724288840257</c:v>
                </c:pt>
                <c:pt idx="92">
                  <c:v>0.99834254143646406</c:v>
                </c:pt>
                <c:pt idx="93">
                  <c:v>0.97428731134712121</c:v>
                </c:pt>
                <c:pt idx="94">
                  <c:v>1.0292628024760833</c:v>
                </c:pt>
                <c:pt idx="95">
                  <c:v>1.005656108597285</c:v>
                </c:pt>
                <c:pt idx="96">
                  <c:v>1.0016602102933039</c:v>
                </c:pt>
                <c:pt idx="97">
                  <c:v>1.0235226620768789</c:v>
                </c:pt>
                <c:pt idx="98">
                  <c:v>1.032258064516129</c:v>
                </c:pt>
                <c:pt idx="99">
                  <c:v>1.029808773903262</c:v>
                </c:pt>
                <c:pt idx="100">
                  <c:v>1.0265193370165744</c:v>
                </c:pt>
                <c:pt idx="101">
                  <c:v>1.077914798206278</c:v>
                </c:pt>
                <c:pt idx="102">
                  <c:v>1.0111228813559323</c:v>
                </c:pt>
                <c:pt idx="103">
                  <c:v>1.0797378481703988</c:v>
                </c:pt>
                <c:pt idx="104">
                  <c:v>1.1017222820236814</c:v>
                </c:pt>
                <c:pt idx="105">
                  <c:v>1.0998439937597504</c:v>
                </c:pt>
                <c:pt idx="106">
                  <c:v>1.0984808800419068</c:v>
                </c:pt>
                <c:pt idx="107">
                  <c:v>1.095599393019727</c:v>
                </c:pt>
                <c:pt idx="108">
                  <c:v>1.0825598436736688</c:v>
                </c:pt>
                <c:pt idx="109">
                  <c:v>1.0449172576832153</c:v>
                </c:pt>
                <c:pt idx="110">
                  <c:v>1.0748688602765857</c:v>
                </c:pt>
                <c:pt idx="111">
                  <c:v>1.059095106186519</c:v>
                </c:pt>
                <c:pt idx="112">
                  <c:v>1.0446750902527075</c:v>
                </c:pt>
                <c:pt idx="113">
                  <c:v>1.0457013574660632</c:v>
                </c:pt>
                <c:pt idx="114">
                  <c:v>1.0403726708074534</c:v>
                </c:pt>
                <c:pt idx="115">
                  <c:v>1.023539668700959</c:v>
                </c:pt>
                <c:pt idx="116">
                  <c:v>1.0267818574514038</c:v>
                </c:pt>
                <c:pt idx="117">
                  <c:v>1.0376460406750325</c:v>
                </c:pt>
                <c:pt idx="118">
                  <c:v>1.0255863539445629</c:v>
                </c:pt>
              </c:numCache>
            </c:numRef>
          </c:xVal>
          <c:yVal>
            <c:numRef>
              <c:f>'Model1 Dallas'!$C$27:$C$145</c:f>
              <c:numCache>
                <c:formatCode>General</c:formatCode>
                <c:ptCount val="119"/>
                <c:pt idx="0">
                  <c:v>-0.79250880577503224</c:v>
                </c:pt>
                <c:pt idx="1">
                  <c:v>-0.92549252397988191</c:v>
                </c:pt>
                <c:pt idx="2">
                  <c:v>-1.1671123131045418</c:v>
                </c:pt>
                <c:pt idx="3">
                  <c:v>-1.3968135283772867</c:v>
                </c:pt>
                <c:pt idx="4">
                  <c:v>-1.4235705208642626</c:v>
                </c:pt>
                <c:pt idx="5">
                  <c:v>-1.0830015347594397</c:v>
                </c:pt>
                <c:pt idx="6">
                  <c:v>-0.37766317335949839</c:v>
                </c:pt>
                <c:pt idx="7">
                  <c:v>0.15894864367289419</c:v>
                </c:pt>
                <c:pt idx="8">
                  <c:v>0.15252420139541822</c:v>
                </c:pt>
                <c:pt idx="9">
                  <c:v>0.3930455264269872</c:v>
                </c:pt>
                <c:pt idx="10">
                  <c:v>0.29012096919641461</c:v>
                </c:pt>
                <c:pt idx="11">
                  <c:v>0.28200277482738034</c:v>
                </c:pt>
                <c:pt idx="12">
                  <c:v>0.45493587829803328</c:v>
                </c:pt>
                <c:pt idx="13">
                  <c:v>0.2146214123728738</c:v>
                </c:pt>
                <c:pt idx="14">
                  <c:v>0.4235980364496017</c:v>
                </c:pt>
                <c:pt idx="15">
                  <c:v>0.22941209816059249</c:v>
                </c:pt>
                <c:pt idx="16">
                  <c:v>0.74931322425425151</c:v>
                </c:pt>
                <c:pt idx="17">
                  <c:v>1.5166239388777978</c:v>
                </c:pt>
                <c:pt idx="18">
                  <c:v>2.4414689046788824</c:v>
                </c:pt>
                <c:pt idx="19">
                  <c:v>3.3060121189665725</c:v>
                </c:pt>
                <c:pt idx="20">
                  <c:v>2.8986508501779618</c:v>
                </c:pt>
                <c:pt idx="21">
                  <c:v>2.3411946251414673</c:v>
                </c:pt>
                <c:pt idx="22">
                  <c:v>0.84941843986637977</c:v>
                </c:pt>
                <c:pt idx="23">
                  <c:v>0.26672512750409183</c:v>
                </c:pt>
                <c:pt idx="24">
                  <c:v>0.218607094151821</c:v>
                </c:pt>
                <c:pt idx="25">
                  <c:v>-0.12727790509270065</c:v>
                </c:pt>
                <c:pt idx="26">
                  <c:v>-0.18602910315867227</c:v>
                </c:pt>
                <c:pt idx="27">
                  <c:v>-0.48973622391896754</c:v>
                </c:pt>
                <c:pt idx="28">
                  <c:v>-0.49289085086750717</c:v>
                </c:pt>
                <c:pt idx="29">
                  <c:v>-0.89471454864753497</c:v>
                </c:pt>
                <c:pt idx="30">
                  <c:v>-0.27752547852114162</c:v>
                </c:pt>
                <c:pt idx="31">
                  <c:v>-0.16838887715068118</c:v>
                </c:pt>
                <c:pt idx="32">
                  <c:v>-1.0760604927913029</c:v>
                </c:pt>
                <c:pt idx="33">
                  <c:v>-0.63854387933947443</c:v>
                </c:pt>
                <c:pt idx="34">
                  <c:v>-0.91093228098218937</c:v>
                </c:pt>
                <c:pt idx="35">
                  <c:v>-0.83989079598943661</c:v>
                </c:pt>
                <c:pt idx="36">
                  <c:v>0.10313556106906496</c:v>
                </c:pt>
                <c:pt idx="37">
                  <c:v>0.20924868437039024</c:v>
                </c:pt>
                <c:pt idx="38">
                  <c:v>1.2508844895776114</c:v>
                </c:pt>
                <c:pt idx="39">
                  <c:v>1.4215597319146376</c:v>
                </c:pt>
                <c:pt idx="40">
                  <c:v>1.1700423293004896</c:v>
                </c:pt>
                <c:pt idx="41">
                  <c:v>0.71356154086990919</c:v>
                </c:pt>
                <c:pt idx="42">
                  <c:v>-0.59086652036785559</c:v>
                </c:pt>
                <c:pt idx="43">
                  <c:v>-1.0691246009248729</c:v>
                </c:pt>
                <c:pt idx="44">
                  <c:v>-1.1781299263434386</c:v>
                </c:pt>
                <c:pt idx="45">
                  <c:v>-0.95754061949762903</c:v>
                </c:pt>
                <c:pt idx="46">
                  <c:v>-0.43983685739798162</c:v>
                </c:pt>
                <c:pt idx="47">
                  <c:v>0.21737409670721064</c:v>
                </c:pt>
                <c:pt idx="48">
                  <c:v>0.57223359386040151</c:v>
                </c:pt>
                <c:pt idx="49">
                  <c:v>0.36074349570283459</c:v>
                </c:pt>
                <c:pt idx="50">
                  <c:v>0.28636546749054403</c:v>
                </c:pt>
                <c:pt idx="51">
                  <c:v>0.19494763929889736</c:v>
                </c:pt>
                <c:pt idx="52">
                  <c:v>-0.27209757135388735</c:v>
                </c:pt>
                <c:pt idx="53">
                  <c:v>-2.3138883035356272E-2</c:v>
                </c:pt>
                <c:pt idx="54">
                  <c:v>0.18996167798465535</c:v>
                </c:pt>
                <c:pt idx="55">
                  <c:v>0.44744262185085582</c:v>
                </c:pt>
                <c:pt idx="56">
                  <c:v>0.59570291170650513</c:v>
                </c:pt>
                <c:pt idx="57">
                  <c:v>0.47357956676819057</c:v>
                </c:pt>
                <c:pt idx="58">
                  <c:v>0.75719314877730426</c:v>
                </c:pt>
                <c:pt idx="59">
                  <c:v>0.18201943068782178</c:v>
                </c:pt>
                <c:pt idx="60">
                  <c:v>7.5227437664171504E-2</c:v>
                </c:pt>
                <c:pt idx="61">
                  <c:v>-0.11064954613465261</c:v>
                </c:pt>
                <c:pt idx="62">
                  <c:v>-0.82808852931561461</c:v>
                </c:pt>
                <c:pt idx="63">
                  <c:v>-0.57527613160397095</c:v>
                </c:pt>
                <c:pt idx="64">
                  <c:v>-0.59737057411311856</c:v>
                </c:pt>
                <c:pt idx="65">
                  <c:v>-0.7330088789943856</c:v>
                </c:pt>
                <c:pt idx="66">
                  <c:v>-0.48410253070480458</c:v>
                </c:pt>
                <c:pt idx="67">
                  <c:v>-0.57105582946982292</c:v>
                </c:pt>
                <c:pt idx="68">
                  <c:v>-0.41661893806281647</c:v>
                </c:pt>
                <c:pt idx="69">
                  <c:v>-0.38251330927078175</c:v>
                </c:pt>
                <c:pt idx="70">
                  <c:v>-0.50130737482594423</c:v>
                </c:pt>
                <c:pt idx="71">
                  <c:v>-0.65629998331935457</c:v>
                </c:pt>
                <c:pt idx="72">
                  <c:v>-0.96613016707654076</c:v>
                </c:pt>
                <c:pt idx="73">
                  <c:v>-0.83030813817417037</c:v>
                </c:pt>
                <c:pt idx="74">
                  <c:v>-0.70567106360851461</c:v>
                </c:pt>
                <c:pt idx="75">
                  <c:v>-0.53421768126337277</c:v>
                </c:pt>
                <c:pt idx="76">
                  <c:v>-0.36924782725528793</c:v>
                </c:pt>
                <c:pt idx="77">
                  <c:v>-0.36485435260238663</c:v>
                </c:pt>
                <c:pt idx="78">
                  <c:v>-0.1904559261236658</c:v>
                </c:pt>
                <c:pt idx="79">
                  <c:v>-0.12225558457748065</c:v>
                </c:pt>
                <c:pt idx="80">
                  <c:v>-7.9337083753747706E-3</c:v>
                </c:pt>
                <c:pt idx="81">
                  <c:v>-0.56687848136487862</c:v>
                </c:pt>
                <c:pt idx="82">
                  <c:v>-0.97942079458607623</c:v>
                </c:pt>
                <c:pt idx="83">
                  <c:v>-0.87421109581571077</c:v>
                </c:pt>
                <c:pt idx="84">
                  <c:v>-0.60171985091692726</c:v>
                </c:pt>
                <c:pt idx="85">
                  <c:v>0.12075988436147167</c:v>
                </c:pt>
                <c:pt idx="86">
                  <c:v>0.93415676850799212</c:v>
                </c:pt>
                <c:pt idx="87">
                  <c:v>1.1982322643848855</c:v>
                </c:pt>
                <c:pt idx="88">
                  <c:v>1.1157425799994929</c:v>
                </c:pt>
                <c:pt idx="89">
                  <c:v>0.77314774199230296</c:v>
                </c:pt>
                <c:pt idx="90">
                  <c:v>0.4156441011652463</c:v>
                </c:pt>
                <c:pt idx="91">
                  <c:v>0.14884533276899425</c:v>
                </c:pt>
                <c:pt idx="92">
                  <c:v>-0.1476404619163656</c:v>
                </c:pt>
                <c:pt idx="93">
                  <c:v>-0.31959423957519295</c:v>
                </c:pt>
                <c:pt idx="94">
                  <c:v>-0.3651038094328598</c:v>
                </c:pt>
                <c:pt idx="95">
                  <c:v>-0.44511842552337644</c:v>
                </c:pt>
                <c:pt idx="96">
                  <c:v>-0.34357181969103046</c:v>
                </c:pt>
                <c:pt idx="97">
                  <c:v>-3.0147875958160597E-2</c:v>
                </c:pt>
                <c:pt idx="98">
                  <c:v>0.24728778885682079</c:v>
                </c:pt>
                <c:pt idx="99">
                  <c:v>0.35670340640969922</c:v>
                </c:pt>
                <c:pt idx="100">
                  <c:v>0.21730469156831589</c:v>
                </c:pt>
                <c:pt idx="101">
                  <c:v>0.17351649914902456</c:v>
                </c:pt>
                <c:pt idx="102">
                  <c:v>-3.9038480281928578E-2</c:v>
                </c:pt>
                <c:pt idx="103">
                  <c:v>0.19025853588670394</c:v>
                </c:pt>
                <c:pt idx="104">
                  <c:v>0.3769333001435422</c:v>
                </c:pt>
                <c:pt idx="105">
                  <c:v>0.49142796431746749</c:v>
                </c:pt>
                <c:pt idx="106">
                  <c:v>0.46123482081087275</c:v>
                </c:pt>
                <c:pt idx="107">
                  <c:v>0.31529253230857091</c:v>
                </c:pt>
                <c:pt idx="108">
                  <c:v>0.21891313626474229</c:v>
                </c:pt>
                <c:pt idx="109">
                  <c:v>-5.9398103347071185E-2</c:v>
                </c:pt>
                <c:pt idx="110">
                  <c:v>-8.9189591384724487E-2</c:v>
                </c:pt>
                <c:pt idx="111">
                  <c:v>-8.0134761712944425E-2</c:v>
                </c:pt>
                <c:pt idx="112">
                  <c:v>4.8460277012969399E-2</c:v>
                </c:pt>
                <c:pt idx="113">
                  <c:v>0.17844009854374843</c:v>
                </c:pt>
                <c:pt idx="114">
                  <c:v>0.22347803984955217</c:v>
                </c:pt>
                <c:pt idx="115">
                  <c:v>-0.12686410907018608</c:v>
                </c:pt>
                <c:pt idx="116">
                  <c:v>-0.45732030788370448</c:v>
                </c:pt>
                <c:pt idx="117">
                  <c:v>-0.62894687356731005</c:v>
                </c:pt>
                <c:pt idx="118">
                  <c:v>-0.71367408182228598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4B-48EA-AE91-0F5A87224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220288"/>
        <c:axId val="699218848"/>
      </c:scatterChart>
      <c:valAx>
        <c:axId val="69922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9218848"/>
        <c:crosses val="autoZero"/>
        <c:crossBetween val="midCat"/>
      </c:valAx>
      <c:valAx>
        <c:axId val="699218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9220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Dallas!$M$6:$M$124</c:f>
              <c:numCache>
                <c:formatCode>General</c:formatCode>
                <c:ptCount val="119"/>
                <c:pt idx="0">
                  <c:v>4.3479179999999999</c:v>
                </c:pt>
                <c:pt idx="1">
                  <c:v>4.3234870000000001</c:v>
                </c:pt>
                <c:pt idx="2">
                  <c:v>4.4051850000000004</c:v>
                </c:pt>
                <c:pt idx="3">
                  <c:v>4.5665009999999997</c:v>
                </c:pt>
                <c:pt idx="4">
                  <c:v>4.776186</c:v>
                </c:pt>
                <c:pt idx="5">
                  <c:v>4.7628370000000002</c:v>
                </c:pt>
                <c:pt idx="6">
                  <c:v>4.6169599999999997</c:v>
                </c:pt>
                <c:pt idx="7">
                  <c:v>4.49498</c:v>
                </c:pt>
                <c:pt idx="8">
                  <c:v>4.6169570000000002</c:v>
                </c:pt>
                <c:pt idx="9">
                  <c:v>4.8016819999999996</c:v>
                </c:pt>
                <c:pt idx="10">
                  <c:v>5.2319659999999999</c:v>
                </c:pt>
                <c:pt idx="11">
                  <c:v>5.5856120000000002</c:v>
                </c:pt>
                <c:pt idx="12">
                  <c:v>5.6896829999999996</c:v>
                </c:pt>
                <c:pt idx="13">
                  <c:v>6.0473460000000001</c:v>
                </c:pt>
                <c:pt idx="14">
                  <c:v>6.2918609999999999</c:v>
                </c:pt>
                <c:pt idx="15">
                  <c:v>6.5132519999999996</c:v>
                </c:pt>
                <c:pt idx="16">
                  <c:v>6.8464859999999996</c:v>
                </c:pt>
                <c:pt idx="17">
                  <c:v>7.0462300000000004</c:v>
                </c:pt>
                <c:pt idx="18">
                  <c:v>7.4888440000000003</c:v>
                </c:pt>
                <c:pt idx="19">
                  <c:v>7.4364439999999998</c:v>
                </c:pt>
                <c:pt idx="20">
                  <c:v>8.1919059999999995</c:v>
                </c:pt>
                <c:pt idx="21">
                  <c:v>9.0988279999999992</c:v>
                </c:pt>
                <c:pt idx="22">
                  <c:v>10.247389999999999</c:v>
                </c:pt>
                <c:pt idx="23">
                  <c:v>11.06343</c:v>
                </c:pt>
                <c:pt idx="24">
                  <c:v>11.190899999999999</c:v>
                </c:pt>
                <c:pt idx="25">
                  <c:v>11.329739999999999</c:v>
                </c:pt>
                <c:pt idx="26">
                  <c:v>10.762779999999999</c:v>
                </c:pt>
                <c:pt idx="27">
                  <c:v>10.88693</c:v>
                </c:pt>
                <c:pt idx="28">
                  <c:v>11.01376</c:v>
                </c:pt>
                <c:pt idx="29">
                  <c:v>10.937530000000001</c:v>
                </c:pt>
                <c:pt idx="30">
                  <c:v>10.379519999999999</c:v>
                </c:pt>
                <c:pt idx="31">
                  <c:v>10.195489999999999</c:v>
                </c:pt>
                <c:pt idx="32">
                  <c:v>10.29513</c:v>
                </c:pt>
                <c:pt idx="33">
                  <c:v>9.7417850000000001</c:v>
                </c:pt>
                <c:pt idx="34">
                  <c:v>9.8103230000000003</c:v>
                </c:pt>
                <c:pt idx="35">
                  <c:v>9.6557410000000008</c:v>
                </c:pt>
                <c:pt idx="36">
                  <c:v>8.7117900000000006</c:v>
                </c:pt>
                <c:pt idx="37">
                  <c:v>8.6881799999999991</c:v>
                </c:pt>
                <c:pt idx="38">
                  <c:v>8.5117989999999999</c:v>
                </c:pt>
                <c:pt idx="39">
                  <c:v>8.4162099999999995</c:v>
                </c:pt>
                <c:pt idx="40">
                  <c:v>8.5918759999999992</c:v>
                </c:pt>
                <c:pt idx="41">
                  <c:v>8.6885940000000002</c:v>
                </c:pt>
                <c:pt idx="42">
                  <c:v>9.4660489999999999</c:v>
                </c:pt>
                <c:pt idx="43">
                  <c:v>9.4580660000000005</c:v>
                </c:pt>
                <c:pt idx="44">
                  <c:v>9.4437820000000006</c:v>
                </c:pt>
                <c:pt idx="45">
                  <c:v>9.2001150000000003</c:v>
                </c:pt>
                <c:pt idx="46">
                  <c:v>8.5219930000000002</c:v>
                </c:pt>
                <c:pt idx="47">
                  <c:v>7.9863999999999997</c:v>
                </c:pt>
                <c:pt idx="48">
                  <c:v>7.9028520000000002</c:v>
                </c:pt>
                <c:pt idx="49">
                  <c:v>7.9873120000000002</c:v>
                </c:pt>
                <c:pt idx="50">
                  <c:v>8.0204850000000008</c:v>
                </c:pt>
                <c:pt idx="51">
                  <c:v>8.2998860000000008</c:v>
                </c:pt>
                <c:pt idx="52">
                  <c:v>8.6412530000000007</c:v>
                </c:pt>
                <c:pt idx="53">
                  <c:v>8.4604700000000008</c:v>
                </c:pt>
                <c:pt idx="54">
                  <c:v>8.3760549999999991</c:v>
                </c:pt>
                <c:pt idx="55">
                  <c:v>8.476801</c:v>
                </c:pt>
                <c:pt idx="56">
                  <c:v>8.2713490000000007</c:v>
                </c:pt>
                <c:pt idx="57">
                  <c:v>8.4654249999999998</c:v>
                </c:pt>
                <c:pt idx="58">
                  <c:v>8.5887360000000008</c:v>
                </c:pt>
                <c:pt idx="59">
                  <c:v>8.916658</c:v>
                </c:pt>
                <c:pt idx="60">
                  <c:v>8.9603560000000009</c:v>
                </c:pt>
                <c:pt idx="61">
                  <c:v>9.0201209999999996</c:v>
                </c:pt>
                <c:pt idx="62">
                  <c:v>9.2713429999999999</c:v>
                </c:pt>
                <c:pt idx="63">
                  <c:v>8.9498750000000005</c:v>
                </c:pt>
                <c:pt idx="64">
                  <c:v>8.8479840000000003</c:v>
                </c:pt>
                <c:pt idx="65">
                  <c:v>8.5818159999999999</c:v>
                </c:pt>
                <c:pt idx="66">
                  <c:v>8.1493889999999993</c:v>
                </c:pt>
                <c:pt idx="67">
                  <c:v>8.0673960000000005</c:v>
                </c:pt>
                <c:pt idx="68">
                  <c:v>7.8799409999999996</c:v>
                </c:pt>
                <c:pt idx="69">
                  <c:v>7.636755</c:v>
                </c:pt>
                <c:pt idx="70">
                  <c:v>7.48672</c:v>
                </c:pt>
                <c:pt idx="71">
                  <c:v>7.3494619999999999</c:v>
                </c:pt>
                <c:pt idx="72">
                  <c:v>7.3459219999999998</c:v>
                </c:pt>
                <c:pt idx="73">
                  <c:v>7.1428099999999999</c:v>
                </c:pt>
                <c:pt idx="74">
                  <c:v>6.8912269999999998</c:v>
                </c:pt>
                <c:pt idx="75">
                  <c:v>6.645931</c:v>
                </c:pt>
                <c:pt idx="76">
                  <c:v>6.2943090000000002</c:v>
                </c:pt>
                <c:pt idx="77">
                  <c:v>6.3125989999999996</c:v>
                </c:pt>
                <c:pt idx="78">
                  <c:v>6.1756950000000002</c:v>
                </c:pt>
                <c:pt idx="79">
                  <c:v>6.0807989999999998</c:v>
                </c:pt>
                <c:pt idx="80">
                  <c:v>5.9653809999999998</c:v>
                </c:pt>
                <c:pt idx="81">
                  <c:v>6.0375079999999999</c:v>
                </c:pt>
                <c:pt idx="82">
                  <c:v>6.0893329999999999</c:v>
                </c:pt>
                <c:pt idx="83">
                  <c:v>6.0118220000000004</c:v>
                </c:pt>
                <c:pt idx="84">
                  <c:v>5.9383400000000002</c:v>
                </c:pt>
                <c:pt idx="85">
                  <c:v>5.4489239999999999</c:v>
                </c:pt>
                <c:pt idx="86">
                  <c:v>5.0869499999999999</c:v>
                </c:pt>
                <c:pt idx="87">
                  <c:v>5.042719</c:v>
                </c:pt>
                <c:pt idx="88">
                  <c:v>5.2557429999999998</c:v>
                </c:pt>
                <c:pt idx="89">
                  <c:v>5.7166930000000002</c:v>
                </c:pt>
                <c:pt idx="90">
                  <c:v>6.3018859999999997</c:v>
                </c:pt>
                <c:pt idx="91">
                  <c:v>6.5409709999999999</c:v>
                </c:pt>
                <c:pt idx="92">
                  <c:v>6.6551920000000004</c:v>
                </c:pt>
                <c:pt idx="93">
                  <c:v>6.6559990000000004</c:v>
                </c:pt>
                <c:pt idx="94">
                  <c:v>6.6521379999999999</c:v>
                </c:pt>
                <c:pt idx="95">
                  <c:v>6.5899089999999996</c:v>
                </c:pt>
                <c:pt idx="96">
                  <c:v>6.431476</c:v>
                </c:pt>
                <c:pt idx="97">
                  <c:v>6.2583799999999998</c:v>
                </c:pt>
                <c:pt idx="98">
                  <c:v>5.9919070000000003</c:v>
                </c:pt>
                <c:pt idx="99">
                  <c:v>5.8391690000000001</c:v>
                </c:pt>
                <c:pt idx="100">
                  <c:v>5.8134629999999996</c:v>
                </c:pt>
                <c:pt idx="101">
                  <c:v>5.9112580000000001</c:v>
                </c:pt>
                <c:pt idx="102">
                  <c:v>5.9212300000000004</c:v>
                </c:pt>
                <c:pt idx="103">
                  <c:v>5.9173429999999998</c:v>
                </c:pt>
                <c:pt idx="104">
                  <c:v>5.8012639999999998</c:v>
                </c:pt>
                <c:pt idx="105">
                  <c:v>5.7605589999999998</c:v>
                </c:pt>
                <c:pt idx="106">
                  <c:v>5.7827099999999998</c:v>
                </c:pt>
                <c:pt idx="107">
                  <c:v>5.9019550000000001</c:v>
                </c:pt>
                <c:pt idx="108">
                  <c:v>5.9586389999999998</c:v>
                </c:pt>
                <c:pt idx="109">
                  <c:v>6.0187619999999997</c:v>
                </c:pt>
                <c:pt idx="110">
                  <c:v>5.9897369999999999</c:v>
                </c:pt>
                <c:pt idx="111">
                  <c:v>5.912293</c:v>
                </c:pt>
                <c:pt idx="112">
                  <c:v>5.8351980000000001</c:v>
                </c:pt>
                <c:pt idx="113">
                  <c:v>5.7008010000000002</c:v>
                </c:pt>
                <c:pt idx="114">
                  <c:v>5.6069170000000002</c:v>
                </c:pt>
                <c:pt idx="115">
                  <c:v>5.5717590000000001</c:v>
                </c:pt>
                <c:pt idx="116">
                  <c:v>5.6148210000000001</c:v>
                </c:pt>
                <c:pt idx="117">
                  <c:v>5.6039760000000003</c:v>
                </c:pt>
                <c:pt idx="118">
                  <c:v>5.5490820000000003</c:v>
                </c:pt>
              </c:numCache>
            </c:numRef>
          </c:xVal>
          <c:yVal>
            <c:numRef>
              <c:f>'Model 2 DAL'!$C$28:$C$146</c:f>
              <c:numCache>
                <c:formatCode>General</c:formatCode>
                <c:ptCount val="119"/>
                <c:pt idx="0">
                  <c:v>-0.88269309827938169</c:v>
                </c:pt>
                <c:pt idx="1">
                  <c:v>-1.0472371802702805</c:v>
                </c:pt>
                <c:pt idx="2">
                  <c:v>-1.2732724103960775</c:v>
                </c:pt>
                <c:pt idx="3">
                  <c:v>-1.4595394974663041</c:v>
                </c:pt>
                <c:pt idx="4">
                  <c:v>-1.4414939892706</c:v>
                </c:pt>
                <c:pt idx="5">
                  <c:v>-0.98818539539530903</c:v>
                </c:pt>
                <c:pt idx="6">
                  <c:v>-0.31986952358109022</c:v>
                </c:pt>
                <c:pt idx="7">
                  <c:v>0.21139461186403619</c:v>
                </c:pt>
                <c:pt idx="8">
                  <c:v>0.26828382494170189</c:v>
                </c:pt>
                <c:pt idx="9">
                  <c:v>0.3760360565748071</c:v>
                </c:pt>
                <c:pt idx="10">
                  <c:v>0.45103811626043377</c:v>
                </c:pt>
                <c:pt idx="11">
                  <c:v>0.59647423425776758</c:v>
                </c:pt>
                <c:pt idx="12">
                  <c:v>0.63498039758492641</c:v>
                </c:pt>
                <c:pt idx="13">
                  <c:v>0.33419360108651031</c:v>
                </c:pt>
                <c:pt idx="14">
                  <c:v>0.39468409799166437</c:v>
                </c:pt>
                <c:pt idx="15">
                  <c:v>0.10240427401800822</c:v>
                </c:pt>
                <c:pt idx="16">
                  <c:v>0.61856608938973423</c:v>
                </c:pt>
                <c:pt idx="17">
                  <c:v>1.4140022307542939</c:v>
                </c:pt>
                <c:pt idx="18">
                  <c:v>2.4059454603297254</c:v>
                </c:pt>
                <c:pt idx="19">
                  <c:v>3.2662707889718376</c:v>
                </c:pt>
                <c:pt idx="20">
                  <c:v>2.9223231855833163</c:v>
                </c:pt>
                <c:pt idx="21">
                  <c:v>2.3989924484838294</c:v>
                </c:pt>
                <c:pt idx="22">
                  <c:v>0.91362368854099785</c:v>
                </c:pt>
                <c:pt idx="23">
                  <c:v>0.34552973583303981</c:v>
                </c:pt>
                <c:pt idx="24">
                  <c:v>0.2243373822430943</c:v>
                </c:pt>
                <c:pt idx="25">
                  <c:v>-0.22140570250129521</c:v>
                </c:pt>
                <c:pt idx="26">
                  <c:v>-0.23578571622149624</c:v>
                </c:pt>
                <c:pt idx="27">
                  <c:v>-0.62359706703755435</c:v>
                </c:pt>
                <c:pt idx="28">
                  <c:v>-0.55040178976592102</c:v>
                </c:pt>
                <c:pt idx="29">
                  <c:v>-0.83996727052073794</c:v>
                </c:pt>
                <c:pt idx="30">
                  <c:v>-0.29444964372141058</c:v>
                </c:pt>
                <c:pt idx="31">
                  <c:v>-0.16710536560851885</c:v>
                </c:pt>
                <c:pt idx="32">
                  <c:v>-1.0551020414081727</c:v>
                </c:pt>
                <c:pt idx="33">
                  <c:v>-0.69505636653963521</c:v>
                </c:pt>
                <c:pt idx="34">
                  <c:v>-0.95548341259026159</c:v>
                </c:pt>
                <c:pt idx="35">
                  <c:v>-0.79670533550262235</c:v>
                </c:pt>
                <c:pt idx="36">
                  <c:v>5.5189453685283496E-2</c:v>
                </c:pt>
                <c:pt idx="37">
                  <c:v>3.8249256757081795E-2</c:v>
                </c:pt>
                <c:pt idx="38">
                  <c:v>1.0933518651030152</c:v>
                </c:pt>
                <c:pt idx="39">
                  <c:v>1.2255825439059205</c:v>
                </c:pt>
                <c:pt idx="40">
                  <c:v>0.94251920413306856</c:v>
                </c:pt>
                <c:pt idx="41">
                  <c:v>0.51596769485008309</c:v>
                </c:pt>
                <c:pt idx="42">
                  <c:v>-0.7339955816341881</c:v>
                </c:pt>
                <c:pt idx="43">
                  <c:v>-1.1805232230371416</c:v>
                </c:pt>
                <c:pt idx="44">
                  <c:v>-1.28886953808854</c:v>
                </c:pt>
                <c:pt idx="45">
                  <c:v>-1.043250111725647</c:v>
                </c:pt>
                <c:pt idx="46">
                  <c:v>-0.52623809002627198</c:v>
                </c:pt>
                <c:pt idx="47">
                  <c:v>0.14685501325118722</c:v>
                </c:pt>
                <c:pt idx="48">
                  <c:v>0.58603077988725794</c:v>
                </c:pt>
                <c:pt idx="49">
                  <c:v>0.40487926412225406</c:v>
                </c:pt>
                <c:pt idx="50">
                  <c:v>0.38481077238263062</c:v>
                </c:pt>
                <c:pt idx="51">
                  <c:v>0.32113875173586059</c:v>
                </c:pt>
                <c:pt idx="52">
                  <c:v>-9.8398061565934114E-2</c:v>
                </c:pt>
                <c:pt idx="53">
                  <c:v>0.11813176006667092</c:v>
                </c:pt>
                <c:pt idx="54">
                  <c:v>0.24012019525038752</c:v>
                </c:pt>
                <c:pt idx="55">
                  <c:v>0.3803943837866921</c:v>
                </c:pt>
                <c:pt idx="56">
                  <c:v>0.38904016776109884</c:v>
                </c:pt>
                <c:pt idx="57">
                  <c:v>0.2858977189003582</c:v>
                </c:pt>
                <c:pt idx="58">
                  <c:v>0.68064982769533167</c:v>
                </c:pt>
                <c:pt idx="59">
                  <c:v>0.25339673457833278</c:v>
                </c:pt>
                <c:pt idx="60">
                  <c:v>0.27815284768051285</c:v>
                </c:pt>
                <c:pt idx="61">
                  <c:v>-5.8129564780074361E-2</c:v>
                </c:pt>
                <c:pt idx="62">
                  <c:v>-0.78020175432298444</c:v>
                </c:pt>
                <c:pt idx="63">
                  <c:v>-0.58312781605679653</c:v>
                </c:pt>
                <c:pt idx="64">
                  <c:v>-0.62168492335006942</c:v>
                </c:pt>
                <c:pt idx="65">
                  <c:v>-0.6391912037480596</c:v>
                </c:pt>
                <c:pt idx="66">
                  <c:v>-0.39753813205185828</c:v>
                </c:pt>
                <c:pt idx="67">
                  <c:v>-0.35099084678918313</c:v>
                </c:pt>
                <c:pt idx="68">
                  <c:v>-0.27341335748307039</c:v>
                </c:pt>
                <c:pt idx="69">
                  <c:v>-0.25488602476811639</c:v>
                </c:pt>
                <c:pt idx="70">
                  <c:v>-0.22756332666766799</c:v>
                </c:pt>
                <c:pt idx="71">
                  <c:v>-0.43343419631410729</c:v>
                </c:pt>
                <c:pt idx="72">
                  <c:v>-0.75135998516079816</c:v>
                </c:pt>
                <c:pt idx="73">
                  <c:v>-0.61994260462071704</c:v>
                </c:pt>
                <c:pt idx="74">
                  <c:v>-0.59126607428251976</c:v>
                </c:pt>
                <c:pt idx="75">
                  <c:v>-0.64612964891478963</c:v>
                </c:pt>
                <c:pt idx="76">
                  <c:v>-0.41259665421699854</c:v>
                </c:pt>
                <c:pt idx="77">
                  <c:v>-0.37789737613690999</c:v>
                </c:pt>
                <c:pt idx="78">
                  <c:v>-0.25303443380126112</c:v>
                </c:pt>
                <c:pt idx="79">
                  <c:v>0.1409212078217994</c:v>
                </c:pt>
                <c:pt idx="80">
                  <c:v>0.31658424378505501</c:v>
                </c:pt>
                <c:pt idx="81">
                  <c:v>-0.2287701790474177</c:v>
                </c:pt>
                <c:pt idx="82">
                  <c:v>-0.47432014172254888</c:v>
                </c:pt>
                <c:pt idx="83">
                  <c:v>-0.95654622308730985</c:v>
                </c:pt>
                <c:pt idx="84">
                  <c:v>-0.95062300758851404</c:v>
                </c:pt>
                <c:pt idx="85">
                  <c:v>-0.41238493416603372</c:v>
                </c:pt>
                <c:pt idx="86">
                  <c:v>0.26471924246060397</c:v>
                </c:pt>
                <c:pt idx="87">
                  <c:v>1.0700278129172291</c:v>
                </c:pt>
                <c:pt idx="88">
                  <c:v>1.1221204180466424</c:v>
                </c:pt>
                <c:pt idx="89">
                  <c:v>0.70793662393504686</c:v>
                </c:pt>
                <c:pt idx="90">
                  <c:v>0.31822122732850655</c:v>
                </c:pt>
                <c:pt idx="91">
                  <c:v>5.4357717555608254E-2</c:v>
                </c:pt>
                <c:pt idx="92">
                  <c:v>-0.1276200074006546</c:v>
                </c:pt>
                <c:pt idx="93">
                  <c:v>-6.9387626664005886E-2</c:v>
                </c:pt>
                <c:pt idx="94">
                  <c:v>1.7643292312987668E-3</c:v>
                </c:pt>
                <c:pt idx="95">
                  <c:v>-0.11346206114663993</c:v>
                </c:pt>
                <c:pt idx="96">
                  <c:v>-0.1044065561830001</c:v>
                </c:pt>
                <c:pt idx="97">
                  <c:v>5.4694603481543425E-2</c:v>
                </c:pt>
                <c:pt idx="98">
                  <c:v>0.3028491148257535</c:v>
                </c:pt>
                <c:pt idx="99">
                  <c:v>0.44156234508226522</c:v>
                </c:pt>
                <c:pt idx="100">
                  <c:v>0.25512005545237315</c:v>
                </c:pt>
                <c:pt idx="101">
                  <c:v>0.14826202048091996</c:v>
                </c:pt>
                <c:pt idx="102">
                  <c:v>-9.4447704435408397E-2</c:v>
                </c:pt>
                <c:pt idx="103">
                  <c:v>7.1609996924055785E-2</c:v>
                </c:pt>
                <c:pt idx="104">
                  <c:v>0.28949502507843583</c:v>
                </c:pt>
                <c:pt idx="105">
                  <c:v>0.52690902066548961</c:v>
                </c:pt>
                <c:pt idx="106">
                  <c:v>0.45646250809324052</c:v>
                </c:pt>
                <c:pt idx="107">
                  <c:v>0.22215806175571551</c:v>
                </c:pt>
                <c:pt idx="108">
                  <c:v>-6.9325474158715039E-2</c:v>
                </c:pt>
                <c:pt idx="109">
                  <c:v>-0.33011499514627296</c:v>
                </c:pt>
                <c:pt idx="110">
                  <c:v>-0.34779919368219137</c:v>
                </c:pt>
                <c:pt idx="111">
                  <c:v>-0.29434610673961714</c:v>
                </c:pt>
                <c:pt idx="112">
                  <c:v>-4.2467790198943867E-2</c:v>
                </c:pt>
                <c:pt idx="113">
                  <c:v>0.11680843606900115</c:v>
                </c:pt>
                <c:pt idx="114">
                  <c:v>0.18230941062564732</c:v>
                </c:pt>
                <c:pt idx="115">
                  <c:v>-9.7568834419747397E-2</c:v>
                </c:pt>
                <c:pt idx="116">
                  <c:v>-0.31530809628590273</c:v>
                </c:pt>
                <c:pt idx="117">
                  <c:v>-0.5953469353973091</c:v>
                </c:pt>
                <c:pt idx="118">
                  <c:v>-0.6690726787685195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3-4F7D-98FD-2B06FC551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14416"/>
        <c:axId val="1217526896"/>
      </c:scatterChart>
      <c:valAx>
        <c:axId val="121751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6896"/>
        <c:crosses val="autoZero"/>
        <c:crossBetween val="midCat"/>
      </c:valAx>
      <c:valAx>
        <c:axId val="1217526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4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DAL'!$C$28:$C$146</c:f>
              <c:numCache>
                <c:formatCode>General</c:formatCode>
                <c:ptCount val="119"/>
                <c:pt idx="0">
                  <c:v>-0.88269309827938169</c:v>
                </c:pt>
                <c:pt idx="1">
                  <c:v>-1.0472371802702805</c:v>
                </c:pt>
                <c:pt idx="2">
                  <c:v>-1.2732724103960775</c:v>
                </c:pt>
                <c:pt idx="3">
                  <c:v>-1.4595394974663041</c:v>
                </c:pt>
                <c:pt idx="4">
                  <c:v>-1.4414939892706</c:v>
                </c:pt>
                <c:pt idx="5">
                  <c:v>-0.98818539539530903</c:v>
                </c:pt>
                <c:pt idx="6">
                  <c:v>-0.31986952358109022</c:v>
                </c:pt>
                <c:pt idx="7">
                  <c:v>0.21139461186403619</c:v>
                </c:pt>
                <c:pt idx="8">
                  <c:v>0.26828382494170189</c:v>
                </c:pt>
                <c:pt idx="9">
                  <c:v>0.3760360565748071</c:v>
                </c:pt>
                <c:pt idx="10">
                  <c:v>0.45103811626043377</c:v>
                </c:pt>
                <c:pt idx="11">
                  <c:v>0.59647423425776758</c:v>
                </c:pt>
                <c:pt idx="12">
                  <c:v>0.63498039758492641</c:v>
                </c:pt>
                <c:pt idx="13">
                  <c:v>0.33419360108651031</c:v>
                </c:pt>
                <c:pt idx="14">
                  <c:v>0.39468409799166437</c:v>
                </c:pt>
                <c:pt idx="15">
                  <c:v>0.10240427401800822</c:v>
                </c:pt>
                <c:pt idx="16">
                  <c:v>0.61856608938973423</c:v>
                </c:pt>
                <c:pt idx="17">
                  <c:v>1.4140022307542939</c:v>
                </c:pt>
                <c:pt idx="18">
                  <c:v>2.4059454603297254</c:v>
                </c:pt>
                <c:pt idx="19">
                  <c:v>3.2662707889718376</c:v>
                </c:pt>
                <c:pt idx="20">
                  <c:v>2.9223231855833163</c:v>
                </c:pt>
                <c:pt idx="21">
                  <c:v>2.3989924484838294</c:v>
                </c:pt>
                <c:pt idx="22">
                  <c:v>0.91362368854099785</c:v>
                </c:pt>
                <c:pt idx="23">
                  <c:v>0.34552973583303981</c:v>
                </c:pt>
                <c:pt idx="24">
                  <c:v>0.2243373822430943</c:v>
                </c:pt>
                <c:pt idx="25">
                  <c:v>-0.22140570250129521</c:v>
                </c:pt>
                <c:pt idx="26">
                  <c:v>-0.23578571622149624</c:v>
                </c:pt>
                <c:pt idx="27">
                  <c:v>-0.62359706703755435</c:v>
                </c:pt>
                <c:pt idx="28">
                  <c:v>-0.55040178976592102</c:v>
                </c:pt>
                <c:pt idx="29">
                  <c:v>-0.83996727052073794</c:v>
                </c:pt>
                <c:pt idx="30">
                  <c:v>-0.29444964372141058</c:v>
                </c:pt>
                <c:pt idx="31">
                  <c:v>-0.16710536560851885</c:v>
                </c:pt>
                <c:pt idx="32">
                  <c:v>-1.0551020414081727</c:v>
                </c:pt>
                <c:pt idx="33">
                  <c:v>-0.69505636653963521</c:v>
                </c:pt>
                <c:pt idx="34">
                  <c:v>-0.95548341259026159</c:v>
                </c:pt>
                <c:pt idx="35">
                  <c:v>-0.79670533550262235</c:v>
                </c:pt>
                <c:pt idx="36">
                  <c:v>5.5189453685283496E-2</c:v>
                </c:pt>
                <c:pt idx="37">
                  <c:v>3.8249256757081795E-2</c:v>
                </c:pt>
                <c:pt idx="38">
                  <c:v>1.0933518651030152</c:v>
                </c:pt>
                <c:pt idx="39">
                  <c:v>1.2255825439059205</c:v>
                </c:pt>
                <c:pt idx="40">
                  <c:v>0.94251920413306856</c:v>
                </c:pt>
                <c:pt idx="41">
                  <c:v>0.51596769485008309</c:v>
                </c:pt>
                <c:pt idx="42">
                  <c:v>-0.7339955816341881</c:v>
                </c:pt>
                <c:pt idx="43">
                  <c:v>-1.1805232230371416</c:v>
                </c:pt>
                <c:pt idx="44">
                  <c:v>-1.28886953808854</c:v>
                </c:pt>
                <c:pt idx="45">
                  <c:v>-1.043250111725647</c:v>
                </c:pt>
                <c:pt idx="46">
                  <c:v>-0.52623809002627198</c:v>
                </c:pt>
                <c:pt idx="47">
                  <c:v>0.14685501325118722</c:v>
                </c:pt>
                <c:pt idx="48">
                  <c:v>0.58603077988725794</c:v>
                </c:pt>
                <c:pt idx="49">
                  <c:v>0.40487926412225406</c:v>
                </c:pt>
                <c:pt idx="50">
                  <c:v>0.38481077238263062</c:v>
                </c:pt>
                <c:pt idx="51">
                  <c:v>0.32113875173586059</c:v>
                </c:pt>
                <c:pt idx="52">
                  <c:v>-9.8398061565934114E-2</c:v>
                </c:pt>
                <c:pt idx="53">
                  <c:v>0.11813176006667092</c:v>
                </c:pt>
                <c:pt idx="54">
                  <c:v>0.24012019525038752</c:v>
                </c:pt>
                <c:pt idx="55">
                  <c:v>0.3803943837866921</c:v>
                </c:pt>
                <c:pt idx="56">
                  <c:v>0.38904016776109884</c:v>
                </c:pt>
                <c:pt idx="57">
                  <c:v>0.2858977189003582</c:v>
                </c:pt>
                <c:pt idx="58">
                  <c:v>0.68064982769533167</c:v>
                </c:pt>
                <c:pt idx="59">
                  <c:v>0.25339673457833278</c:v>
                </c:pt>
                <c:pt idx="60">
                  <c:v>0.27815284768051285</c:v>
                </c:pt>
                <c:pt idx="61">
                  <c:v>-5.8129564780074361E-2</c:v>
                </c:pt>
                <c:pt idx="62">
                  <c:v>-0.78020175432298444</c:v>
                </c:pt>
                <c:pt idx="63">
                  <c:v>-0.58312781605679653</c:v>
                </c:pt>
                <c:pt idx="64">
                  <c:v>-0.62168492335006942</c:v>
                </c:pt>
                <c:pt idx="65">
                  <c:v>-0.6391912037480596</c:v>
                </c:pt>
                <c:pt idx="66">
                  <c:v>-0.39753813205185828</c:v>
                </c:pt>
                <c:pt idx="67">
                  <c:v>-0.35099084678918313</c:v>
                </c:pt>
                <c:pt idx="68">
                  <c:v>-0.27341335748307039</c:v>
                </c:pt>
                <c:pt idx="69">
                  <c:v>-0.25488602476811639</c:v>
                </c:pt>
                <c:pt idx="70">
                  <c:v>-0.22756332666766799</c:v>
                </c:pt>
                <c:pt idx="71">
                  <c:v>-0.43343419631410729</c:v>
                </c:pt>
                <c:pt idx="72">
                  <c:v>-0.75135998516079816</c:v>
                </c:pt>
                <c:pt idx="73">
                  <c:v>-0.61994260462071704</c:v>
                </c:pt>
                <c:pt idx="74">
                  <c:v>-0.59126607428251976</c:v>
                </c:pt>
                <c:pt idx="75">
                  <c:v>-0.64612964891478963</c:v>
                </c:pt>
                <c:pt idx="76">
                  <c:v>-0.41259665421699854</c:v>
                </c:pt>
                <c:pt idx="77">
                  <c:v>-0.37789737613690999</c:v>
                </c:pt>
                <c:pt idx="78">
                  <c:v>-0.25303443380126112</c:v>
                </c:pt>
                <c:pt idx="79">
                  <c:v>0.1409212078217994</c:v>
                </c:pt>
                <c:pt idx="80">
                  <c:v>0.31658424378505501</c:v>
                </c:pt>
                <c:pt idx="81">
                  <c:v>-0.2287701790474177</c:v>
                </c:pt>
                <c:pt idx="82">
                  <c:v>-0.47432014172254888</c:v>
                </c:pt>
                <c:pt idx="83">
                  <c:v>-0.95654622308730985</c:v>
                </c:pt>
                <c:pt idx="84">
                  <c:v>-0.95062300758851404</c:v>
                </c:pt>
                <c:pt idx="85">
                  <c:v>-0.41238493416603372</c:v>
                </c:pt>
                <c:pt idx="86">
                  <c:v>0.26471924246060397</c:v>
                </c:pt>
                <c:pt idx="87">
                  <c:v>1.0700278129172291</c:v>
                </c:pt>
                <c:pt idx="88">
                  <c:v>1.1221204180466424</c:v>
                </c:pt>
                <c:pt idx="89">
                  <c:v>0.70793662393504686</c:v>
                </c:pt>
                <c:pt idx="90">
                  <c:v>0.31822122732850655</c:v>
                </c:pt>
                <c:pt idx="91">
                  <c:v>5.4357717555608254E-2</c:v>
                </c:pt>
                <c:pt idx="92">
                  <c:v>-0.1276200074006546</c:v>
                </c:pt>
                <c:pt idx="93">
                  <c:v>-6.9387626664005886E-2</c:v>
                </c:pt>
                <c:pt idx="94">
                  <c:v>1.7643292312987668E-3</c:v>
                </c:pt>
                <c:pt idx="95">
                  <c:v>-0.11346206114663993</c:v>
                </c:pt>
                <c:pt idx="96">
                  <c:v>-0.1044065561830001</c:v>
                </c:pt>
                <c:pt idx="97">
                  <c:v>5.4694603481543425E-2</c:v>
                </c:pt>
                <c:pt idx="98">
                  <c:v>0.3028491148257535</c:v>
                </c:pt>
                <c:pt idx="99">
                  <c:v>0.44156234508226522</c:v>
                </c:pt>
                <c:pt idx="100">
                  <c:v>0.25512005545237315</c:v>
                </c:pt>
                <c:pt idx="101">
                  <c:v>0.14826202048091996</c:v>
                </c:pt>
                <c:pt idx="102">
                  <c:v>-9.4447704435408397E-2</c:v>
                </c:pt>
                <c:pt idx="103">
                  <c:v>7.1609996924055785E-2</c:v>
                </c:pt>
                <c:pt idx="104">
                  <c:v>0.28949502507843583</c:v>
                </c:pt>
                <c:pt idx="105">
                  <c:v>0.52690902066548961</c:v>
                </c:pt>
                <c:pt idx="106">
                  <c:v>0.45646250809324052</c:v>
                </c:pt>
                <c:pt idx="107">
                  <c:v>0.22215806175571551</c:v>
                </c:pt>
                <c:pt idx="108">
                  <c:v>-6.9325474158715039E-2</c:v>
                </c:pt>
                <c:pt idx="109">
                  <c:v>-0.33011499514627296</c:v>
                </c:pt>
                <c:pt idx="110">
                  <c:v>-0.34779919368219137</c:v>
                </c:pt>
                <c:pt idx="111">
                  <c:v>-0.29434610673961714</c:v>
                </c:pt>
                <c:pt idx="112">
                  <c:v>-4.2467790198943867E-2</c:v>
                </c:pt>
                <c:pt idx="113">
                  <c:v>0.11680843606900115</c:v>
                </c:pt>
                <c:pt idx="114">
                  <c:v>0.18230941062564732</c:v>
                </c:pt>
                <c:pt idx="115">
                  <c:v>-9.7568834419747397E-2</c:v>
                </c:pt>
                <c:pt idx="116">
                  <c:v>-0.31530809628590273</c:v>
                </c:pt>
                <c:pt idx="117">
                  <c:v>-0.5953469353973091</c:v>
                </c:pt>
                <c:pt idx="118">
                  <c:v>-0.6690726787685195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21-46CA-98AF-C784EBC78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8816"/>
        <c:axId val="1217529296"/>
      </c:scatterChart>
      <c:valAx>
        <c:axId val="121752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9296"/>
        <c:crosses val="autoZero"/>
        <c:crossBetween val="midCat"/>
      </c:valAx>
      <c:valAx>
        <c:axId val="1217529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Dallas!$O$6:$O$124</c:f>
              <c:numCache>
                <c:formatCode>General</c:formatCode>
                <c:ptCount val="119"/>
                <c:pt idx="0">
                  <c:v>0.92435577722360762</c:v>
                </c:pt>
                <c:pt idx="1">
                  <c:v>0.88852188274153598</c:v>
                </c:pt>
                <c:pt idx="2">
                  <c:v>0.89067796610169481</c:v>
                </c:pt>
                <c:pt idx="3">
                  <c:v>0.89295039164490864</c:v>
                </c:pt>
                <c:pt idx="4">
                  <c:v>0.93435251798561159</c:v>
                </c:pt>
                <c:pt idx="5">
                  <c:v>0.97769516728624528</c:v>
                </c:pt>
                <c:pt idx="6">
                  <c:v>1.0066603235014273</c:v>
                </c:pt>
                <c:pt idx="7">
                  <c:v>1.0360623781676415</c:v>
                </c:pt>
                <c:pt idx="8">
                  <c:v>1.0818094321462945</c:v>
                </c:pt>
                <c:pt idx="9">
                  <c:v>1.1292775665399242</c:v>
                </c:pt>
                <c:pt idx="10">
                  <c:v>1.1398865784499055</c:v>
                </c:pt>
                <c:pt idx="11">
                  <c:v>1.1514581373471307</c:v>
                </c:pt>
                <c:pt idx="12">
                  <c:v>1.0693950177935942</c:v>
                </c:pt>
                <c:pt idx="13">
                  <c:v>0.99410774410774405</c:v>
                </c:pt>
                <c:pt idx="14">
                  <c:v>0.95936981757877282</c:v>
                </c:pt>
                <c:pt idx="15">
                  <c:v>0.92647058823529405</c:v>
                </c:pt>
                <c:pt idx="16">
                  <c:v>0.94925124792013316</c:v>
                </c:pt>
                <c:pt idx="17">
                  <c:v>0.97290431837425906</c:v>
                </c:pt>
                <c:pt idx="18">
                  <c:v>0.98789974070872943</c:v>
                </c:pt>
                <c:pt idx="19">
                  <c:v>1.0026455026455026</c:v>
                </c:pt>
                <c:pt idx="20">
                  <c:v>1.0148992112182296</c:v>
                </c:pt>
                <c:pt idx="21">
                  <c:v>1.0269799825935597</c:v>
                </c:pt>
                <c:pt idx="22">
                  <c:v>1.0131233595800526</c:v>
                </c:pt>
                <c:pt idx="23">
                  <c:v>0.99912049252418644</c:v>
                </c:pt>
                <c:pt idx="24">
                  <c:v>1.0043177892918826</c:v>
                </c:pt>
                <c:pt idx="25">
                  <c:v>1.0093220338983051</c:v>
                </c:pt>
                <c:pt idx="26">
                  <c:v>1.0474956822107082</c:v>
                </c:pt>
                <c:pt idx="27">
                  <c:v>1.0880281690140845</c:v>
                </c:pt>
                <c:pt idx="28">
                  <c:v>1.0541702493551159</c:v>
                </c:pt>
                <c:pt idx="29">
                  <c:v>1.0218303946263645</c:v>
                </c:pt>
                <c:pt idx="30">
                  <c:v>1.0445177246496289</c:v>
                </c:pt>
                <c:pt idx="31">
                  <c:v>1.068770226537217</c:v>
                </c:pt>
                <c:pt idx="32">
                  <c:v>1.1427406199021206</c:v>
                </c:pt>
                <c:pt idx="33">
                  <c:v>1.220213640098603</c:v>
                </c:pt>
                <c:pt idx="34">
                  <c:v>1.2028413575374901</c:v>
                </c:pt>
                <c:pt idx="35">
                  <c:v>1.1839515518546555</c:v>
                </c:pt>
                <c:pt idx="36">
                  <c:v>1.1905781584582442</c:v>
                </c:pt>
                <c:pt idx="37">
                  <c:v>1.1973063973063973</c:v>
                </c:pt>
                <c:pt idx="38">
                  <c:v>1.2230971128608925</c:v>
                </c:pt>
                <c:pt idx="39">
                  <c:v>1.25</c:v>
                </c:pt>
                <c:pt idx="40">
                  <c:v>1.1642685851318946</c:v>
                </c:pt>
                <c:pt idx="41">
                  <c:v>1.0843644544431945</c:v>
                </c:pt>
                <c:pt idx="42">
                  <c:v>1.061695278969957</c:v>
                </c:pt>
                <c:pt idx="43">
                  <c:v>1.0388746803069053</c:v>
                </c:pt>
                <c:pt idx="44">
                  <c:v>1.0494335736354272</c:v>
                </c:pt>
                <c:pt idx="45">
                  <c:v>1.0612033195020747</c:v>
                </c:pt>
                <c:pt idx="46">
                  <c:v>1.0439615967660436</c:v>
                </c:pt>
                <c:pt idx="47">
                  <c:v>1.0265878877400296</c:v>
                </c:pt>
                <c:pt idx="48">
                  <c:v>1.0240431795878313</c:v>
                </c:pt>
                <c:pt idx="49">
                  <c:v>1.0205278592375366</c:v>
                </c:pt>
                <c:pt idx="50">
                  <c:v>1.0145208131655372</c:v>
                </c:pt>
                <c:pt idx="51">
                  <c:v>1.0086330935251799</c:v>
                </c:pt>
                <c:pt idx="52">
                  <c:v>0.97172975563009101</c:v>
                </c:pt>
                <c:pt idx="53">
                  <c:v>0.93582375478927204</c:v>
                </c:pt>
                <c:pt idx="54">
                  <c:v>0.91984732824427484</c:v>
                </c:pt>
                <c:pt idx="55">
                  <c:v>0.90537327627199227</c:v>
                </c:pt>
                <c:pt idx="56">
                  <c:v>0.89546351084812614</c:v>
                </c:pt>
                <c:pt idx="57">
                  <c:v>0.88638689866939613</c:v>
                </c:pt>
                <c:pt idx="58">
                  <c:v>0.88692946058091293</c:v>
                </c:pt>
                <c:pt idx="59">
                  <c:v>0.87342436974789917</c:v>
                </c:pt>
                <c:pt idx="60">
                  <c:v>0.88436123348017615</c:v>
                </c:pt>
                <c:pt idx="61">
                  <c:v>0.93418013856812931</c:v>
                </c:pt>
                <c:pt idx="62">
                  <c:v>0.94853801169590624</c:v>
                </c:pt>
                <c:pt idx="63">
                  <c:v>0.99398677089597132</c:v>
                </c:pt>
                <c:pt idx="64">
                  <c:v>1.0155666251556663</c:v>
                </c:pt>
                <c:pt idx="65">
                  <c:v>1.0030902348578492</c:v>
                </c:pt>
                <c:pt idx="66">
                  <c:v>0.996300863131936</c:v>
                </c:pt>
                <c:pt idx="67">
                  <c:v>0.97277676950998171</c:v>
                </c:pt>
                <c:pt idx="68">
                  <c:v>0.9858982219497241</c:v>
                </c:pt>
                <c:pt idx="69">
                  <c:v>0.99199014171287747</c:v>
                </c:pt>
                <c:pt idx="70">
                  <c:v>1.0018564356435644</c:v>
                </c:pt>
                <c:pt idx="71">
                  <c:v>1.0136815920398012</c:v>
                </c:pt>
                <c:pt idx="72">
                  <c:v>1.0460199004975126</c:v>
                </c:pt>
                <c:pt idx="73">
                  <c:v>1.0627329192546582</c:v>
                </c:pt>
                <c:pt idx="74">
                  <c:v>1.0759728227300802</c:v>
                </c:pt>
                <c:pt idx="75">
                  <c:v>1.0871165644171779</c:v>
                </c:pt>
                <c:pt idx="76">
                  <c:v>1.0832342449464922</c:v>
                </c:pt>
                <c:pt idx="77">
                  <c:v>1.0677966101694916</c:v>
                </c:pt>
                <c:pt idx="78">
                  <c:v>1.0619977037887485</c:v>
                </c:pt>
                <c:pt idx="79">
                  <c:v>1.0558690744920995</c:v>
                </c:pt>
                <c:pt idx="80">
                  <c:v>1.0521405049396269</c:v>
                </c:pt>
                <c:pt idx="81">
                  <c:v>1.0678708264915162</c:v>
                </c:pt>
                <c:pt idx="82">
                  <c:v>1.0616216216216217</c:v>
                </c:pt>
                <c:pt idx="83">
                  <c:v>1.051309460181721</c:v>
                </c:pt>
                <c:pt idx="84">
                  <c:v>1.0010432968179446</c:v>
                </c:pt>
                <c:pt idx="85">
                  <c:v>0.96822142491030239</c:v>
                </c:pt>
                <c:pt idx="86">
                  <c:v>0.94195519348268841</c:v>
                </c:pt>
                <c:pt idx="87">
                  <c:v>0.92933401118454495</c:v>
                </c:pt>
                <c:pt idx="88">
                  <c:v>0.94319958311620633</c:v>
                </c:pt>
                <c:pt idx="89">
                  <c:v>0.94706193753308632</c:v>
                </c:pt>
                <c:pt idx="90">
                  <c:v>0.9605405405405405</c:v>
                </c:pt>
                <c:pt idx="91">
                  <c:v>0.96717724288840257</c:v>
                </c:pt>
                <c:pt idx="92">
                  <c:v>0.99834254143646406</c:v>
                </c:pt>
                <c:pt idx="93">
                  <c:v>0.97428731134712121</c:v>
                </c:pt>
                <c:pt idx="94">
                  <c:v>1.0292628024760833</c:v>
                </c:pt>
                <c:pt idx="95">
                  <c:v>1.005656108597285</c:v>
                </c:pt>
                <c:pt idx="96">
                  <c:v>1.0016602102933039</c:v>
                </c:pt>
                <c:pt idx="97">
                  <c:v>1.0235226620768789</c:v>
                </c:pt>
                <c:pt idx="98">
                  <c:v>1.032258064516129</c:v>
                </c:pt>
                <c:pt idx="99">
                  <c:v>1.029808773903262</c:v>
                </c:pt>
                <c:pt idx="100">
                  <c:v>1.0265193370165744</c:v>
                </c:pt>
                <c:pt idx="101">
                  <c:v>1.077914798206278</c:v>
                </c:pt>
                <c:pt idx="102">
                  <c:v>1.0111228813559323</c:v>
                </c:pt>
                <c:pt idx="103">
                  <c:v>1.0797378481703988</c:v>
                </c:pt>
                <c:pt idx="104">
                  <c:v>1.1017222820236814</c:v>
                </c:pt>
                <c:pt idx="105">
                  <c:v>1.0998439937597504</c:v>
                </c:pt>
                <c:pt idx="106">
                  <c:v>1.0984808800419068</c:v>
                </c:pt>
                <c:pt idx="107">
                  <c:v>1.095599393019727</c:v>
                </c:pt>
                <c:pt idx="108">
                  <c:v>1.0825598436736688</c:v>
                </c:pt>
                <c:pt idx="109">
                  <c:v>1.0449172576832153</c:v>
                </c:pt>
                <c:pt idx="110">
                  <c:v>1.0748688602765857</c:v>
                </c:pt>
                <c:pt idx="111">
                  <c:v>1.059095106186519</c:v>
                </c:pt>
                <c:pt idx="112">
                  <c:v>1.0446750902527075</c:v>
                </c:pt>
                <c:pt idx="113">
                  <c:v>1.0457013574660632</c:v>
                </c:pt>
                <c:pt idx="114">
                  <c:v>1.0403726708074534</c:v>
                </c:pt>
                <c:pt idx="115">
                  <c:v>1.023539668700959</c:v>
                </c:pt>
                <c:pt idx="116">
                  <c:v>1.0267818574514038</c:v>
                </c:pt>
                <c:pt idx="117">
                  <c:v>1.0376460406750325</c:v>
                </c:pt>
                <c:pt idx="118">
                  <c:v>1.0255863539445629</c:v>
                </c:pt>
              </c:numCache>
            </c:numRef>
          </c:xVal>
          <c:yVal>
            <c:numRef>
              <c:f>'Model 2 DAL'!$C$28:$C$146</c:f>
              <c:numCache>
                <c:formatCode>General</c:formatCode>
                <c:ptCount val="119"/>
                <c:pt idx="0">
                  <c:v>-0.88269309827938169</c:v>
                </c:pt>
                <c:pt idx="1">
                  <c:v>-1.0472371802702805</c:v>
                </c:pt>
                <c:pt idx="2">
                  <c:v>-1.2732724103960775</c:v>
                </c:pt>
                <c:pt idx="3">
                  <c:v>-1.4595394974663041</c:v>
                </c:pt>
                <c:pt idx="4">
                  <c:v>-1.4414939892706</c:v>
                </c:pt>
                <c:pt idx="5">
                  <c:v>-0.98818539539530903</c:v>
                </c:pt>
                <c:pt idx="6">
                  <c:v>-0.31986952358109022</c:v>
                </c:pt>
                <c:pt idx="7">
                  <c:v>0.21139461186403619</c:v>
                </c:pt>
                <c:pt idx="8">
                  <c:v>0.26828382494170189</c:v>
                </c:pt>
                <c:pt idx="9">
                  <c:v>0.3760360565748071</c:v>
                </c:pt>
                <c:pt idx="10">
                  <c:v>0.45103811626043377</c:v>
                </c:pt>
                <c:pt idx="11">
                  <c:v>0.59647423425776758</c:v>
                </c:pt>
                <c:pt idx="12">
                  <c:v>0.63498039758492641</c:v>
                </c:pt>
                <c:pt idx="13">
                  <c:v>0.33419360108651031</c:v>
                </c:pt>
                <c:pt idx="14">
                  <c:v>0.39468409799166437</c:v>
                </c:pt>
                <c:pt idx="15">
                  <c:v>0.10240427401800822</c:v>
                </c:pt>
                <c:pt idx="16">
                  <c:v>0.61856608938973423</c:v>
                </c:pt>
                <c:pt idx="17">
                  <c:v>1.4140022307542939</c:v>
                </c:pt>
                <c:pt idx="18">
                  <c:v>2.4059454603297254</c:v>
                </c:pt>
                <c:pt idx="19">
                  <c:v>3.2662707889718376</c:v>
                </c:pt>
                <c:pt idx="20">
                  <c:v>2.9223231855833163</c:v>
                </c:pt>
                <c:pt idx="21">
                  <c:v>2.3989924484838294</c:v>
                </c:pt>
                <c:pt idx="22">
                  <c:v>0.91362368854099785</c:v>
                </c:pt>
                <c:pt idx="23">
                  <c:v>0.34552973583303981</c:v>
                </c:pt>
                <c:pt idx="24">
                  <c:v>0.2243373822430943</c:v>
                </c:pt>
                <c:pt idx="25">
                  <c:v>-0.22140570250129521</c:v>
                </c:pt>
                <c:pt idx="26">
                  <c:v>-0.23578571622149624</c:v>
                </c:pt>
                <c:pt idx="27">
                  <c:v>-0.62359706703755435</c:v>
                </c:pt>
                <c:pt idx="28">
                  <c:v>-0.55040178976592102</c:v>
                </c:pt>
                <c:pt idx="29">
                  <c:v>-0.83996727052073794</c:v>
                </c:pt>
                <c:pt idx="30">
                  <c:v>-0.29444964372141058</c:v>
                </c:pt>
                <c:pt idx="31">
                  <c:v>-0.16710536560851885</c:v>
                </c:pt>
                <c:pt idx="32">
                  <c:v>-1.0551020414081727</c:v>
                </c:pt>
                <c:pt idx="33">
                  <c:v>-0.69505636653963521</c:v>
                </c:pt>
                <c:pt idx="34">
                  <c:v>-0.95548341259026159</c:v>
                </c:pt>
                <c:pt idx="35">
                  <c:v>-0.79670533550262235</c:v>
                </c:pt>
                <c:pt idx="36">
                  <c:v>5.5189453685283496E-2</c:v>
                </c:pt>
                <c:pt idx="37">
                  <c:v>3.8249256757081795E-2</c:v>
                </c:pt>
                <c:pt idx="38">
                  <c:v>1.0933518651030152</c:v>
                </c:pt>
                <c:pt idx="39">
                  <c:v>1.2255825439059205</c:v>
                </c:pt>
                <c:pt idx="40">
                  <c:v>0.94251920413306856</c:v>
                </c:pt>
                <c:pt idx="41">
                  <c:v>0.51596769485008309</c:v>
                </c:pt>
                <c:pt idx="42">
                  <c:v>-0.7339955816341881</c:v>
                </c:pt>
                <c:pt idx="43">
                  <c:v>-1.1805232230371416</c:v>
                </c:pt>
                <c:pt idx="44">
                  <c:v>-1.28886953808854</c:v>
                </c:pt>
                <c:pt idx="45">
                  <c:v>-1.043250111725647</c:v>
                </c:pt>
                <c:pt idx="46">
                  <c:v>-0.52623809002627198</c:v>
                </c:pt>
                <c:pt idx="47">
                  <c:v>0.14685501325118722</c:v>
                </c:pt>
                <c:pt idx="48">
                  <c:v>0.58603077988725794</c:v>
                </c:pt>
                <c:pt idx="49">
                  <c:v>0.40487926412225406</c:v>
                </c:pt>
                <c:pt idx="50">
                  <c:v>0.38481077238263062</c:v>
                </c:pt>
                <c:pt idx="51">
                  <c:v>0.32113875173586059</c:v>
                </c:pt>
                <c:pt idx="52">
                  <c:v>-9.8398061565934114E-2</c:v>
                </c:pt>
                <c:pt idx="53">
                  <c:v>0.11813176006667092</c:v>
                </c:pt>
                <c:pt idx="54">
                  <c:v>0.24012019525038752</c:v>
                </c:pt>
                <c:pt idx="55">
                  <c:v>0.3803943837866921</c:v>
                </c:pt>
                <c:pt idx="56">
                  <c:v>0.38904016776109884</c:v>
                </c:pt>
                <c:pt idx="57">
                  <c:v>0.2858977189003582</c:v>
                </c:pt>
                <c:pt idx="58">
                  <c:v>0.68064982769533167</c:v>
                </c:pt>
                <c:pt idx="59">
                  <c:v>0.25339673457833278</c:v>
                </c:pt>
                <c:pt idx="60">
                  <c:v>0.27815284768051285</c:v>
                </c:pt>
                <c:pt idx="61">
                  <c:v>-5.8129564780074361E-2</c:v>
                </c:pt>
                <c:pt idx="62">
                  <c:v>-0.78020175432298444</c:v>
                </c:pt>
                <c:pt idx="63">
                  <c:v>-0.58312781605679653</c:v>
                </c:pt>
                <c:pt idx="64">
                  <c:v>-0.62168492335006942</c:v>
                </c:pt>
                <c:pt idx="65">
                  <c:v>-0.6391912037480596</c:v>
                </c:pt>
                <c:pt idx="66">
                  <c:v>-0.39753813205185828</c:v>
                </c:pt>
                <c:pt idx="67">
                  <c:v>-0.35099084678918313</c:v>
                </c:pt>
                <c:pt idx="68">
                  <c:v>-0.27341335748307039</c:v>
                </c:pt>
                <c:pt idx="69">
                  <c:v>-0.25488602476811639</c:v>
                </c:pt>
                <c:pt idx="70">
                  <c:v>-0.22756332666766799</c:v>
                </c:pt>
                <c:pt idx="71">
                  <c:v>-0.43343419631410729</c:v>
                </c:pt>
                <c:pt idx="72">
                  <c:v>-0.75135998516079816</c:v>
                </c:pt>
                <c:pt idx="73">
                  <c:v>-0.61994260462071704</c:v>
                </c:pt>
                <c:pt idx="74">
                  <c:v>-0.59126607428251976</c:v>
                </c:pt>
                <c:pt idx="75">
                  <c:v>-0.64612964891478963</c:v>
                </c:pt>
                <c:pt idx="76">
                  <c:v>-0.41259665421699854</c:v>
                </c:pt>
                <c:pt idx="77">
                  <c:v>-0.37789737613690999</c:v>
                </c:pt>
                <c:pt idx="78">
                  <c:v>-0.25303443380126112</c:v>
                </c:pt>
                <c:pt idx="79">
                  <c:v>0.1409212078217994</c:v>
                </c:pt>
                <c:pt idx="80">
                  <c:v>0.31658424378505501</c:v>
                </c:pt>
                <c:pt idx="81">
                  <c:v>-0.2287701790474177</c:v>
                </c:pt>
                <c:pt idx="82">
                  <c:v>-0.47432014172254888</c:v>
                </c:pt>
                <c:pt idx="83">
                  <c:v>-0.95654622308730985</c:v>
                </c:pt>
                <c:pt idx="84">
                  <c:v>-0.95062300758851404</c:v>
                </c:pt>
                <c:pt idx="85">
                  <c:v>-0.41238493416603372</c:v>
                </c:pt>
                <c:pt idx="86">
                  <c:v>0.26471924246060397</c:v>
                </c:pt>
                <c:pt idx="87">
                  <c:v>1.0700278129172291</c:v>
                </c:pt>
                <c:pt idx="88">
                  <c:v>1.1221204180466424</c:v>
                </c:pt>
                <c:pt idx="89">
                  <c:v>0.70793662393504686</c:v>
                </c:pt>
                <c:pt idx="90">
                  <c:v>0.31822122732850655</c:v>
                </c:pt>
                <c:pt idx="91">
                  <c:v>5.4357717555608254E-2</c:v>
                </c:pt>
                <c:pt idx="92">
                  <c:v>-0.1276200074006546</c:v>
                </c:pt>
                <c:pt idx="93">
                  <c:v>-6.9387626664005886E-2</c:v>
                </c:pt>
                <c:pt idx="94">
                  <c:v>1.7643292312987668E-3</c:v>
                </c:pt>
                <c:pt idx="95">
                  <c:v>-0.11346206114663993</c:v>
                </c:pt>
                <c:pt idx="96">
                  <c:v>-0.1044065561830001</c:v>
                </c:pt>
                <c:pt idx="97">
                  <c:v>5.4694603481543425E-2</c:v>
                </c:pt>
                <c:pt idx="98">
                  <c:v>0.3028491148257535</c:v>
                </c:pt>
                <c:pt idx="99">
                  <c:v>0.44156234508226522</c:v>
                </c:pt>
                <c:pt idx="100">
                  <c:v>0.25512005545237315</c:v>
                </c:pt>
                <c:pt idx="101">
                  <c:v>0.14826202048091996</c:v>
                </c:pt>
                <c:pt idx="102">
                  <c:v>-9.4447704435408397E-2</c:v>
                </c:pt>
                <c:pt idx="103">
                  <c:v>7.1609996924055785E-2</c:v>
                </c:pt>
                <c:pt idx="104">
                  <c:v>0.28949502507843583</c:v>
                </c:pt>
                <c:pt idx="105">
                  <c:v>0.52690902066548961</c:v>
                </c:pt>
                <c:pt idx="106">
                  <c:v>0.45646250809324052</c:v>
                </c:pt>
                <c:pt idx="107">
                  <c:v>0.22215806175571551</c:v>
                </c:pt>
                <c:pt idx="108">
                  <c:v>-6.9325474158715039E-2</c:v>
                </c:pt>
                <c:pt idx="109">
                  <c:v>-0.33011499514627296</c:v>
                </c:pt>
                <c:pt idx="110">
                  <c:v>-0.34779919368219137</c:v>
                </c:pt>
                <c:pt idx="111">
                  <c:v>-0.29434610673961714</c:v>
                </c:pt>
                <c:pt idx="112">
                  <c:v>-4.2467790198943867E-2</c:v>
                </c:pt>
                <c:pt idx="113">
                  <c:v>0.11680843606900115</c:v>
                </c:pt>
                <c:pt idx="114">
                  <c:v>0.18230941062564732</c:v>
                </c:pt>
                <c:pt idx="115">
                  <c:v>-9.7568834419747397E-2</c:v>
                </c:pt>
                <c:pt idx="116">
                  <c:v>-0.31530809628590273</c:v>
                </c:pt>
                <c:pt idx="117">
                  <c:v>-0.5953469353973091</c:v>
                </c:pt>
                <c:pt idx="118">
                  <c:v>-0.6690726787685195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6C-4AD4-AB30-AB93BC053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15376"/>
        <c:axId val="1217524496"/>
      </c:scatterChart>
      <c:valAx>
        <c:axId val="121751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4496"/>
        <c:crosses val="autoZero"/>
        <c:crossBetween val="midCat"/>
      </c:valAx>
      <c:valAx>
        <c:axId val="121752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5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Dallas!$P$6:$P$124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DAL'!$C$28:$C$146</c:f>
              <c:numCache>
                <c:formatCode>General</c:formatCode>
                <c:ptCount val="119"/>
                <c:pt idx="0">
                  <c:v>-0.88269309827938169</c:v>
                </c:pt>
                <c:pt idx="1">
                  <c:v>-1.0472371802702805</c:v>
                </c:pt>
                <c:pt idx="2">
                  <c:v>-1.2732724103960775</c:v>
                </c:pt>
                <c:pt idx="3">
                  <c:v>-1.4595394974663041</c:v>
                </c:pt>
                <c:pt idx="4">
                  <c:v>-1.4414939892706</c:v>
                </c:pt>
                <c:pt idx="5">
                  <c:v>-0.98818539539530903</c:v>
                </c:pt>
                <c:pt idx="6">
                  <c:v>-0.31986952358109022</c:v>
                </c:pt>
                <c:pt idx="7">
                  <c:v>0.21139461186403619</c:v>
                </c:pt>
                <c:pt idx="8">
                  <c:v>0.26828382494170189</c:v>
                </c:pt>
                <c:pt idx="9">
                  <c:v>0.3760360565748071</c:v>
                </c:pt>
                <c:pt idx="10">
                  <c:v>0.45103811626043377</c:v>
                </c:pt>
                <c:pt idx="11">
                  <c:v>0.59647423425776758</c:v>
                </c:pt>
                <c:pt idx="12">
                  <c:v>0.63498039758492641</c:v>
                </c:pt>
                <c:pt idx="13">
                  <c:v>0.33419360108651031</c:v>
                </c:pt>
                <c:pt idx="14">
                  <c:v>0.39468409799166437</c:v>
                </c:pt>
                <c:pt idx="15">
                  <c:v>0.10240427401800822</c:v>
                </c:pt>
                <c:pt idx="16">
                  <c:v>0.61856608938973423</c:v>
                </c:pt>
                <c:pt idx="17">
                  <c:v>1.4140022307542939</c:v>
                </c:pt>
                <c:pt idx="18">
                  <c:v>2.4059454603297254</c:v>
                </c:pt>
                <c:pt idx="19">
                  <c:v>3.2662707889718376</c:v>
                </c:pt>
                <c:pt idx="20">
                  <c:v>2.9223231855833163</c:v>
                </c:pt>
                <c:pt idx="21">
                  <c:v>2.3989924484838294</c:v>
                </c:pt>
                <c:pt idx="22">
                  <c:v>0.91362368854099785</c:v>
                </c:pt>
                <c:pt idx="23">
                  <c:v>0.34552973583303981</c:v>
                </c:pt>
                <c:pt idx="24">
                  <c:v>0.2243373822430943</c:v>
                </c:pt>
                <c:pt idx="25">
                  <c:v>-0.22140570250129521</c:v>
                </c:pt>
                <c:pt idx="26">
                  <c:v>-0.23578571622149624</c:v>
                </c:pt>
                <c:pt idx="27">
                  <c:v>-0.62359706703755435</c:v>
                </c:pt>
                <c:pt idx="28">
                  <c:v>-0.55040178976592102</c:v>
                </c:pt>
                <c:pt idx="29">
                  <c:v>-0.83996727052073794</c:v>
                </c:pt>
                <c:pt idx="30">
                  <c:v>-0.29444964372141058</c:v>
                </c:pt>
                <c:pt idx="31">
                  <c:v>-0.16710536560851885</c:v>
                </c:pt>
                <c:pt idx="32">
                  <c:v>-1.0551020414081727</c:v>
                </c:pt>
                <c:pt idx="33">
                  <c:v>-0.69505636653963521</c:v>
                </c:pt>
                <c:pt idx="34">
                  <c:v>-0.95548341259026159</c:v>
                </c:pt>
                <c:pt idx="35">
                  <c:v>-0.79670533550262235</c:v>
                </c:pt>
                <c:pt idx="36">
                  <c:v>5.5189453685283496E-2</c:v>
                </c:pt>
                <c:pt idx="37">
                  <c:v>3.8249256757081795E-2</c:v>
                </c:pt>
                <c:pt idx="38">
                  <c:v>1.0933518651030152</c:v>
                </c:pt>
                <c:pt idx="39">
                  <c:v>1.2255825439059205</c:v>
                </c:pt>
                <c:pt idx="40">
                  <c:v>0.94251920413306856</c:v>
                </c:pt>
                <c:pt idx="41">
                  <c:v>0.51596769485008309</c:v>
                </c:pt>
                <c:pt idx="42">
                  <c:v>-0.7339955816341881</c:v>
                </c:pt>
                <c:pt idx="43">
                  <c:v>-1.1805232230371416</c:v>
                </c:pt>
                <c:pt idx="44">
                  <c:v>-1.28886953808854</c:v>
                </c:pt>
                <c:pt idx="45">
                  <c:v>-1.043250111725647</c:v>
                </c:pt>
                <c:pt idx="46">
                  <c:v>-0.52623809002627198</c:v>
                </c:pt>
                <c:pt idx="47">
                  <c:v>0.14685501325118722</c:v>
                </c:pt>
                <c:pt idx="48">
                  <c:v>0.58603077988725794</c:v>
                </c:pt>
                <c:pt idx="49">
                  <c:v>0.40487926412225406</c:v>
                </c:pt>
                <c:pt idx="50">
                  <c:v>0.38481077238263062</c:v>
                </c:pt>
                <c:pt idx="51">
                  <c:v>0.32113875173586059</c:v>
                </c:pt>
                <c:pt idx="52">
                  <c:v>-9.8398061565934114E-2</c:v>
                </c:pt>
                <c:pt idx="53">
                  <c:v>0.11813176006667092</c:v>
                </c:pt>
                <c:pt idx="54">
                  <c:v>0.24012019525038752</c:v>
                </c:pt>
                <c:pt idx="55">
                  <c:v>0.3803943837866921</c:v>
                </c:pt>
                <c:pt idx="56">
                  <c:v>0.38904016776109884</c:v>
                </c:pt>
                <c:pt idx="57">
                  <c:v>0.2858977189003582</c:v>
                </c:pt>
                <c:pt idx="58">
                  <c:v>0.68064982769533167</c:v>
                </c:pt>
                <c:pt idx="59">
                  <c:v>0.25339673457833278</c:v>
                </c:pt>
                <c:pt idx="60">
                  <c:v>0.27815284768051285</c:v>
                </c:pt>
                <c:pt idx="61">
                  <c:v>-5.8129564780074361E-2</c:v>
                </c:pt>
                <c:pt idx="62">
                  <c:v>-0.78020175432298444</c:v>
                </c:pt>
                <c:pt idx="63">
                  <c:v>-0.58312781605679653</c:v>
                </c:pt>
                <c:pt idx="64">
                  <c:v>-0.62168492335006942</c:v>
                </c:pt>
                <c:pt idx="65">
                  <c:v>-0.6391912037480596</c:v>
                </c:pt>
                <c:pt idx="66">
                  <c:v>-0.39753813205185828</c:v>
                </c:pt>
                <c:pt idx="67">
                  <c:v>-0.35099084678918313</c:v>
                </c:pt>
                <c:pt idx="68">
                  <c:v>-0.27341335748307039</c:v>
                </c:pt>
                <c:pt idx="69">
                  <c:v>-0.25488602476811639</c:v>
                </c:pt>
                <c:pt idx="70">
                  <c:v>-0.22756332666766799</c:v>
                </c:pt>
                <c:pt idx="71">
                  <c:v>-0.43343419631410729</c:v>
                </c:pt>
                <c:pt idx="72">
                  <c:v>-0.75135998516079816</c:v>
                </c:pt>
                <c:pt idx="73">
                  <c:v>-0.61994260462071704</c:v>
                </c:pt>
                <c:pt idx="74">
                  <c:v>-0.59126607428251976</c:v>
                </c:pt>
                <c:pt idx="75">
                  <c:v>-0.64612964891478963</c:v>
                </c:pt>
                <c:pt idx="76">
                  <c:v>-0.41259665421699854</c:v>
                </c:pt>
                <c:pt idx="77">
                  <c:v>-0.37789737613690999</c:v>
                </c:pt>
                <c:pt idx="78">
                  <c:v>-0.25303443380126112</c:v>
                </c:pt>
                <c:pt idx="79">
                  <c:v>0.1409212078217994</c:v>
                </c:pt>
                <c:pt idx="80">
                  <c:v>0.31658424378505501</c:v>
                </c:pt>
                <c:pt idx="81">
                  <c:v>-0.2287701790474177</c:v>
                </c:pt>
                <c:pt idx="82">
                  <c:v>-0.47432014172254888</c:v>
                </c:pt>
                <c:pt idx="83">
                  <c:v>-0.95654622308730985</c:v>
                </c:pt>
                <c:pt idx="84">
                  <c:v>-0.95062300758851404</c:v>
                </c:pt>
                <c:pt idx="85">
                  <c:v>-0.41238493416603372</c:v>
                </c:pt>
                <c:pt idx="86">
                  <c:v>0.26471924246060397</c:v>
                </c:pt>
                <c:pt idx="87">
                  <c:v>1.0700278129172291</c:v>
                </c:pt>
                <c:pt idx="88">
                  <c:v>1.1221204180466424</c:v>
                </c:pt>
                <c:pt idx="89">
                  <c:v>0.70793662393504686</c:v>
                </c:pt>
                <c:pt idx="90">
                  <c:v>0.31822122732850655</c:v>
                </c:pt>
                <c:pt idx="91">
                  <c:v>5.4357717555608254E-2</c:v>
                </c:pt>
                <c:pt idx="92">
                  <c:v>-0.1276200074006546</c:v>
                </c:pt>
                <c:pt idx="93">
                  <c:v>-6.9387626664005886E-2</c:v>
                </c:pt>
                <c:pt idx="94">
                  <c:v>1.7643292312987668E-3</c:v>
                </c:pt>
                <c:pt idx="95">
                  <c:v>-0.11346206114663993</c:v>
                </c:pt>
                <c:pt idx="96">
                  <c:v>-0.1044065561830001</c:v>
                </c:pt>
                <c:pt idx="97">
                  <c:v>5.4694603481543425E-2</c:v>
                </c:pt>
                <c:pt idx="98">
                  <c:v>0.3028491148257535</c:v>
                </c:pt>
                <c:pt idx="99">
                  <c:v>0.44156234508226522</c:v>
                </c:pt>
                <c:pt idx="100">
                  <c:v>0.25512005545237315</c:v>
                </c:pt>
                <c:pt idx="101">
                  <c:v>0.14826202048091996</c:v>
                </c:pt>
                <c:pt idx="102">
                  <c:v>-9.4447704435408397E-2</c:v>
                </c:pt>
                <c:pt idx="103">
                  <c:v>7.1609996924055785E-2</c:v>
                </c:pt>
                <c:pt idx="104">
                  <c:v>0.28949502507843583</c:v>
                </c:pt>
                <c:pt idx="105">
                  <c:v>0.52690902066548961</c:v>
                </c:pt>
                <c:pt idx="106">
                  <c:v>0.45646250809324052</c:v>
                </c:pt>
                <c:pt idx="107">
                  <c:v>0.22215806175571551</c:v>
                </c:pt>
                <c:pt idx="108">
                  <c:v>-6.9325474158715039E-2</c:v>
                </c:pt>
                <c:pt idx="109">
                  <c:v>-0.33011499514627296</c:v>
                </c:pt>
                <c:pt idx="110">
                  <c:v>-0.34779919368219137</c:v>
                </c:pt>
                <c:pt idx="111">
                  <c:v>-0.29434610673961714</c:v>
                </c:pt>
                <c:pt idx="112">
                  <c:v>-4.2467790198943867E-2</c:v>
                </c:pt>
                <c:pt idx="113">
                  <c:v>0.11680843606900115</c:v>
                </c:pt>
                <c:pt idx="114">
                  <c:v>0.18230941062564732</c:v>
                </c:pt>
                <c:pt idx="115">
                  <c:v>-9.7568834419747397E-2</c:v>
                </c:pt>
                <c:pt idx="116">
                  <c:v>-0.31530809628590273</c:v>
                </c:pt>
                <c:pt idx="117">
                  <c:v>-0.5953469353973091</c:v>
                </c:pt>
                <c:pt idx="118">
                  <c:v>-0.6690726787685195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6D-47D0-BA16-65EE1836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8816"/>
        <c:axId val="1217517296"/>
      </c:scatterChart>
      <c:valAx>
        <c:axId val="121752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7296"/>
        <c:crosses val="autoZero"/>
        <c:crossBetween val="midCat"/>
      </c:valAx>
      <c:valAx>
        <c:axId val="1217517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NewYork!$M$6:$M$124</c:f>
              <c:numCache>
                <c:formatCode>General</c:formatCode>
                <c:ptCount val="119"/>
                <c:pt idx="0">
                  <c:v>7.8389740000000003</c:v>
                </c:pt>
                <c:pt idx="1">
                  <c:v>7.8726609999999999</c:v>
                </c:pt>
                <c:pt idx="2">
                  <c:v>7.8685780000000003</c:v>
                </c:pt>
                <c:pt idx="3">
                  <c:v>7.605213</c:v>
                </c:pt>
                <c:pt idx="4">
                  <c:v>7.5545410000000004</c:v>
                </c:pt>
                <c:pt idx="5">
                  <c:v>7.4162249999999998</c:v>
                </c:pt>
                <c:pt idx="6">
                  <c:v>7.2506389999999996</c:v>
                </c:pt>
                <c:pt idx="7">
                  <c:v>7.300046</c:v>
                </c:pt>
                <c:pt idx="8">
                  <c:v>6.8579800000000004</c:v>
                </c:pt>
                <c:pt idx="9">
                  <c:v>6.6192659999999997</c:v>
                </c:pt>
                <c:pt idx="10">
                  <c:v>6.4492589999999996</c:v>
                </c:pt>
                <c:pt idx="11">
                  <c:v>6.1680979999999996</c:v>
                </c:pt>
                <c:pt idx="12">
                  <c:v>6.2663760000000002</c:v>
                </c:pt>
                <c:pt idx="13">
                  <c:v>6.289574</c:v>
                </c:pt>
                <c:pt idx="14">
                  <c:v>6.1920520000000003</c:v>
                </c:pt>
                <c:pt idx="15">
                  <c:v>6.4108159999999996</c:v>
                </c:pt>
                <c:pt idx="16">
                  <c:v>6.6674569999999997</c:v>
                </c:pt>
                <c:pt idx="17">
                  <c:v>7.0529500000000001</c:v>
                </c:pt>
                <c:pt idx="18">
                  <c:v>7.4170600000000002</c:v>
                </c:pt>
                <c:pt idx="19">
                  <c:v>7.777768</c:v>
                </c:pt>
                <c:pt idx="20">
                  <c:v>7.9037759999999997</c:v>
                </c:pt>
                <c:pt idx="21">
                  <c:v>8.2142999999999997</c:v>
                </c:pt>
                <c:pt idx="22">
                  <c:v>8.5225860000000004</c:v>
                </c:pt>
                <c:pt idx="23">
                  <c:v>9.0134270000000001</c:v>
                </c:pt>
                <c:pt idx="24">
                  <c:v>9.5206890000000008</c:v>
                </c:pt>
                <c:pt idx="25">
                  <c:v>9.8469820000000006</c:v>
                </c:pt>
                <c:pt idx="26">
                  <c:v>9.6587069999999997</c:v>
                </c:pt>
                <c:pt idx="27">
                  <c:v>9.4504169999999998</c:v>
                </c:pt>
                <c:pt idx="28">
                  <c:v>9.2100299999999997</c:v>
                </c:pt>
                <c:pt idx="29">
                  <c:v>8.9316250000000004</c:v>
                </c:pt>
                <c:pt idx="30">
                  <c:v>9.0297180000000008</c:v>
                </c:pt>
                <c:pt idx="31">
                  <c:v>9.1005529999999997</c:v>
                </c:pt>
                <c:pt idx="32">
                  <c:v>8.9335789999999999</c:v>
                </c:pt>
                <c:pt idx="33">
                  <c:v>8.7766730000000006</c:v>
                </c:pt>
                <c:pt idx="34">
                  <c:v>8.8444400000000005</c:v>
                </c:pt>
                <c:pt idx="35">
                  <c:v>8.6657440000000001</c:v>
                </c:pt>
                <c:pt idx="36">
                  <c:v>8.3326600000000006</c:v>
                </c:pt>
                <c:pt idx="37">
                  <c:v>8.0712080000000004</c:v>
                </c:pt>
                <c:pt idx="38">
                  <c:v>7.6872429999999996</c:v>
                </c:pt>
                <c:pt idx="39">
                  <c:v>7.5811630000000001</c:v>
                </c:pt>
                <c:pt idx="40">
                  <c:v>7.8885149999999999</c:v>
                </c:pt>
                <c:pt idx="41">
                  <c:v>8.1149740000000001</c:v>
                </c:pt>
                <c:pt idx="42">
                  <c:v>8.5578719999999997</c:v>
                </c:pt>
                <c:pt idx="43">
                  <c:v>8.7949750000000009</c:v>
                </c:pt>
                <c:pt idx="44">
                  <c:v>8.8745960000000004</c:v>
                </c:pt>
                <c:pt idx="45">
                  <c:v>8.4466739999999998</c:v>
                </c:pt>
                <c:pt idx="46">
                  <c:v>7.9908419999999998</c:v>
                </c:pt>
                <c:pt idx="47">
                  <c:v>7.5548060000000001</c:v>
                </c:pt>
                <c:pt idx="48">
                  <c:v>6.915438</c:v>
                </c:pt>
                <c:pt idx="49">
                  <c:v>7.0063909999999998</c:v>
                </c:pt>
                <c:pt idx="50">
                  <c:v>6.9792899999999998</c:v>
                </c:pt>
                <c:pt idx="51">
                  <c:v>6.8879739999999998</c:v>
                </c:pt>
                <c:pt idx="52">
                  <c:v>6.9421080000000002</c:v>
                </c:pt>
                <c:pt idx="53">
                  <c:v>6.9145130000000004</c:v>
                </c:pt>
                <c:pt idx="54">
                  <c:v>6.9094709999999999</c:v>
                </c:pt>
                <c:pt idx="55">
                  <c:v>6.9931960000000002</c:v>
                </c:pt>
                <c:pt idx="56">
                  <c:v>7.4176149999999996</c:v>
                </c:pt>
                <c:pt idx="57">
                  <c:v>7.7259229999999999</c:v>
                </c:pt>
                <c:pt idx="58">
                  <c:v>7.9277559999999996</c:v>
                </c:pt>
                <c:pt idx="59">
                  <c:v>8.1213669999999993</c:v>
                </c:pt>
                <c:pt idx="60">
                  <c:v>8.209994</c:v>
                </c:pt>
                <c:pt idx="61">
                  <c:v>8.2809570000000008</c:v>
                </c:pt>
                <c:pt idx="62">
                  <c:v>8.3809520000000006</c:v>
                </c:pt>
                <c:pt idx="63">
                  <c:v>8.4483809999999995</c:v>
                </c:pt>
                <c:pt idx="64">
                  <c:v>8.3313179999999996</c:v>
                </c:pt>
                <c:pt idx="65">
                  <c:v>8.3067980000000006</c:v>
                </c:pt>
                <c:pt idx="66">
                  <c:v>7.9418540000000002</c:v>
                </c:pt>
                <c:pt idx="67">
                  <c:v>7.8480670000000003</c:v>
                </c:pt>
                <c:pt idx="68">
                  <c:v>7.5997960000000004</c:v>
                </c:pt>
                <c:pt idx="69">
                  <c:v>7.2134819999999999</c:v>
                </c:pt>
                <c:pt idx="70">
                  <c:v>7.1084759999999996</c:v>
                </c:pt>
                <c:pt idx="71">
                  <c:v>6.8076439999999998</c:v>
                </c:pt>
                <c:pt idx="72">
                  <c:v>6.6146440000000002</c:v>
                </c:pt>
                <c:pt idx="73">
                  <c:v>6.4400180000000002</c:v>
                </c:pt>
                <c:pt idx="74">
                  <c:v>6.2681430000000002</c:v>
                </c:pt>
                <c:pt idx="75">
                  <c:v>6.0791539999999999</c:v>
                </c:pt>
                <c:pt idx="76">
                  <c:v>6.0132349999999999</c:v>
                </c:pt>
                <c:pt idx="77">
                  <c:v>5.9433009999999999</c:v>
                </c:pt>
                <c:pt idx="78">
                  <c:v>5.9096359999999999</c:v>
                </c:pt>
                <c:pt idx="79">
                  <c:v>5.7099780000000004</c:v>
                </c:pt>
                <c:pt idx="80">
                  <c:v>5.4174629999999997</c:v>
                </c:pt>
                <c:pt idx="81">
                  <c:v>5.033677</c:v>
                </c:pt>
                <c:pt idx="82">
                  <c:v>4.6465560000000004</c:v>
                </c:pt>
                <c:pt idx="83">
                  <c:v>4.456664</c:v>
                </c:pt>
                <c:pt idx="84">
                  <c:v>4.252605</c:v>
                </c:pt>
                <c:pt idx="85">
                  <c:v>4.2473010000000002</c:v>
                </c:pt>
                <c:pt idx="86">
                  <c:v>4.2275859999999996</c:v>
                </c:pt>
                <c:pt idx="87">
                  <c:v>4.4117199999999999</c:v>
                </c:pt>
                <c:pt idx="88">
                  <c:v>4.905367</c:v>
                </c:pt>
                <c:pt idx="89">
                  <c:v>5.6118350000000001</c:v>
                </c:pt>
                <c:pt idx="90">
                  <c:v>6.2695150000000002</c:v>
                </c:pt>
                <c:pt idx="91">
                  <c:v>6.7407180000000002</c:v>
                </c:pt>
                <c:pt idx="92">
                  <c:v>6.8791710000000004</c:v>
                </c:pt>
                <c:pt idx="93">
                  <c:v>6.7584390000000001</c:v>
                </c:pt>
                <c:pt idx="94">
                  <c:v>6.6143520000000002</c:v>
                </c:pt>
                <c:pt idx="95">
                  <c:v>6.3602910000000001</c:v>
                </c:pt>
                <c:pt idx="96">
                  <c:v>6.0857970000000003</c:v>
                </c:pt>
                <c:pt idx="97">
                  <c:v>5.7741720000000001</c:v>
                </c:pt>
                <c:pt idx="98">
                  <c:v>5.4525949999999996</c:v>
                </c:pt>
                <c:pt idx="99">
                  <c:v>5.1790039999999999</c:v>
                </c:pt>
                <c:pt idx="100">
                  <c:v>5.051812</c:v>
                </c:pt>
                <c:pt idx="101">
                  <c:v>4.9569190000000001</c:v>
                </c:pt>
                <c:pt idx="102">
                  <c:v>4.9337479999999996</c:v>
                </c:pt>
                <c:pt idx="103">
                  <c:v>4.928375</c:v>
                </c:pt>
                <c:pt idx="104">
                  <c:v>4.8016829999999997</c:v>
                </c:pt>
                <c:pt idx="105">
                  <c:v>4.7192410000000002</c:v>
                </c:pt>
                <c:pt idx="106">
                  <c:v>4.6646869999999998</c:v>
                </c:pt>
                <c:pt idx="107">
                  <c:v>4.5459240000000003</c:v>
                </c:pt>
                <c:pt idx="108">
                  <c:v>4.4858770000000003</c:v>
                </c:pt>
                <c:pt idx="109">
                  <c:v>4.4148040000000002</c:v>
                </c:pt>
                <c:pt idx="110">
                  <c:v>4.3681020000000004</c:v>
                </c:pt>
                <c:pt idx="111">
                  <c:v>4.3709930000000004</c:v>
                </c:pt>
                <c:pt idx="112">
                  <c:v>4.2704779999999998</c:v>
                </c:pt>
                <c:pt idx="113">
                  <c:v>4.2170100000000001</c:v>
                </c:pt>
                <c:pt idx="114">
                  <c:v>4.1024799999999999</c:v>
                </c:pt>
                <c:pt idx="115">
                  <c:v>3.940515</c:v>
                </c:pt>
                <c:pt idx="116">
                  <c:v>3.9390390000000002</c:v>
                </c:pt>
                <c:pt idx="117">
                  <c:v>3.7995009999999998</c:v>
                </c:pt>
                <c:pt idx="118">
                  <c:v>3.7430289999999999</c:v>
                </c:pt>
              </c:numCache>
            </c:numRef>
          </c:xVal>
          <c:yVal>
            <c:numRef>
              <c:f>'Model1 NY'!$C$27:$C$145</c:f>
              <c:numCache>
                <c:formatCode>General</c:formatCode>
                <c:ptCount val="119"/>
                <c:pt idx="0">
                  <c:v>-0.26444688361580582</c:v>
                </c:pt>
                <c:pt idx="1">
                  <c:v>-0.51158211708769574</c:v>
                </c:pt>
                <c:pt idx="2">
                  <c:v>-0.74168608566345195</c:v>
                </c:pt>
                <c:pt idx="3">
                  <c:v>-0.47741934329881985</c:v>
                </c:pt>
                <c:pt idx="4">
                  <c:v>-1.0480057202367723</c:v>
                </c:pt>
                <c:pt idx="5">
                  <c:v>-1.2199141160185736</c:v>
                </c:pt>
                <c:pt idx="6">
                  <c:v>-1.195713428634976</c:v>
                </c:pt>
                <c:pt idx="7">
                  <c:v>-1.4676123781895951</c:v>
                </c:pt>
                <c:pt idx="8">
                  <c:v>-0.99322102313357252</c:v>
                </c:pt>
                <c:pt idx="9">
                  <c:v>-0.73721879052282091</c:v>
                </c:pt>
                <c:pt idx="10">
                  <c:v>-0.68175390444257999</c:v>
                </c:pt>
                <c:pt idx="11">
                  <c:v>-0.20612013938024187</c:v>
                </c:pt>
                <c:pt idx="12">
                  <c:v>9.6030943306937289E-3</c:v>
                </c:pt>
                <c:pt idx="13">
                  <c:v>0.34465329555818514</c:v>
                </c:pt>
                <c:pt idx="14">
                  <c:v>0.76804080069985492</c:v>
                </c:pt>
                <c:pt idx="15">
                  <c:v>0.92837677536272523</c:v>
                </c:pt>
                <c:pt idx="16">
                  <c:v>0.78563501242796896</c:v>
                </c:pt>
                <c:pt idx="17">
                  <c:v>0.67287242577163031</c:v>
                </c:pt>
                <c:pt idx="18">
                  <c:v>0.69581671330722195</c:v>
                </c:pt>
                <c:pt idx="19">
                  <c:v>0.9650685190415853</c:v>
                </c:pt>
                <c:pt idx="20">
                  <c:v>1.5320950887269866</c:v>
                </c:pt>
                <c:pt idx="21">
                  <c:v>1.863136899702071</c:v>
                </c:pt>
                <c:pt idx="22">
                  <c:v>1.5473664117867756</c:v>
                </c:pt>
                <c:pt idx="23">
                  <c:v>0.89231329814914417</c:v>
                </c:pt>
                <c:pt idx="24">
                  <c:v>0.15151064489253585</c:v>
                </c:pt>
                <c:pt idx="25">
                  <c:v>-0.55210009247354996</c:v>
                </c:pt>
                <c:pt idx="26">
                  <c:v>-0.31226609309446296</c:v>
                </c:pt>
                <c:pt idx="27">
                  <c:v>-0.19228708083255519</c:v>
                </c:pt>
                <c:pt idx="28">
                  <c:v>-0.18232394056625445</c:v>
                </c:pt>
                <c:pt idx="29">
                  <c:v>-3.2212165031852535E-2</c:v>
                </c:pt>
                <c:pt idx="30">
                  <c:v>0.16938313056056309</c:v>
                </c:pt>
                <c:pt idx="31">
                  <c:v>-1.5089654671989194E-3</c:v>
                </c:pt>
                <c:pt idx="32">
                  <c:v>-4.7682287043546268E-2</c:v>
                </c:pt>
                <c:pt idx="33">
                  <c:v>-0.38079885752442522</c:v>
                </c:pt>
                <c:pt idx="34">
                  <c:v>-0.90729543508858956</c:v>
                </c:pt>
                <c:pt idx="35">
                  <c:v>-0.65918078737004215</c:v>
                </c:pt>
                <c:pt idx="36">
                  <c:v>-0.24655255021416345</c:v>
                </c:pt>
                <c:pt idx="37">
                  <c:v>0.40621314082429549</c:v>
                </c:pt>
                <c:pt idx="38">
                  <c:v>1.2647906849920272</c:v>
                </c:pt>
                <c:pt idx="39">
                  <c:v>1.6547672693666158</c:v>
                </c:pt>
                <c:pt idx="40">
                  <c:v>1.5833963067929187</c:v>
                </c:pt>
                <c:pt idx="41">
                  <c:v>0.75206851431449984</c:v>
                </c:pt>
                <c:pt idx="42">
                  <c:v>-9.9532398615038709E-2</c:v>
                </c:pt>
                <c:pt idx="43">
                  <c:v>-0.60861818946991075</c:v>
                </c:pt>
                <c:pt idx="44">
                  <c:v>-1.2146479107471251</c:v>
                </c:pt>
                <c:pt idx="45">
                  <c:v>-0.70716350355448743</c:v>
                </c:pt>
                <c:pt idx="46">
                  <c:v>-0.45822008927500235</c:v>
                </c:pt>
                <c:pt idx="47">
                  <c:v>-0.16608647840968338</c:v>
                </c:pt>
                <c:pt idx="48">
                  <c:v>0.2013469499352345</c:v>
                </c:pt>
                <c:pt idx="49">
                  <c:v>0.22105433720165557</c:v>
                </c:pt>
                <c:pt idx="50">
                  <c:v>0.24611424115262004</c:v>
                </c:pt>
                <c:pt idx="51">
                  <c:v>0.57626578940352413</c:v>
                </c:pt>
                <c:pt idx="52">
                  <c:v>1.3600229020571835</c:v>
                </c:pt>
                <c:pt idx="53">
                  <c:v>1.5489354299492604</c:v>
                </c:pt>
                <c:pt idx="54">
                  <c:v>1.692487287390513</c:v>
                </c:pt>
                <c:pt idx="55">
                  <c:v>1.5232262523680946</c:v>
                </c:pt>
                <c:pt idx="56">
                  <c:v>0.96023462410033478</c:v>
                </c:pt>
                <c:pt idx="57">
                  <c:v>0.62607677174648657</c:v>
                </c:pt>
                <c:pt idx="58">
                  <c:v>0.78128435792861772</c:v>
                </c:pt>
                <c:pt idx="59">
                  <c:v>0.64817218524130915</c:v>
                </c:pt>
                <c:pt idx="60">
                  <c:v>0.35574980643478238</c:v>
                </c:pt>
                <c:pt idx="61">
                  <c:v>0.26424116962494359</c:v>
                </c:pt>
                <c:pt idx="62">
                  <c:v>-0.42260543579990095</c:v>
                </c:pt>
                <c:pt idx="63">
                  <c:v>-0.68442907020627075</c:v>
                </c:pt>
                <c:pt idx="64">
                  <c:v>-0.82744324763583865</c:v>
                </c:pt>
                <c:pt idx="65">
                  <c:v>-1.1472724995528756</c:v>
                </c:pt>
                <c:pt idx="66">
                  <c:v>-0.77286001657300929</c:v>
                </c:pt>
                <c:pt idx="67">
                  <c:v>-0.82892207152390451</c:v>
                </c:pt>
                <c:pt idx="68">
                  <c:v>-0.57673676539975283</c:v>
                </c:pt>
                <c:pt idx="69">
                  <c:v>-0.36939690733250607</c:v>
                </c:pt>
                <c:pt idx="70">
                  <c:v>-0.36871128826933752</c:v>
                </c:pt>
                <c:pt idx="71">
                  <c:v>-0.25703049003626166</c:v>
                </c:pt>
                <c:pt idx="72">
                  <c:v>-0.17764395446751902</c:v>
                </c:pt>
                <c:pt idx="73">
                  <c:v>-0.14770647827505101</c:v>
                </c:pt>
                <c:pt idx="74">
                  <c:v>6.2868074493600545E-3</c:v>
                </c:pt>
                <c:pt idx="75">
                  <c:v>0.22640511991617096</c:v>
                </c:pt>
                <c:pt idx="76">
                  <c:v>-4.5370242105370551E-2</c:v>
                </c:pt>
                <c:pt idx="77">
                  <c:v>-0.34090359042551643</c:v>
                </c:pt>
                <c:pt idx="78">
                  <c:v>-0.41310537011945669</c:v>
                </c:pt>
                <c:pt idx="79">
                  <c:v>-0.62478942357571743</c:v>
                </c:pt>
                <c:pt idx="80">
                  <c:v>-0.46069417128895118</c:v>
                </c:pt>
                <c:pt idx="81">
                  <c:v>-0.19690934773679469</c:v>
                </c:pt>
                <c:pt idx="82">
                  <c:v>-0.30782587472059308</c:v>
                </c:pt>
                <c:pt idx="83">
                  <c:v>-0.11988447497336541</c:v>
                </c:pt>
                <c:pt idx="84">
                  <c:v>8.8679363959652591E-2</c:v>
                </c:pt>
                <c:pt idx="85">
                  <c:v>0.27692239429210286</c:v>
                </c:pt>
                <c:pt idx="86">
                  <c:v>0.96420832555240921</c:v>
                </c:pt>
                <c:pt idx="87">
                  <c:v>1.3679404454790687</c:v>
                </c:pt>
                <c:pt idx="88">
                  <c:v>1.3092729718133684</c:v>
                </c:pt>
                <c:pt idx="89">
                  <c:v>0.9841270047777515</c:v>
                </c:pt>
                <c:pt idx="90">
                  <c:v>0.36557469442030754</c:v>
                </c:pt>
                <c:pt idx="91">
                  <c:v>-0.27446766422889723</c:v>
                </c:pt>
                <c:pt idx="92">
                  <c:v>-0.66812780742706845</c:v>
                </c:pt>
                <c:pt idx="93">
                  <c:v>-0.63186000088823135</c:v>
                </c:pt>
                <c:pt idx="94">
                  <c:v>-0.68056240921641287</c:v>
                </c:pt>
                <c:pt idx="95">
                  <c:v>-0.59709147550030828</c:v>
                </c:pt>
                <c:pt idx="96">
                  <c:v>-0.52704452684442415</c:v>
                </c:pt>
                <c:pt idx="97">
                  <c:v>-0.35879882801662166</c:v>
                </c:pt>
                <c:pt idx="98">
                  <c:v>-0.12158688083291125</c:v>
                </c:pt>
                <c:pt idx="99">
                  <c:v>0.10551030557361152</c:v>
                </c:pt>
                <c:pt idx="100">
                  <c:v>3.449639123060777E-2</c:v>
                </c:pt>
                <c:pt idx="101">
                  <c:v>-0.1444283464967846</c:v>
                </c:pt>
                <c:pt idx="102">
                  <c:v>-0.29368716184806853</c:v>
                </c:pt>
                <c:pt idx="103">
                  <c:v>-0.42584055052022407</c:v>
                </c:pt>
                <c:pt idx="104">
                  <c:v>-0.26701472755607369</c:v>
                </c:pt>
                <c:pt idx="105">
                  <c:v>-0.29997915761567295</c:v>
                </c:pt>
                <c:pt idx="106">
                  <c:v>-2.2538656979074645E-2</c:v>
                </c:pt>
                <c:pt idx="107">
                  <c:v>-2.7905570412433356E-2</c:v>
                </c:pt>
                <c:pt idx="108">
                  <c:v>-0.12502931000032991</c:v>
                </c:pt>
                <c:pt idx="109">
                  <c:v>-2.8386460246721867E-2</c:v>
                </c:pt>
                <c:pt idx="110">
                  <c:v>-0.23274685721005017</c:v>
                </c:pt>
                <c:pt idx="111">
                  <c:v>-0.33515080836772393</c:v>
                </c:pt>
                <c:pt idx="112">
                  <c:v>-0.18938942843390727</c:v>
                </c:pt>
                <c:pt idx="113">
                  <c:v>-0.35810598468740684</c:v>
                </c:pt>
                <c:pt idx="114">
                  <c:v>-0.43329074824302083</c:v>
                </c:pt>
                <c:pt idx="115">
                  <c:v>-0.45181117678177385</c:v>
                </c:pt>
                <c:pt idx="116">
                  <c:v>-0.44846793269633212</c:v>
                </c:pt>
                <c:pt idx="117">
                  <c:v>-0.23702607920235685</c:v>
                </c:pt>
                <c:pt idx="118">
                  <c:v>-0.13799393033381335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95-45C9-83BE-4FFF58B2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42640"/>
        <c:axId val="1022643120"/>
      </c:scatterChart>
      <c:valAx>
        <c:axId val="102264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3120"/>
        <c:crosses val="autoZero"/>
        <c:crossBetween val="midCat"/>
      </c:valAx>
      <c:valAx>
        <c:axId val="1022643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2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NY'!$C$27:$C$145</c:f>
              <c:numCache>
                <c:formatCode>General</c:formatCode>
                <c:ptCount val="119"/>
                <c:pt idx="0">
                  <c:v>-0.26444688361580582</c:v>
                </c:pt>
                <c:pt idx="1">
                  <c:v>-0.51158211708769574</c:v>
                </c:pt>
                <c:pt idx="2">
                  <c:v>-0.74168608566345195</c:v>
                </c:pt>
                <c:pt idx="3">
                  <c:v>-0.47741934329881985</c:v>
                </c:pt>
                <c:pt idx="4">
                  <c:v>-1.0480057202367723</c:v>
                </c:pt>
                <c:pt idx="5">
                  <c:v>-1.2199141160185736</c:v>
                </c:pt>
                <c:pt idx="6">
                  <c:v>-1.195713428634976</c:v>
                </c:pt>
                <c:pt idx="7">
                  <c:v>-1.4676123781895951</c:v>
                </c:pt>
                <c:pt idx="8">
                  <c:v>-0.99322102313357252</c:v>
                </c:pt>
                <c:pt idx="9">
                  <c:v>-0.73721879052282091</c:v>
                </c:pt>
                <c:pt idx="10">
                  <c:v>-0.68175390444257999</c:v>
                </c:pt>
                <c:pt idx="11">
                  <c:v>-0.20612013938024187</c:v>
                </c:pt>
                <c:pt idx="12">
                  <c:v>9.6030943306937289E-3</c:v>
                </c:pt>
                <c:pt idx="13">
                  <c:v>0.34465329555818514</c:v>
                </c:pt>
                <c:pt idx="14">
                  <c:v>0.76804080069985492</c:v>
                </c:pt>
                <c:pt idx="15">
                  <c:v>0.92837677536272523</c:v>
                </c:pt>
                <c:pt idx="16">
                  <c:v>0.78563501242796896</c:v>
                </c:pt>
                <c:pt idx="17">
                  <c:v>0.67287242577163031</c:v>
                </c:pt>
                <c:pt idx="18">
                  <c:v>0.69581671330722195</c:v>
                </c:pt>
                <c:pt idx="19">
                  <c:v>0.9650685190415853</c:v>
                </c:pt>
                <c:pt idx="20">
                  <c:v>1.5320950887269866</c:v>
                </c:pt>
                <c:pt idx="21">
                  <c:v>1.863136899702071</c:v>
                </c:pt>
                <c:pt idx="22">
                  <c:v>1.5473664117867756</c:v>
                </c:pt>
                <c:pt idx="23">
                  <c:v>0.89231329814914417</c:v>
                </c:pt>
                <c:pt idx="24">
                  <c:v>0.15151064489253585</c:v>
                </c:pt>
                <c:pt idx="25">
                  <c:v>-0.55210009247354996</c:v>
                </c:pt>
                <c:pt idx="26">
                  <c:v>-0.31226609309446296</c:v>
                </c:pt>
                <c:pt idx="27">
                  <c:v>-0.19228708083255519</c:v>
                </c:pt>
                <c:pt idx="28">
                  <c:v>-0.18232394056625445</c:v>
                </c:pt>
                <c:pt idx="29">
                  <c:v>-3.2212165031852535E-2</c:v>
                </c:pt>
                <c:pt idx="30">
                  <c:v>0.16938313056056309</c:v>
                </c:pt>
                <c:pt idx="31">
                  <c:v>-1.5089654671989194E-3</c:v>
                </c:pt>
                <c:pt idx="32">
                  <c:v>-4.7682287043546268E-2</c:v>
                </c:pt>
                <c:pt idx="33">
                  <c:v>-0.38079885752442522</c:v>
                </c:pt>
                <c:pt idx="34">
                  <c:v>-0.90729543508858956</c:v>
                </c:pt>
                <c:pt idx="35">
                  <c:v>-0.65918078737004215</c:v>
                </c:pt>
                <c:pt idx="36">
                  <c:v>-0.24655255021416345</c:v>
                </c:pt>
                <c:pt idx="37">
                  <c:v>0.40621314082429549</c:v>
                </c:pt>
                <c:pt idx="38">
                  <c:v>1.2647906849920272</c:v>
                </c:pt>
                <c:pt idx="39">
                  <c:v>1.6547672693666158</c:v>
                </c:pt>
                <c:pt idx="40">
                  <c:v>1.5833963067929187</c:v>
                </c:pt>
                <c:pt idx="41">
                  <c:v>0.75206851431449984</c:v>
                </c:pt>
                <c:pt idx="42">
                  <c:v>-9.9532398615038709E-2</c:v>
                </c:pt>
                <c:pt idx="43">
                  <c:v>-0.60861818946991075</c:v>
                </c:pt>
                <c:pt idx="44">
                  <c:v>-1.2146479107471251</c:v>
                </c:pt>
                <c:pt idx="45">
                  <c:v>-0.70716350355448743</c:v>
                </c:pt>
                <c:pt idx="46">
                  <c:v>-0.45822008927500235</c:v>
                </c:pt>
                <c:pt idx="47">
                  <c:v>-0.16608647840968338</c:v>
                </c:pt>
                <c:pt idx="48">
                  <c:v>0.2013469499352345</c:v>
                </c:pt>
                <c:pt idx="49">
                  <c:v>0.22105433720165557</c:v>
                </c:pt>
                <c:pt idx="50">
                  <c:v>0.24611424115262004</c:v>
                </c:pt>
                <c:pt idx="51">
                  <c:v>0.57626578940352413</c:v>
                </c:pt>
                <c:pt idx="52">
                  <c:v>1.3600229020571835</c:v>
                </c:pt>
                <c:pt idx="53">
                  <c:v>1.5489354299492604</c:v>
                </c:pt>
                <c:pt idx="54">
                  <c:v>1.692487287390513</c:v>
                </c:pt>
                <c:pt idx="55">
                  <c:v>1.5232262523680946</c:v>
                </c:pt>
                <c:pt idx="56">
                  <c:v>0.96023462410033478</c:v>
                </c:pt>
                <c:pt idx="57">
                  <c:v>0.62607677174648657</c:v>
                </c:pt>
                <c:pt idx="58">
                  <c:v>0.78128435792861772</c:v>
                </c:pt>
                <c:pt idx="59">
                  <c:v>0.64817218524130915</c:v>
                </c:pt>
                <c:pt idx="60">
                  <c:v>0.35574980643478238</c:v>
                </c:pt>
                <c:pt idx="61">
                  <c:v>0.26424116962494359</c:v>
                </c:pt>
                <c:pt idx="62">
                  <c:v>-0.42260543579990095</c:v>
                </c:pt>
                <c:pt idx="63">
                  <c:v>-0.68442907020627075</c:v>
                </c:pt>
                <c:pt idx="64">
                  <c:v>-0.82744324763583865</c:v>
                </c:pt>
                <c:pt idx="65">
                  <c:v>-1.1472724995528756</c:v>
                </c:pt>
                <c:pt idx="66">
                  <c:v>-0.77286001657300929</c:v>
                </c:pt>
                <c:pt idx="67">
                  <c:v>-0.82892207152390451</c:v>
                </c:pt>
                <c:pt idx="68">
                  <c:v>-0.57673676539975283</c:v>
                </c:pt>
                <c:pt idx="69">
                  <c:v>-0.36939690733250607</c:v>
                </c:pt>
                <c:pt idx="70">
                  <c:v>-0.36871128826933752</c:v>
                </c:pt>
                <c:pt idx="71">
                  <c:v>-0.25703049003626166</c:v>
                </c:pt>
                <c:pt idx="72">
                  <c:v>-0.17764395446751902</c:v>
                </c:pt>
                <c:pt idx="73">
                  <c:v>-0.14770647827505101</c:v>
                </c:pt>
                <c:pt idx="74">
                  <c:v>6.2868074493600545E-3</c:v>
                </c:pt>
                <c:pt idx="75">
                  <c:v>0.22640511991617096</c:v>
                </c:pt>
                <c:pt idx="76">
                  <c:v>-4.5370242105370551E-2</c:v>
                </c:pt>
                <c:pt idx="77">
                  <c:v>-0.34090359042551643</c:v>
                </c:pt>
                <c:pt idx="78">
                  <c:v>-0.41310537011945669</c:v>
                </c:pt>
                <c:pt idx="79">
                  <c:v>-0.62478942357571743</c:v>
                </c:pt>
                <c:pt idx="80">
                  <c:v>-0.46069417128895118</c:v>
                </c:pt>
                <c:pt idx="81">
                  <c:v>-0.19690934773679469</c:v>
                </c:pt>
                <c:pt idx="82">
                  <c:v>-0.30782587472059308</c:v>
                </c:pt>
                <c:pt idx="83">
                  <c:v>-0.11988447497336541</c:v>
                </c:pt>
                <c:pt idx="84">
                  <c:v>8.8679363959652591E-2</c:v>
                </c:pt>
                <c:pt idx="85">
                  <c:v>0.27692239429210286</c:v>
                </c:pt>
                <c:pt idx="86">
                  <c:v>0.96420832555240921</c:v>
                </c:pt>
                <c:pt idx="87">
                  <c:v>1.3679404454790687</c:v>
                </c:pt>
                <c:pt idx="88">
                  <c:v>1.3092729718133684</c:v>
                </c:pt>
                <c:pt idx="89">
                  <c:v>0.9841270047777515</c:v>
                </c:pt>
                <c:pt idx="90">
                  <c:v>0.36557469442030754</c:v>
                </c:pt>
                <c:pt idx="91">
                  <c:v>-0.27446766422889723</c:v>
                </c:pt>
                <c:pt idx="92">
                  <c:v>-0.66812780742706845</c:v>
                </c:pt>
                <c:pt idx="93">
                  <c:v>-0.63186000088823135</c:v>
                </c:pt>
                <c:pt idx="94">
                  <c:v>-0.68056240921641287</c:v>
                </c:pt>
                <c:pt idx="95">
                  <c:v>-0.59709147550030828</c:v>
                </c:pt>
                <c:pt idx="96">
                  <c:v>-0.52704452684442415</c:v>
                </c:pt>
                <c:pt idx="97">
                  <c:v>-0.35879882801662166</c:v>
                </c:pt>
                <c:pt idx="98">
                  <c:v>-0.12158688083291125</c:v>
                </c:pt>
                <c:pt idx="99">
                  <c:v>0.10551030557361152</c:v>
                </c:pt>
                <c:pt idx="100">
                  <c:v>3.449639123060777E-2</c:v>
                </c:pt>
                <c:pt idx="101">
                  <c:v>-0.1444283464967846</c:v>
                </c:pt>
                <c:pt idx="102">
                  <c:v>-0.29368716184806853</c:v>
                </c:pt>
                <c:pt idx="103">
                  <c:v>-0.42584055052022407</c:v>
                </c:pt>
                <c:pt idx="104">
                  <c:v>-0.26701472755607369</c:v>
                </c:pt>
                <c:pt idx="105">
                  <c:v>-0.29997915761567295</c:v>
                </c:pt>
                <c:pt idx="106">
                  <c:v>-2.2538656979074645E-2</c:v>
                </c:pt>
                <c:pt idx="107">
                  <c:v>-2.7905570412433356E-2</c:v>
                </c:pt>
                <c:pt idx="108">
                  <c:v>-0.12502931000032991</c:v>
                </c:pt>
                <c:pt idx="109">
                  <c:v>-2.8386460246721867E-2</c:v>
                </c:pt>
                <c:pt idx="110">
                  <c:v>-0.23274685721005017</c:v>
                </c:pt>
                <c:pt idx="111">
                  <c:v>-0.33515080836772393</c:v>
                </c:pt>
                <c:pt idx="112">
                  <c:v>-0.18938942843390727</c:v>
                </c:pt>
                <c:pt idx="113">
                  <c:v>-0.35810598468740684</c:v>
                </c:pt>
                <c:pt idx="114">
                  <c:v>-0.43329074824302083</c:v>
                </c:pt>
                <c:pt idx="115">
                  <c:v>-0.45181117678177385</c:v>
                </c:pt>
                <c:pt idx="116">
                  <c:v>-0.44846793269633212</c:v>
                </c:pt>
                <c:pt idx="117">
                  <c:v>-0.23702607920235685</c:v>
                </c:pt>
                <c:pt idx="118">
                  <c:v>-0.13799393033381335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A-4411-91FD-7E1AD4ED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46480"/>
        <c:axId val="1022647440"/>
      </c:scatterChart>
      <c:valAx>
        <c:axId val="102264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7440"/>
        <c:crosses val="autoZero"/>
        <c:crossBetween val="midCat"/>
      </c:valAx>
      <c:valAx>
        <c:axId val="102264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64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NewYork!$O$6:$O$124</c:f>
              <c:numCache>
                <c:formatCode>General</c:formatCode>
                <c:ptCount val="119"/>
                <c:pt idx="0">
                  <c:v>1.0535564853556485</c:v>
                </c:pt>
                <c:pt idx="1">
                  <c:v>1.0479189485213583</c:v>
                </c:pt>
                <c:pt idx="2">
                  <c:v>1.0353862776877363</c:v>
                </c:pt>
                <c:pt idx="3">
                  <c:v>1.0310642895732036</c:v>
                </c:pt>
                <c:pt idx="4">
                  <c:v>0.99205718824463851</c:v>
                </c:pt>
                <c:pt idx="5">
                  <c:v>0.9636791220276979</c:v>
                </c:pt>
                <c:pt idx="6">
                  <c:v>0.95825723975997912</c:v>
                </c:pt>
                <c:pt idx="7">
                  <c:v>0.96515588158239463</c:v>
                </c:pt>
                <c:pt idx="8">
                  <c:v>0.98879103282626102</c:v>
                </c:pt>
                <c:pt idx="9">
                  <c:v>1.0089479392624729</c:v>
                </c:pt>
                <c:pt idx="10">
                  <c:v>1.0144296215627553</c:v>
                </c:pt>
                <c:pt idx="11">
                  <c:v>1.0127578718783929</c:v>
                </c:pt>
                <c:pt idx="12">
                  <c:v>1.0102564102564102</c:v>
                </c:pt>
                <c:pt idx="13">
                  <c:v>1.0048374092985757</c:v>
                </c:pt>
                <c:pt idx="14">
                  <c:v>0.99329039184111645</c:v>
                </c:pt>
                <c:pt idx="15">
                  <c:v>0.96542481908335565</c:v>
                </c:pt>
                <c:pt idx="16">
                  <c:v>0.9465669249265295</c:v>
                </c:pt>
                <c:pt idx="17">
                  <c:v>0.91709013105108317</c:v>
                </c:pt>
                <c:pt idx="18">
                  <c:v>0.89300189138070785</c:v>
                </c:pt>
                <c:pt idx="19">
                  <c:v>0.91671293725707936</c:v>
                </c:pt>
                <c:pt idx="20">
                  <c:v>0.94552639006491679</c:v>
                </c:pt>
                <c:pt idx="21">
                  <c:v>1.0081656459609216</c:v>
                </c:pt>
                <c:pt idx="22">
                  <c:v>1.0293494704992439</c:v>
                </c:pt>
                <c:pt idx="23">
                  <c:v>1.0148394912174439</c:v>
                </c:pt>
                <c:pt idx="24">
                  <c:v>1.0053731343283583</c:v>
                </c:pt>
                <c:pt idx="25">
                  <c:v>0.99421463696846968</c:v>
                </c:pt>
                <c:pt idx="26">
                  <c:v>0.99970605526161072</c:v>
                </c:pt>
                <c:pt idx="27">
                  <c:v>0.9838854073410922</c:v>
                </c:pt>
                <c:pt idx="28">
                  <c:v>0.96644893111638952</c:v>
                </c:pt>
                <c:pt idx="29">
                  <c:v>0.95955775385510622</c:v>
                </c:pt>
                <c:pt idx="30">
                  <c:v>1.0102910908556308</c:v>
                </c:pt>
                <c:pt idx="31">
                  <c:v>1.0136487716105551</c:v>
                </c:pt>
                <c:pt idx="32">
                  <c:v>1.0571428571428572</c:v>
                </c:pt>
                <c:pt idx="33">
                  <c:v>1.0291085506367497</c:v>
                </c:pt>
                <c:pt idx="34">
                  <c:v>1.0064027939464493</c:v>
                </c:pt>
                <c:pt idx="35">
                  <c:v>1.0511669658886895</c:v>
                </c:pt>
                <c:pt idx="36">
                  <c:v>1.0124963673350773</c:v>
                </c:pt>
                <c:pt idx="37">
                  <c:v>1.0780789628756631</c:v>
                </c:pt>
                <c:pt idx="38">
                  <c:v>1.0922498554077502</c:v>
                </c:pt>
                <c:pt idx="39">
                  <c:v>1.0996299459151722</c:v>
                </c:pt>
                <c:pt idx="40">
                  <c:v>1.115958668197474</c:v>
                </c:pt>
                <c:pt idx="41">
                  <c:v>1.0535665482372232</c:v>
                </c:pt>
                <c:pt idx="42">
                  <c:v>1.0291236431029915</c:v>
                </c:pt>
                <c:pt idx="43">
                  <c:v>1.0434895159202693</c:v>
                </c:pt>
                <c:pt idx="44">
                  <c:v>1.0828189300411522</c:v>
                </c:pt>
                <c:pt idx="45">
                  <c:v>1.1219195849546044</c:v>
                </c:pt>
                <c:pt idx="46">
                  <c:v>1.1080524826344225</c:v>
                </c:pt>
                <c:pt idx="47">
                  <c:v>1.1262713966757627</c:v>
                </c:pt>
                <c:pt idx="48">
                  <c:v>1.0805225653206652</c:v>
                </c:pt>
                <c:pt idx="49">
                  <c:v>1.1047398843930636</c:v>
                </c:pt>
                <c:pt idx="50">
                  <c:v>1.0968191316461575</c:v>
                </c:pt>
                <c:pt idx="51">
                  <c:v>1.1345814977973567</c:v>
                </c:pt>
                <c:pt idx="52">
                  <c:v>1.2301604748296329</c:v>
                </c:pt>
                <c:pt idx="53">
                  <c:v>1.1982000837170363</c:v>
                </c:pt>
                <c:pt idx="54">
                  <c:v>1.1708298052497883</c:v>
                </c:pt>
                <c:pt idx="55">
                  <c:v>1.0792079207920793</c:v>
                </c:pt>
                <c:pt idx="56">
                  <c:v>1.0026804860614724</c:v>
                </c:pt>
                <c:pt idx="57">
                  <c:v>0.95930131004366814</c:v>
                </c:pt>
                <c:pt idx="58">
                  <c:v>0.99186403905261245</c:v>
                </c:pt>
                <c:pt idx="59">
                  <c:v>0.96995862565209567</c:v>
                </c:pt>
                <c:pt idx="60">
                  <c:v>0.93762252717875605</c:v>
                </c:pt>
                <c:pt idx="61">
                  <c:v>0.92443554260742899</c:v>
                </c:pt>
                <c:pt idx="62">
                  <c:v>0.87732409770324471</c:v>
                </c:pt>
                <c:pt idx="63">
                  <c:v>0.84718100890207715</c:v>
                </c:pt>
                <c:pt idx="64">
                  <c:v>0.84071469302413981</c:v>
                </c:pt>
                <c:pt idx="65">
                  <c:v>0.87433523734488872</c:v>
                </c:pt>
                <c:pt idx="66">
                  <c:v>0.91647621026386861</c:v>
                </c:pt>
                <c:pt idx="67">
                  <c:v>0.95993870402802106</c:v>
                </c:pt>
                <c:pt idx="68">
                  <c:v>1.0336875423920417</c:v>
                </c:pt>
                <c:pt idx="69">
                  <c:v>1.0486596080198243</c:v>
                </c:pt>
                <c:pt idx="70">
                  <c:v>1.0754930854681477</c:v>
                </c:pt>
                <c:pt idx="71">
                  <c:v>1.1014823261117446</c:v>
                </c:pt>
                <c:pt idx="72">
                  <c:v>1.1017060367454068</c:v>
                </c:pt>
                <c:pt idx="73">
                  <c:v>1.1074113856068744</c:v>
                </c:pt>
                <c:pt idx="74">
                  <c:v>1.1150927487352444</c:v>
                </c:pt>
                <c:pt idx="75">
                  <c:v>1.1815734989648035</c:v>
                </c:pt>
                <c:pt idx="76">
                  <c:v>1.1741115743498114</c:v>
                </c:pt>
                <c:pt idx="77">
                  <c:v>1.1889427740058196</c:v>
                </c:pt>
                <c:pt idx="78">
                  <c:v>1.2665406427221173</c:v>
                </c:pt>
                <c:pt idx="79">
                  <c:v>1.1985281233572807</c:v>
                </c:pt>
                <c:pt idx="80">
                  <c:v>1.2150828542441663</c:v>
                </c:pt>
                <c:pt idx="81">
                  <c:v>1.211290585739925</c:v>
                </c:pt>
                <c:pt idx="82">
                  <c:v>1.0967164179104478</c:v>
                </c:pt>
                <c:pt idx="83">
                  <c:v>1.0327485380116959</c:v>
                </c:pt>
                <c:pt idx="84">
                  <c:v>0.88839409963818539</c:v>
                </c:pt>
                <c:pt idx="85">
                  <c:v>0.76104525862068972</c:v>
                </c:pt>
                <c:pt idx="86">
                  <c:v>0.77177463255307566</c:v>
                </c:pt>
                <c:pt idx="87">
                  <c:v>0.79275198187995466</c:v>
                </c:pt>
                <c:pt idx="88">
                  <c:v>0.8582393483709273</c:v>
                </c:pt>
                <c:pt idx="89">
                  <c:v>0.95345132743362826</c:v>
                </c:pt>
                <c:pt idx="90">
                  <c:v>0.94445424087462526</c:v>
                </c:pt>
                <c:pt idx="91">
                  <c:v>0.94589285714285709</c:v>
                </c:pt>
                <c:pt idx="92">
                  <c:v>0.96386201861653598</c:v>
                </c:pt>
                <c:pt idx="93">
                  <c:v>1.0258028587339894</c:v>
                </c:pt>
                <c:pt idx="94">
                  <c:v>1.0427557879014189</c:v>
                </c:pt>
                <c:pt idx="95">
                  <c:v>1.0730602227676045</c:v>
                </c:pt>
                <c:pt idx="96">
                  <c:v>1.0660859685665593</c:v>
                </c:pt>
                <c:pt idx="97">
                  <c:v>1.0620702135360116</c:v>
                </c:pt>
                <c:pt idx="98">
                  <c:v>1.0560429722470903</c:v>
                </c:pt>
                <c:pt idx="99">
                  <c:v>1.0617522871217453</c:v>
                </c:pt>
                <c:pt idx="100">
                  <c:v>1.0570159857904085</c:v>
                </c:pt>
                <c:pt idx="101">
                  <c:v>1.0093712727892317</c:v>
                </c:pt>
                <c:pt idx="102">
                  <c:v>1.0023736859952526</c:v>
                </c:pt>
                <c:pt idx="103">
                  <c:v>0.9986743993371997</c:v>
                </c:pt>
                <c:pt idx="104">
                  <c:v>1.0324315241135944</c:v>
                </c:pt>
                <c:pt idx="105">
                  <c:v>1.0194125590817016</c:v>
                </c:pt>
                <c:pt idx="106">
                  <c:v>1.0943843031123139</c:v>
                </c:pt>
                <c:pt idx="107">
                  <c:v>1.0572424091587853</c:v>
                </c:pt>
                <c:pt idx="108">
                  <c:v>1.0338541666666667</c:v>
                </c:pt>
                <c:pt idx="109">
                  <c:v>1.0668984931280014</c:v>
                </c:pt>
                <c:pt idx="110">
                  <c:v>1.0329211746522411</c:v>
                </c:pt>
                <c:pt idx="111">
                  <c:v>1.049278091650973</c:v>
                </c:pt>
                <c:pt idx="112">
                  <c:v>1.0584068010075567</c:v>
                </c:pt>
                <c:pt idx="113">
                  <c:v>1.0322830979357442</c:v>
                </c:pt>
                <c:pt idx="114">
                  <c:v>0.99446356426754445</c:v>
                </c:pt>
                <c:pt idx="115">
                  <c:v>1.0016452288363744</c:v>
                </c:pt>
                <c:pt idx="116">
                  <c:v>1.0133868808567603</c:v>
                </c:pt>
                <c:pt idx="117">
                  <c:v>1.0251090061644865</c:v>
                </c:pt>
                <c:pt idx="118">
                  <c:v>1.0329521516701778</c:v>
                </c:pt>
              </c:numCache>
            </c:numRef>
          </c:xVal>
          <c:yVal>
            <c:numRef>
              <c:f>'Model1 NY'!$C$27:$C$145</c:f>
              <c:numCache>
                <c:formatCode>General</c:formatCode>
                <c:ptCount val="119"/>
                <c:pt idx="0">
                  <c:v>-0.26444688361580582</c:v>
                </c:pt>
                <c:pt idx="1">
                  <c:v>-0.51158211708769574</c:v>
                </c:pt>
                <c:pt idx="2">
                  <c:v>-0.74168608566345195</c:v>
                </c:pt>
                <c:pt idx="3">
                  <c:v>-0.47741934329881985</c:v>
                </c:pt>
                <c:pt idx="4">
                  <c:v>-1.0480057202367723</c:v>
                </c:pt>
                <c:pt idx="5">
                  <c:v>-1.2199141160185736</c:v>
                </c:pt>
                <c:pt idx="6">
                  <c:v>-1.195713428634976</c:v>
                </c:pt>
                <c:pt idx="7">
                  <c:v>-1.4676123781895951</c:v>
                </c:pt>
                <c:pt idx="8">
                  <c:v>-0.99322102313357252</c:v>
                </c:pt>
                <c:pt idx="9">
                  <c:v>-0.73721879052282091</c:v>
                </c:pt>
                <c:pt idx="10">
                  <c:v>-0.68175390444257999</c:v>
                </c:pt>
                <c:pt idx="11">
                  <c:v>-0.20612013938024187</c:v>
                </c:pt>
                <c:pt idx="12">
                  <c:v>9.6030943306937289E-3</c:v>
                </c:pt>
                <c:pt idx="13">
                  <c:v>0.34465329555818514</c:v>
                </c:pt>
                <c:pt idx="14">
                  <c:v>0.76804080069985492</c:v>
                </c:pt>
                <c:pt idx="15">
                  <c:v>0.92837677536272523</c:v>
                </c:pt>
                <c:pt idx="16">
                  <c:v>0.78563501242796896</c:v>
                </c:pt>
                <c:pt idx="17">
                  <c:v>0.67287242577163031</c:v>
                </c:pt>
                <c:pt idx="18">
                  <c:v>0.69581671330722195</c:v>
                </c:pt>
                <c:pt idx="19">
                  <c:v>0.9650685190415853</c:v>
                </c:pt>
                <c:pt idx="20">
                  <c:v>1.5320950887269866</c:v>
                </c:pt>
                <c:pt idx="21">
                  <c:v>1.863136899702071</c:v>
                </c:pt>
                <c:pt idx="22">
                  <c:v>1.5473664117867756</c:v>
                </c:pt>
                <c:pt idx="23">
                  <c:v>0.89231329814914417</c:v>
                </c:pt>
                <c:pt idx="24">
                  <c:v>0.15151064489253585</c:v>
                </c:pt>
                <c:pt idx="25">
                  <c:v>-0.55210009247354996</c:v>
                </c:pt>
                <c:pt idx="26">
                  <c:v>-0.31226609309446296</c:v>
                </c:pt>
                <c:pt idx="27">
                  <c:v>-0.19228708083255519</c:v>
                </c:pt>
                <c:pt idx="28">
                  <c:v>-0.18232394056625445</c:v>
                </c:pt>
                <c:pt idx="29">
                  <c:v>-3.2212165031852535E-2</c:v>
                </c:pt>
                <c:pt idx="30">
                  <c:v>0.16938313056056309</c:v>
                </c:pt>
                <c:pt idx="31">
                  <c:v>-1.5089654671989194E-3</c:v>
                </c:pt>
                <c:pt idx="32">
                  <c:v>-4.7682287043546268E-2</c:v>
                </c:pt>
                <c:pt idx="33">
                  <c:v>-0.38079885752442522</c:v>
                </c:pt>
                <c:pt idx="34">
                  <c:v>-0.90729543508858956</c:v>
                </c:pt>
                <c:pt idx="35">
                  <c:v>-0.65918078737004215</c:v>
                </c:pt>
                <c:pt idx="36">
                  <c:v>-0.24655255021416345</c:v>
                </c:pt>
                <c:pt idx="37">
                  <c:v>0.40621314082429549</c:v>
                </c:pt>
                <c:pt idx="38">
                  <c:v>1.2647906849920272</c:v>
                </c:pt>
                <c:pt idx="39">
                  <c:v>1.6547672693666158</c:v>
                </c:pt>
                <c:pt idx="40">
                  <c:v>1.5833963067929187</c:v>
                </c:pt>
                <c:pt idx="41">
                  <c:v>0.75206851431449984</c:v>
                </c:pt>
                <c:pt idx="42">
                  <c:v>-9.9532398615038709E-2</c:v>
                </c:pt>
                <c:pt idx="43">
                  <c:v>-0.60861818946991075</c:v>
                </c:pt>
                <c:pt idx="44">
                  <c:v>-1.2146479107471251</c:v>
                </c:pt>
                <c:pt idx="45">
                  <c:v>-0.70716350355448743</c:v>
                </c:pt>
                <c:pt idx="46">
                  <c:v>-0.45822008927500235</c:v>
                </c:pt>
                <c:pt idx="47">
                  <c:v>-0.16608647840968338</c:v>
                </c:pt>
                <c:pt idx="48">
                  <c:v>0.2013469499352345</c:v>
                </c:pt>
                <c:pt idx="49">
                  <c:v>0.22105433720165557</c:v>
                </c:pt>
                <c:pt idx="50">
                  <c:v>0.24611424115262004</c:v>
                </c:pt>
                <c:pt idx="51">
                  <c:v>0.57626578940352413</c:v>
                </c:pt>
                <c:pt idx="52">
                  <c:v>1.3600229020571835</c:v>
                </c:pt>
                <c:pt idx="53">
                  <c:v>1.5489354299492604</c:v>
                </c:pt>
                <c:pt idx="54">
                  <c:v>1.692487287390513</c:v>
                </c:pt>
                <c:pt idx="55">
                  <c:v>1.5232262523680946</c:v>
                </c:pt>
                <c:pt idx="56">
                  <c:v>0.96023462410033478</c:v>
                </c:pt>
                <c:pt idx="57">
                  <c:v>0.62607677174648657</c:v>
                </c:pt>
                <c:pt idx="58">
                  <c:v>0.78128435792861772</c:v>
                </c:pt>
                <c:pt idx="59">
                  <c:v>0.64817218524130915</c:v>
                </c:pt>
                <c:pt idx="60">
                  <c:v>0.35574980643478238</c:v>
                </c:pt>
                <c:pt idx="61">
                  <c:v>0.26424116962494359</c:v>
                </c:pt>
                <c:pt idx="62">
                  <c:v>-0.42260543579990095</c:v>
                </c:pt>
                <c:pt idx="63">
                  <c:v>-0.68442907020627075</c:v>
                </c:pt>
                <c:pt idx="64">
                  <c:v>-0.82744324763583865</c:v>
                </c:pt>
                <c:pt idx="65">
                  <c:v>-1.1472724995528756</c:v>
                </c:pt>
                <c:pt idx="66">
                  <c:v>-0.77286001657300929</c:v>
                </c:pt>
                <c:pt idx="67">
                  <c:v>-0.82892207152390451</c:v>
                </c:pt>
                <c:pt idx="68">
                  <c:v>-0.57673676539975283</c:v>
                </c:pt>
                <c:pt idx="69">
                  <c:v>-0.36939690733250607</c:v>
                </c:pt>
                <c:pt idx="70">
                  <c:v>-0.36871128826933752</c:v>
                </c:pt>
                <c:pt idx="71">
                  <c:v>-0.25703049003626166</c:v>
                </c:pt>
                <c:pt idx="72">
                  <c:v>-0.17764395446751902</c:v>
                </c:pt>
                <c:pt idx="73">
                  <c:v>-0.14770647827505101</c:v>
                </c:pt>
                <c:pt idx="74">
                  <c:v>6.2868074493600545E-3</c:v>
                </c:pt>
                <c:pt idx="75">
                  <c:v>0.22640511991617096</c:v>
                </c:pt>
                <c:pt idx="76">
                  <c:v>-4.5370242105370551E-2</c:v>
                </c:pt>
                <c:pt idx="77">
                  <c:v>-0.34090359042551643</c:v>
                </c:pt>
                <c:pt idx="78">
                  <c:v>-0.41310537011945669</c:v>
                </c:pt>
                <c:pt idx="79">
                  <c:v>-0.62478942357571743</c:v>
                </c:pt>
                <c:pt idx="80">
                  <c:v>-0.46069417128895118</c:v>
                </c:pt>
                <c:pt idx="81">
                  <c:v>-0.19690934773679469</c:v>
                </c:pt>
                <c:pt idx="82">
                  <c:v>-0.30782587472059308</c:v>
                </c:pt>
                <c:pt idx="83">
                  <c:v>-0.11988447497336541</c:v>
                </c:pt>
                <c:pt idx="84">
                  <c:v>8.8679363959652591E-2</c:v>
                </c:pt>
                <c:pt idx="85">
                  <c:v>0.27692239429210286</c:v>
                </c:pt>
                <c:pt idx="86">
                  <c:v>0.96420832555240921</c:v>
                </c:pt>
                <c:pt idx="87">
                  <c:v>1.3679404454790687</c:v>
                </c:pt>
                <c:pt idx="88">
                  <c:v>1.3092729718133684</c:v>
                </c:pt>
                <c:pt idx="89">
                  <c:v>0.9841270047777515</c:v>
                </c:pt>
                <c:pt idx="90">
                  <c:v>0.36557469442030754</c:v>
                </c:pt>
                <c:pt idx="91">
                  <c:v>-0.27446766422889723</c:v>
                </c:pt>
                <c:pt idx="92">
                  <c:v>-0.66812780742706845</c:v>
                </c:pt>
                <c:pt idx="93">
                  <c:v>-0.63186000088823135</c:v>
                </c:pt>
                <c:pt idx="94">
                  <c:v>-0.68056240921641287</c:v>
                </c:pt>
                <c:pt idx="95">
                  <c:v>-0.59709147550030828</c:v>
                </c:pt>
                <c:pt idx="96">
                  <c:v>-0.52704452684442415</c:v>
                </c:pt>
                <c:pt idx="97">
                  <c:v>-0.35879882801662166</c:v>
                </c:pt>
                <c:pt idx="98">
                  <c:v>-0.12158688083291125</c:v>
                </c:pt>
                <c:pt idx="99">
                  <c:v>0.10551030557361152</c:v>
                </c:pt>
                <c:pt idx="100">
                  <c:v>3.449639123060777E-2</c:v>
                </c:pt>
                <c:pt idx="101">
                  <c:v>-0.1444283464967846</c:v>
                </c:pt>
                <c:pt idx="102">
                  <c:v>-0.29368716184806853</c:v>
                </c:pt>
                <c:pt idx="103">
                  <c:v>-0.42584055052022407</c:v>
                </c:pt>
                <c:pt idx="104">
                  <c:v>-0.26701472755607369</c:v>
                </c:pt>
                <c:pt idx="105">
                  <c:v>-0.29997915761567295</c:v>
                </c:pt>
                <c:pt idx="106">
                  <c:v>-2.2538656979074645E-2</c:v>
                </c:pt>
                <c:pt idx="107">
                  <c:v>-2.7905570412433356E-2</c:v>
                </c:pt>
                <c:pt idx="108">
                  <c:v>-0.12502931000032991</c:v>
                </c:pt>
                <c:pt idx="109">
                  <c:v>-2.8386460246721867E-2</c:v>
                </c:pt>
                <c:pt idx="110">
                  <c:v>-0.23274685721005017</c:v>
                </c:pt>
                <c:pt idx="111">
                  <c:v>-0.33515080836772393</c:v>
                </c:pt>
                <c:pt idx="112">
                  <c:v>-0.18938942843390727</c:v>
                </c:pt>
                <c:pt idx="113">
                  <c:v>-0.35810598468740684</c:v>
                </c:pt>
                <c:pt idx="114">
                  <c:v>-0.43329074824302083</c:v>
                </c:pt>
                <c:pt idx="115">
                  <c:v>-0.45181117678177385</c:v>
                </c:pt>
                <c:pt idx="116">
                  <c:v>-0.44846793269633212</c:v>
                </c:pt>
                <c:pt idx="117">
                  <c:v>-0.23702607920235685</c:v>
                </c:pt>
                <c:pt idx="118">
                  <c:v>-0.13799393033381335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F9-45CE-A0FB-F7D03254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34000"/>
        <c:axId val="1022646480"/>
      </c:scatterChart>
      <c:valAx>
        <c:axId val="102263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6480"/>
        <c:crosses val="autoZero"/>
        <c:crossBetween val="midCat"/>
      </c:valAx>
      <c:valAx>
        <c:axId val="1022646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340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NewYork!$M$6:$M$124</c:f>
              <c:numCache>
                <c:formatCode>General</c:formatCode>
                <c:ptCount val="119"/>
                <c:pt idx="0">
                  <c:v>7.8389740000000003</c:v>
                </c:pt>
                <c:pt idx="1">
                  <c:v>7.8726609999999999</c:v>
                </c:pt>
                <c:pt idx="2">
                  <c:v>7.8685780000000003</c:v>
                </c:pt>
                <c:pt idx="3">
                  <c:v>7.605213</c:v>
                </c:pt>
                <c:pt idx="4">
                  <c:v>7.5545410000000004</c:v>
                </c:pt>
                <c:pt idx="5">
                  <c:v>7.4162249999999998</c:v>
                </c:pt>
                <c:pt idx="6">
                  <c:v>7.2506389999999996</c:v>
                </c:pt>
                <c:pt idx="7">
                  <c:v>7.300046</c:v>
                </c:pt>
                <c:pt idx="8">
                  <c:v>6.8579800000000004</c:v>
                </c:pt>
                <c:pt idx="9">
                  <c:v>6.6192659999999997</c:v>
                </c:pt>
                <c:pt idx="10">
                  <c:v>6.4492589999999996</c:v>
                </c:pt>
                <c:pt idx="11">
                  <c:v>6.1680979999999996</c:v>
                </c:pt>
                <c:pt idx="12">
                  <c:v>6.2663760000000002</c:v>
                </c:pt>
                <c:pt idx="13">
                  <c:v>6.289574</c:v>
                </c:pt>
                <c:pt idx="14">
                  <c:v>6.1920520000000003</c:v>
                </c:pt>
                <c:pt idx="15">
                  <c:v>6.4108159999999996</c:v>
                </c:pt>
                <c:pt idx="16">
                  <c:v>6.6674569999999997</c:v>
                </c:pt>
                <c:pt idx="17">
                  <c:v>7.0529500000000001</c:v>
                </c:pt>
                <c:pt idx="18">
                  <c:v>7.4170600000000002</c:v>
                </c:pt>
                <c:pt idx="19">
                  <c:v>7.777768</c:v>
                </c:pt>
                <c:pt idx="20">
                  <c:v>7.9037759999999997</c:v>
                </c:pt>
                <c:pt idx="21">
                  <c:v>8.2142999999999997</c:v>
                </c:pt>
                <c:pt idx="22">
                  <c:v>8.5225860000000004</c:v>
                </c:pt>
                <c:pt idx="23">
                  <c:v>9.0134270000000001</c:v>
                </c:pt>
                <c:pt idx="24">
                  <c:v>9.5206890000000008</c:v>
                </c:pt>
                <c:pt idx="25">
                  <c:v>9.8469820000000006</c:v>
                </c:pt>
                <c:pt idx="26">
                  <c:v>9.6587069999999997</c:v>
                </c:pt>
                <c:pt idx="27">
                  <c:v>9.4504169999999998</c:v>
                </c:pt>
                <c:pt idx="28">
                  <c:v>9.2100299999999997</c:v>
                </c:pt>
                <c:pt idx="29">
                  <c:v>8.9316250000000004</c:v>
                </c:pt>
                <c:pt idx="30">
                  <c:v>9.0297180000000008</c:v>
                </c:pt>
                <c:pt idx="31">
                  <c:v>9.1005529999999997</c:v>
                </c:pt>
                <c:pt idx="32">
                  <c:v>8.9335789999999999</c:v>
                </c:pt>
                <c:pt idx="33">
                  <c:v>8.7766730000000006</c:v>
                </c:pt>
                <c:pt idx="34">
                  <c:v>8.8444400000000005</c:v>
                </c:pt>
                <c:pt idx="35">
                  <c:v>8.6657440000000001</c:v>
                </c:pt>
                <c:pt idx="36">
                  <c:v>8.3326600000000006</c:v>
                </c:pt>
                <c:pt idx="37">
                  <c:v>8.0712080000000004</c:v>
                </c:pt>
                <c:pt idx="38">
                  <c:v>7.6872429999999996</c:v>
                </c:pt>
                <c:pt idx="39">
                  <c:v>7.5811630000000001</c:v>
                </c:pt>
                <c:pt idx="40">
                  <c:v>7.8885149999999999</c:v>
                </c:pt>
                <c:pt idx="41">
                  <c:v>8.1149740000000001</c:v>
                </c:pt>
                <c:pt idx="42">
                  <c:v>8.5578719999999997</c:v>
                </c:pt>
                <c:pt idx="43">
                  <c:v>8.7949750000000009</c:v>
                </c:pt>
                <c:pt idx="44">
                  <c:v>8.8745960000000004</c:v>
                </c:pt>
                <c:pt idx="45">
                  <c:v>8.4466739999999998</c:v>
                </c:pt>
                <c:pt idx="46">
                  <c:v>7.9908419999999998</c:v>
                </c:pt>
                <c:pt idx="47">
                  <c:v>7.5548060000000001</c:v>
                </c:pt>
                <c:pt idx="48">
                  <c:v>6.915438</c:v>
                </c:pt>
                <c:pt idx="49">
                  <c:v>7.0063909999999998</c:v>
                </c:pt>
                <c:pt idx="50">
                  <c:v>6.9792899999999998</c:v>
                </c:pt>
                <c:pt idx="51">
                  <c:v>6.8879739999999998</c:v>
                </c:pt>
                <c:pt idx="52">
                  <c:v>6.9421080000000002</c:v>
                </c:pt>
                <c:pt idx="53">
                  <c:v>6.9145130000000004</c:v>
                </c:pt>
                <c:pt idx="54">
                  <c:v>6.9094709999999999</c:v>
                </c:pt>
                <c:pt idx="55">
                  <c:v>6.9931960000000002</c:v>
                </c:pt>
                <c:pt idx="56">
                  <c:v>7.4176149999999996</c:v>
                </c:pt>
                <c:pt idx="57">
                  <c:v>7.7259229999999999</c:v>
                </c:pt>
                <c:pt idx="58">
                  <c:v>7.9277559999999996</c:v>
                </c:pt>
                <c:pt idx="59">
                  <c:v>8.1213669999999993</c:v>
                </c:pt>
                <c:pt idx="60">
                  <c:v>8.209994</c:v>
                </c:pt>
                <c:pt idx="61">
                  <c:v>8.2809570000000008</c:v>
                </c:pt>
                <c:pt idx="62">
                  <c:v>8.3809520000000006</c:v>
                </c:pt>
                <c:pt idx="63">
                  <c:v>8.4483809999999995</c:v>
                </c:pt>
                <c:pt idx="64">
                  <c:v>8.3313179999999996</c:v>
                </c:pt>
                <c:pt idx="65">
                  <c:v>8.3067980000000006</c:v>
                </c:pt>
                <c:pt idx="66">
                  <c:v>7.9418540000000002</c:v>
                </c:pt>
                <c:pt idx="67">
                  <c:v>7.8480670000000003</c:v>
                </c:pt>
                <c:pt idx="68">
                  <c:v>7.5997960000000004</c:v>
                </c:pt>
                <c:pt idx="69">
                  <c:v>7.2134819999999999</c:v>
                </c:pt>
                <c:pt idx="70">
                  <c:v>7.1084759999999996</c:v>
                </c:pt>
                <c:pt idx="71">
                  <c:v>6.8076439999999998</c:v>
                </c:pt>
                <c:pt idx="72">
                  <c:v>6.6146440000000002</c:v>
                </c:pt>
                <c:pt idx="73">
                  <c:v>6.4400180000000002</c:v>
                </c:pt>
                <c:pt idx="74">
                  <c:v>6.2681430000000002</c:v>
                </c:pt>
                <c:pt idx="75">
                  <c:v>6.0791539999999999</c:v>
                </c:pt>
                <c:pt idx="76">
                  <c:v>6.0132349999999999</c:v>
                </c:pt>
                <c:pt idx="77">
                  <c:v>5.9433009999999999</c:v>
                </c:pt>
                <c:pt idx="78">
                  <c:v>5.9096359999999999</c:v>
                </c:pt>
                <c:pt idx="79">
                  <c:v>5.7099780000000004</c:v>
                </c:pt>
                <c:pt idx="80">
                  <c:v>5.4174629999999997</c:v>
                </c:pt>
                <c:pt idx="81">
                  <c:v>5.033677</c:v>
                </c:pt>
                <c:pt idx="82">
                  <c:v>4.6465560000000004</c:v>
                </c:pt>
                <c:pt idx="83">
                  <c:v>4.456664</c:v>
                </c:pt>
                <c:pt idx="84">
                  <c:v>4.252605</c:v>
                </c:pt>
                <c:pt idx="85">
                  <c:v>4.2473010000000002</c:v>
                </c:pt>
                <c:pt idx="86">
                  <c:v>4.2275859999999996</c:v>
                </c:pt>
                <c:pt idx="87">
                  <c:v>4.4117199999999999</c:v>
                </c:pt>
                <c:pt idx="88">
                  <c:v>4.905367</c:v>
                </c:pt>
                <c:pt idx="89">
                  <c:v>5.6118350000000001</c:v>
                </c:pt>
                <c:pt idx="90">
                  <c:v>6.2695150000000002</c:v>
                </c:pt>
                <c:pt idx="91">
                  <c:v>6.7407180000000002</c:v>
                </c:pt>
                <c:pt idx="92">
                  <c:v>6.8791710000000004</c:v>
                </c:pt>
                <c:pt idx="93">
                  <c:v>6.7584390000000001</c:v>
                </c:pt>
                <c:pt idx="94">
                  <c:v>6.6143520000000002</c:v>
                </c:pt>
                <c:pt idx="95">
                  <c:v>6.3602910000000001</c:v>
                </c:pt>
                <c:pt idx="96">
                  <c:v>6.0857970000000003</c:v>
                </c:pt>
                <c:pt idx="97">
                  <c:v>5.7741720000000001</c:v>
                </c:pt>
                <c:pt idx="98">
                  <c:v>5.4525949999999996</c:v>
                </c:pt>
                <c:pt idx="99">
                  <c:v>5.1790039999999999</c:v>
                </c:pt>
                <c:pt idx="100">
                  <c:v>5.051812</c:v>
                </c:pt>
                <c:pt idx="101">
                  <c:v>4.9569190000000001</c:v>
                </c:pt>
                <c:pt idx="102">
                  <c:v>4.9337479999999996</c:v>
                </c:pt>
                <c:pt idx="103">
                  <c:v>4.928375</c:v>
                </c:pt>
                <c:pt idx="104">
                  <c:v>4.8016829999999997</c:v>
                </c:pt>
                <c:pt idx="105">
                  <c:v>4.7192410000000002</c:v>
                </c:pt>
                <c:pt idx="106">
                  <c:v>4.6646869999999998</c:v>
                </c:pt>
                <c:pt idx="107">
                  <c:v>4.5459240000000003</c:v>
                </c:pt>
                <c:pt idx="108">
                  <c:v>4.4858770000000003</c:v>
                </c:pt>
                <c:pt idx="109">
                  <c:v>4.4148040000000002</c:v>
                </c:pt>
                <c:pt idx="110">
                  <c:v>4.3681020000000004</c:v>
                </c:pt>
                <c:pt idx="111">
                  <c:v>4.3709930000000004</c:v>
                </c:pt>
                <c:pt idx="112">
                  <c:v>4.2704779999999998</c:v>
                </c:pt>
                <c:pt idx="113">
                  <c:v>4.2170100000000001</c:v>
                </c:pt>
                <c:pt idx="114">
                  <c:v>4.1024799999999999</c:v>
                </c:pt>
                <c:pt idx="115">
                  <c:v>3.940515</c:v>
                </c:pt>
                <c:pt idx="116">
                  <c:v>3.9390390000000002</c:v>
                </c:pt>
                <c:pt idx="117">
                  <c:v>3.7995009999999998</c:v>
                </c:pt>
                <c:pt idx="118">
                  <c:v>3.7430289999999999</c:v>
                </c:pt>
              </c:numCache>
            </c:numRef>
          </c:xVal>
          <c:yVal>
            <c:numRef>
              <c:f>'Model 2 NY'!$C$28:$C$146</c:f>
              <c:numCache>
                <c:formatCode>General</c:formatCode>
                <c:ptCount val="119"/>
                <c:pt idx="0">
                  <c:v>-0.33367160552304043</c:v>
                </c:pt>
                <c:pt idx="1">
                  <c:v>-0.63139611097971571</c:v>
                </c:pt>
                <c:pt idx="2">
                  <c:v>-0.83045534680404742</c:v>
                </c:pt>
                <c:pt idx="3">
                  <c:v>-0.5091609602567555</c:v>
                </c:pt>
                <c:pt idx="4">
                  <c:v>-0.97850991488488592</c:v>
                </c:pt>
                <c:pt idx="5">
                  <c:v>-0.94591996118769472</c:v>
                </c:pt>
                <c:pt idx="6">
                  <c:v>-0.95934278576511467</c:v>
                </c:pt>
                <c:pt idx="7">
                  <c:v>-1.2326612409484641</c:v>
                </c:pt>
                <c:pt idx="8">
                  <c:v>-0.70028785086437129</c:v>
                </c:pt>
                <c:pt idx="9">
                  <c:v>-0.66874614155897838</c:v>
                </c:pt>
                <c:pt idx="10">
                  <c:v>-0.37356375520128893</c:v>
                </c:pt>
                <c:pt idx="11">
                  <c:v>0.31543032022073003</c:v>
                </c:pt>
                <c:pt idx="12">
                  <c:v>0.32021992844720959</c:v>
                </c:pt>
                <c:pt idx="13">
                  <c:v>0.54243656154394859</c:v>
                </c:pt>
                <c:pt idx="14">
                  <c:v>0.73913160959772473</c:v>
                </c:pt>
                <c:pt idx="15">
                  <c:v>0.77761557512075008</c:v>
                </c:pt>
                <c:pt idx="16">
                  <c:v>0.64680176097443631</c:v>
                </c:pt>
                <c:pt idx="17">
                  <c:v>0.61183871271166801</c:v>
                </c:pt>
                <c:pt idx="18">
                  <c:v>0.76079427886659445</c:v>
                </c:pt>
                <c:pt idx="19">
                  <c:v>1.0141360791294645</c:v>
                </c:pt>
                <c:pt idx="20">
                  <c:v>1.6278535612873277</c:v>
                </c:pt>
                <c:pt idx="21">
                  <c:v>1.9260250604283691</c:v>
                </c:pt>
                <c:pt idx="22">
                  <c:v>1.5636886058457833</c:v>
                </c:pt>
                <c:pt idx="23">
                  <c:v>0.92416455312253198</c:v>
                </c:pt>
                <c:pt idx="24">
                  <c:v>9.0038937185646262E-2</c:v>
                </c:pt>
                <c:pt idx="25">
                  <c:v>-0.75512564549955741</c:v>
                </c:pt>
                <c:pt idx="26">
                  <c:v>-0.43291460129207771</c:v>
                </c:pt>
                <c:pt idx="27">
                  <c:v>-0.4298284532989971</c:v>
                </c:pt>
                <c:pt idx="28">
                  <c:v>-0.30383669342617559</c:v>
                </c:pt>
                <c:pt idx="29">
                  <c:v>1.6765143777151437E-2</c:v>
                </c:pt>
                <c:pt idx="30">
                  <c:v>9.2534797146837988E-2</c:v>
                </c:pt>
                <c:pt idx="31">
                  <c:v>-3.7215176237200609E-2</c:v>
                </c:pt>
                <c:pt idx="32">
                  <c:v>-9.1751964236092221E-2</c:v>
                </c:pt>
                <c:pt idx="33">
                  <c:v>-0.48783060683407875</c:v>
                </c:pt>
                <c:pt idx="34">
                  <c:v>-0.9786773578736776</c:v>
                </c:pt>
                <c:pt idx="35">
                  <c:v>-0.64311829631407491</c:v>
                </c:pt>
                <c:pt idx="36">
                  <c:v>-0.30128437411532794</c:v>
                </c:pt>
                <c:pt idx="37">
                  <c:v>9.7404786555010503E-2</c:v>
                </c:pt>
                <c:pt idx="38">
                  <c:v>0.96697194650018048</c:v>
                </c:pt>
                <c:pt idx="39">
                  <c:v>1.3011704682765668</c:v>
                </c:pt>
                <c:pt idx="40">
                  <c:v>1.1551187190919379</c:v>
                </c:pt>
                <c:pt idx="41">
                  <c:v>0.41744639419241913</c:v>
                </c:pt>
                <c:pt idx="42">
                  <c:v>-0.34763263702074898</c:v>
                </c:pt>
                <c:pt idx="43">
                  <c:v>-0.8163579003441539</c:v>
                </c:pt>
                <c:pt idx="44">
                  <c:v>-1.4584202437122595</c:v>
                </c:pt>
                <c:pt idx="45">
                  <c:v>-0.95725178299985192</c:v>
                </c:pt>
                <c:pt idx="46">
                  <c:v>-0.6883198533298609</c:v>
                </c:pt>
                <c:pt idx="47">
                  <c:v>-0.38750798527971142</c:v>
                </c:pt>
                <c:pt idx="48">
                  <c:v>0.13270964360836413</c:v>
                </c:pt>
                <c:pt idx="49">
                  <c:v>0.17470487053058736</c:v>
                </c:pt>
                <c:pt idx="50">
                  <c:v>0.28777823412368519</c:v>
                </c:pt>
                <c:pt idx="51">
                  <c:v>0.61024820253549006</c:v>
                </c:pt>
                <c:pt idx="52">
                  <c:v>1.3562591930197545</c:v>
                </c:pt>
                <c:pt idx="53">
                  <c:v>1.5259390445609338</c:v>
                </c:pt>
                <c:pt idx="54">
                  <c:v>1.5635008647646851</c:v>
                </c:pt>
                <c:pt idx="55">
                  <c:v>1.3080533296283932</c:v>
                </c:pt>
                <c:pt idx="56">
                  <c:v>0.62803075810317743</c:v>
                </c:pt>
                <c:pt idx="57">
                  <c:v>0.36407862736001917</c:v>
                </c:pt>
                <c:pt idx="58">
                  <c:v>0.66065968203218262</c:v>
                </c:pt>
                <c:pt idx="59">
                  <c:v>0.76174710431414105</c:v>
                </c:pt>
                <c:pt idx="60">
                  <c:v>0.7005385822030199</c:v>
                </c:pt>
                <c:pt idx="61">
                  <c:v>0.40989107784785617</c:v>
                </c:pt>
                <c:pt idx="62">
                  <c:v>-0.24681714699109403</c:v>
                </c:pt>
                <c:pt idx="63">
                  <c:v>-0.53946806891185517</c:v>
                </c:pt>
                <c:pt idx="64">
                  <c:v>-0.69347234011928993</c:v>
                </c:pt>
                <c:pt idx="65">
                  <c:v>-0.86855939076196176</c:v>
                </c:pt>
                <c:pt idx="66">
                  <c:v>-0.53870227904977597</c:v>
                </c:pt>
                <c:pt idx="67">
                  <c:v>-0.44182354502607524</c:v>
                </c:pt>
                <c:pt idx="68">
                  <c:v>-0.37510713949022012</c:v>
                </c:pt>
                <c:pt idx="69">
                  <c:v>-0.20467437373328146</c:v>
                </c:pt>
                <c:pt idx="70">
                  <c:v>-8.8429117869655016E-3</c:v>
                </c:pt>
                <c:pt idx="71">
                  <c:v>-1.7239137837341545E-3</c:v>
                </c:pt>
                <c:pt idx="72">
                  <c:v>6.5474620824945262E-2</c:v>
                </c:pt>
                <c:pt idx="73">
                  <c:v>8.506859084858398E-2</c:v>
                </c:pt>
                <c:pt idx="74">
                  <c:v>9.7685583301900358E-2</c:v>
                </c:pt>
                <c:pt idx="75">
                  <c:v>-7.5963312578728015E-2</c:v>
                </c:pt>
                <c:pt idx="76">
                  <c:v>-0.2277561595232509</c:v>
                </c:pt>
                <c:pt idx="77">
                  <c:v>-0.49984207843497064</c:v>
                </c:pt>
                <c:pt idx="78">
                  <c:v>-0.718162117164308</c:v>
                </c:pt>
                <c:pt idx="79">
                  <c:v>-0.37698103741069389</c:v>
                </c:pt>
                <c:pt idx="80">
                  <c:v>-0.13713597683775003</c:v>
                </c:pt>
                <c:pt idx="81">
                  <c:v>0.13823658111076398</c:v>
                </c:pt>
                <c:pt idx="82">
                  <c:v>0.37512173074316113</c:v>
                </c:pt>
                <c:pt idx="83">
                  <c:v>-0.24657863539515557</c:v>
                </c:pt>
                <c:pt idx="84">
                  <c:v>-0.3000687500191912</c:v>
                </c:pt>
                <c:pt idx="85">
                  <c:v>-0.25267847782370279</c:v>
                </c:pt>
                <c:pt idx="86">
                  <c:v>0.22802952657795039</c:v>
                </c:pt>
                <c:pt idx="87">
                  <c:v>1.4212377495836845</c:v>
                </c:pt>
                <c:pt idx="88">
                  <c:v>1.504056097079645</c:v>
                </c:pt>
                <c:pt idx="89">
                  <c:v>0.98290718131378885</c:v>
                </c:pt>
                <c:pt idx="90">
                  <c:v>0.32965322673826236</c:v>
                </c:pt>
                <c:pt idx="91">
                  <c:v>-0.30314067691897151</c:v>
                </c:pt>
                <c:pt idx="92">
                  <c:v>-0.5438907437925371</c:v>
                </c:pt>
                <c:pt idx="93">
                  <c:v>-0.23199412991991863</c:v>
                </c:pt>
                <c:pt idx="94">
                  <c:v>-0.11057251415980129</c:v>
                </c:pt>
                <c:pt idx="95">
                  <c:v>-0.11532803534888014</c:v>
                </c:pt>
                <c:pt idx="96">
                  <c:v>-0.17821166708184499</c:v>
                </c:pt>
                <c:pt idx="97">
                  <c:v>-0.23162239357235404</c:v>
                </c:pt>
                <c:pt idx="98">
                  <c:v>-2.7433109345624374E-2</c:v>
                </c:pt>
                <c:pt idx="99">
                  <c:v>0.23488012132408631</c:v>
                </c:pt>
                <c:pt idx="100">
                  <c:v>9.3275382281379215E-2</c:v>
                </c:pt>
                <c:pt idx="101">
                  <c:v>-0.12950926282623598</c:v>
                </c:pt>
                <c:pt idx="102">
                  <c:v>-0.33654334753258741</c:v>
                </c:pt>
                <c:pt idx="103">
                  <c:v>-0.54656224201584092</c:v>
                </c:pt>
                <c:pt idx="104">
                  <c:v>-0.36971951995486485</c:v>
                </c:pt>
                <c:pt idx="105">
                  <c:v>-0.20676936916491329</c:v>
                </c:pt>
                <c:pt idx="106">
                  <c:v>-6.4818251859723119E-2</c:v>
                </c:pt>
                <c:pt idx="107">
                  <c:v>-0.17149940033528033</c:v>
                </c:pt>
                <c:pt idx="108">
                  <c:v>-0.5394663994928246</c:v>
                </c:pt>
                <c:pt idx="109">
                  <c:v>-0.46244683292192512</c:v>
                </c:pt>
                <c:pt idx="110">
                  <c:v>-0.61030356208035386</c:v>
                </c:pt>
                <c:pt idx="111">
                  <c:v>-0.66240919630459905</c:v>
                </c:pt>
                <c:pt idx="112">
                  <c:v>-0.34237173935024945</c:v>
                </c:pt>
                <c:pt idx="113">
                  <c:v>-0.43638830054581801</c:v>
                </c:pt>
                <c:pt idx="114">
                  <c:v>-0.44273863996251706</c:v>
                </c:pt>
                <c:pt idx="115">
                  <c:v>-0.37479248009994803</c:v>
                </c:pt>
                <c:pt idx="116">
                  <c:v>-0.21909914084619553</c:v>
                </c:pt>
                <c:pt idx="117">
                  <c:v>-0.18034259827589905</c:v>
                </c:pt>
                <c:pt idx="118">
                  <c:v>-7.423295204340663E-2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1E-4D91-8D1C-8185E8AB9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8816"/>
        <c:axId val="1217514416"/>
      </c:scatterChart>
      <c:valAx>
        <c:axId val="121752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14416"/>
        <c:crosses val="autoZero"/>
        <c:crossBetween val="midCat"/>
      </c:valAx>
      <c:valAx>
        <c:axId val="1217514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NY'!$C$28:$C$146</c:f>
              <c:numCache>
                <c:formatCode>General</c:formatCode>
                <c:ptCount val="119"/>
                <c:pt idx="0">
                  <c:v>-0.33367160552304043</c:v>
                </c:pt>
                <c:pt idx="1">
                  <c:v>-0.63139611097971571</c:v>
                </c:pt>
                <c:pt idx="2">
                  <c:v>-0.83045534680404742</c:v>
                </c:pt>
                <c:pt idx="3">
                  <c:v>-0.5091609602567555</c:v>
                </c:pt>
                <c:pt idx="4">
                  <c:v>-0.97850991488488592</c:v>
                </c:pt>
                <c:pt idx="5">
                  <c:v>-0.94591996118769472</c:v>
                </c:pt>
                <c:pt idx="6">
                  <c:v>-0.95934278576511467</c:v>
                </c:pt>
                <c:pt idx="7">
                  <c:v>-1.2326612409484641</c:v>
                </c:pt>
                <c:pt idx="8">
                  <c:v>-0.70028785086437129</c:v>
                </c:pt>
                <c:pt idx="9">
                  <c:v>-0.66874614155897838</c:v>
                </c:pt>
                <c:pt idx="10">
                  <c:v>-0.37356375520128893</c:v>
                </c:pt>
                <c:pt idx="11">
                  <c:v>0.31543032022073003</c:v>
                </c:pt>
                <c:pt idx="12">
                  <c:v>0.32021992844720959</c:v>
                </c:pt>
                <c:pt idx="13">
                  <c:v>0.54243656154394859</c:v>
                </c:pt>
                <c:pt idx="14">
                  <c:v>0.73913160959772473</c:v>
                </c:pt>
                <c:pt idx="15">
                  <c:v>0.77761557512075008</c:v>
                </c:pt>
                <c:pt idx="16">
                  <c:v>0.64680176097443631</c:v>
                </c:pt>
                <c:pt idx="17">
                  <c:v>0.61183871271166801</c:v>
                </c:pt>
                <c:pt idx="18">
                  <c:v>0.76079427886659445</c:v>
                </c:pt>
                <c:pt idx="19">
                  <c:v>1.0141360791294645</c:v>
                </c:pt>
                <c:pt idx="20">
                  <c:v>1.6278535612873277</c:v>
                </c:pt>
                <c:pt idx="21">
                  <c:v>1.9260250604283691</c:v>
                </c:pt>
                <c:pt idx="22">
                  <c:v>1.5636886058457833</c:v>
                </c:pt>
                <c:pt idx="23">
                  <c:v>0.92416455312253198</c:v>
                </c:pt>
                <c:pt idx="24">
                  <c:v>9.0038937185646262E-2</c:v>
                </c:pt>
                <c:pt idx="25">
                  <c:v>-0.75512564549955741</c:v>
                </c:pt>
                <c:pt idx="26">
                  <c:v>-0.43291460129207771</c:v>
                </c:pt>
                <c:pt idx="27">
                  <c:v>-0.4298284532989971</c:v>
                </c:pt>
                <c:pt idx="28">
                  <c:v>-0.30383669342617559</c:v>
                </c:pt>
                <c:pt idx="29">
                  <c:v>1.6765143777151437E-2</c:v>
                </c:pt>
                <c:pt idx="30">
                  <c:v>9.2534797146837988E-2</c:v>
                </c:pt>
                <c:pt idx="31">
                  <c:v>-3.7215176237200609E-2</c:v>
                </c:pt>
                <c:pt idx="32">
                  <c:v>-9.1751964236092221E-2</c:v>
                </c:pt>
                <c:pt idx="33">
                  <c:v>-0.48783060683407875</c:v>
                </c:pt>
                <c:pt idx="34">
                  <c:v>-0.9786773578736776</c:v>
                </c:pt>
                <c:pt idx="35">
                  <c:v>-0.64311829631407491</c:v>
                </c:pt>
                <c:pt idx="36">
                  <c:v>-0.30128437411532794</c:v>
                </c:pt>
                <c:pt idx="37">
                  <c:v>9.7404786555010503E-2</c:v>
                </c:pt>
                <c:pt idx="38">
                  <c:v>0.96697194650018048</c:v>
                </c:pt>
                <c:pt idx="39">
                  <c:v>1.3011704682765668</c:v>
                </c:pt>
                <c:pt idx="40">
                  <c:v>1.1551187190919379</c:v>
                </c:pt>
                <c:pt idx="41">
                  <c:v>0.41744639419241913</c:v>
                </c:pt>
                <c:pt idx="42">
                  <c:v>-0.34763263702074898</c:v>
                </c:pt>
                <c:pt idx="43">
                  <c:v>-0.8163579003441539</c:v>
                </c:pt>
                <c:pt idx="44">
                  <c:v>-1.4584202437122595</c:v>
                </c:pt>
                <c:pt idx="45">
                  <c:v>-0.95725178299985192</c:v>
                </c:pt>
                <c:pt idx="46">
                  <c:v>-0.6883198533298609</c:v>
                </c:pt>
                <c:pt idx="47">
                  <c:v>-0.38750798527971142</c:v>
                </c:pt>
                <c:pt idx="48">
                  <c:v>0.13270964360836413</c:v>
                </c:pt>
                <c:pt idx="49">
                  <c:v>0.17470487053058736</c:v>
                </c:pt>
                <c:pt idx="50">
                  <c:v>0.28777823412368519</c:v>
                </c:pt>
                <c:pt idx="51">
                  <c:v>0.61024820253549006</c:v>
                </c:pt>
                <c:pt idx="52">
                  <c:v>1.3562591930197545</c:v>
                </c:pt>
                <c:pt idx="53">
                  <c:v>1.5259390445609338</c:v>
                </c:pt>
                <c:pt idx="54">
                  <c:v>1.5635008647646851</c:v>
                </c:pt>
                <c:pt idx="55">
                  <c:v>1.3080533296283932</c:v>
                </c:pt>
                <c:pt idx="56">
                  <c:v>0.62803075810317743</c:v>
                </c:pt>
                <c:pt idx="57">
                  <c:v>0.36407862736001917</c:v>
                </c:pt>
                <c:pt idx="58">
                  <c:v>0.66065968203218262</c:v>
                </c:pt>
                <c:pt idx="59">
                  <c:v>0.76174710431414105</c:v>
                </c:pt>
                <c:pt idx="60">
                  <c:v>0.7005385822030199</c:v>
                </c:pt>
                <c:pt idx="61">
                  <c:v>0.40989107784785617</c:v>
                </c:pt>
                <c:pt idx="62">
                  <c:v>-0.24681714699109403</c:v>
                </c:pt>
                <c:pt idx="63">
                  <c:v>-0.53946806891185517</c:v>
                </c:pt>
                <c:pt idx="64">
                  <c:v>-0.69347234011928993</c:v>
                </c:pt>
                <c:pt idx="65">
                  <c:v>-0.86855939076196176</c:v>
                </c:pt>
                <c:pt idx="66">
                  <c:v>-0.53870227904977597</c:v>
                </c:pt>
                <c:pt idx="67">
                  <c:v>-0.44182354502607524</c:v>
                </c:pt>
                <c:pt idx="68">
                  <c:v>-0.37510713949022012</c:v>
                </c:pt>
                <c:pt idx="69">
                  <c:v>-0.20467437373328146</c:v>
                </c:pt>
                <c:pt idx="70">
                  <c:v>-8.8429117869655016E-3</c:v>
                </c:pt>
                <c:pt idx="71">
                  <c:v>-1.7239137837341545E-3</c:v>
                </c:pt>
                <c:pt idx="72">
                  <c:v>6.5474620824945262E-2</c:v>
                </c:pt>
                <c:pt idx="73">
                  <c:v>8.506859084858398E-2</c:v>
                </c:pt>
                <c:pt idx="74">
                  <c:v>9.7685583301900358E-2</c:v>
                </c:pt>
                <c:pt idx="75">
                  <c:v>-7.5963312578728015E-2</c:v>
                </c:pt>
                <c:pt idx="76">
                  <c:v>-0.2277561595232509</c:v>
                </c:pt>
                <c:pt idx="77">
                  <c:v>-0.49984207843497064</c:v>
                </c:pt>
                <c:pt idx="78">
                  <c:v>-0.718162117164308</c:v>
                </c:pt>
                <c:pt idx="79">
                  <c:v>-0.37698103741069389</c:v>
                </c:pt>
                <c:pt idx="80">
                  <c:v>-0.13713597683775003</c:v>
                </c:pt>
                <c:pt idx="81">
                  <c:v>0.13823658111076398</c:v>
                </c:pt>
                <c:pt idx="82">
                  <c:v>0.37512173074316113</c:v>
                </c:pt>
                <c:pt idx="83">
                  <c:v>-0.24657863539515557</c:v>
                </c:pt>
                <c:pt idx="84">
                  <c:v>-0.3000687500191912</c:v>
                </c:pt>
                <c:pt idx="85">
                  <c:v>-0.25267847782370279</c:v>
                </c:pt>
                <c:pt idx="86">
                  <c:v>0.22802952657795039</c:v>
                </c:pt>
                <c:pt idx="87">
                  <c:v>1.4212377495836845</c:v>
                </c:pt>
                <c:pt idx="88">
                  <c:v>1.504056097079645</c:v>
                </c:pt>
                <c:pt idx="89">
                  <c:v>0.98290718131378885</c:v>
                </c:pt>
                <c:pt idx="90">
                  <c:v>0.32965322673826236</c:v>
                </c:pt>
                <c:pt idx="91">
                  <c:v>-0.30314067691897151</c:v>
                </c:pt>
                <c:pt idx="92">
                  <c:v>-0.5438907437925371</c:v>
                </c:pt>
                <c:pt idx="93">
                  <c:v>-0.23199412991991863</c:v>
                </c:pt>
                <c:pt idx="94">
                  <c:v>-0.11057251415980129</c:v>
                </c:pt>
                <c:pt idx="95">
                  <c:v>-0.11532803534888014</c:v>
                </c:pt>
                <c:pt idx="96">
                  <c:v>-0.17821166708184499</c:v>
                </c:pt>
                <c:pt idx="97">
                  <c:v>-0.23162239357235404</c:v>
                </c:pt>
                <c:pt idx="98">
                  <c:v>-2.7433109345624374E-2</c:v>
                </c:pt>
                <c:pt idx="99">
                  <c:v>0.23488012132408631</c:v>
                </c:pt>
                <c:pt idx="100">
                  <c:v>9.3275382281379215E-2</c:v>
                </c:pt>
                <c:pt idx="101">
                  <c:v>-0.12950926282623598</c:v>
                </c:pt>
                <c:pt idx="102">
                  <c:v>-0.33654334753258741</c:v>
                </c:pt>
                <c:pt idx="103">
                  <c:v>-0.54656224201584092</c:v>
                </c:pt>
                <c:pt idx="104">
                  <c:v>-0.36971951995486485</c:v>
                </c:pt>
                <c:pt idx="105">
                  <c:v>-0.20676936916491329</c:v>
                </c:pt>
                <c:pt idx="106">
                  <c:v>-6.4818251859723119E-2</c:v>
                </c:pt>
                <c:pt idx="107">
                  <c:v>-0.17149940033528033</c:v>
                </c:pt>
                <c:pt idx="108">
                  <c:v>-0.5394663994928246</c:v>
                </c:pt>
                <c:pt idx="109">
                  <c:v>-0.46244683292192512</c:v>
                </c:pt>
                <c:pt idx="110">
                  <c:v>-0.61030356208035386</c:v>
                </c:pt>
                <c:pt idx="111">
                  <c:v>-0.66240919630459905</c:v>
                </c:pt>
                <c:pt idx="112">
                  <c:v>-0.34237173935024945</c:v>
                </c:pt>
                <c:pt idx="113">
                  <c:v>-0.43638830054581801</c:v>
                </c:pt>
                <c:pt idx="114">
                  <c:v>-0.44273863996251706</c:v>
                </c:pt>
                <c:pt idx="115">
                  <c:v>-0.37479248009994803</c:v>
                </c:pt>
                <c:pt idx="116">
                  <c:v>-0.21909914084619553</c:v>
                </c:pt>
                <c:pt idx="117">
                  <c:v>-0.18034259827589905</c:v>
                </c:pt>
                <c:pt idx="118">
                  <c:v>-7.423295204340663E-2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5F-4B3E-BEE1-CF9C7573C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28816"/>
        <c:axId val="1217532656"/>
      </c:scatterChart>
      <c:valAx>
        <c:axId val="121752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2656"/>
        <c:crosses val="autoZero"/>
        <c:crossBetween val="midCat"/>
      </c:valAx>
      <c:valAx>
        <c:axId val="121753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2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NewYork!$O$6:$O$124</c:f>
              <c:numCache>
                <c:formatCode>General</c:formatCode>
                <c:ptCount val="119"/>
                <c:pt idx="0">
                  <c:v>1.0535564853556485</c:v>
                </c:pt>
                <c:pt idx="1">
                  <c:v>1.0479189485213583</c:v>
                </c:pt>
                <c:pt idx="2">
                  <c:v>1.0353862776877363</c:v>
                </c:pt>
                <c:pt idx="3">
                  <c:v>1.0310642895732036</c:v>
                </c:pt>
                <c:pt idx="4">
                  <c:v>0.99205718824463851</c:v>
                </c:pt>
                <c:pt idx="5">
                  <c:v>0.9636791220276979</c:v>
                </c:pt>
                <c:pt idx="6">
                  <c:v>0.95825723975997912</c:v>
                </c:pt>
                <c:pt idx="7">
                  <c:v>0.96515588158239463</c:v>
                </c:pt>
                <c:pt idx="8">
                  <c:v>0.98879103282626102</c:v>
                </c:pt>
                <c:pt idx="9">
                  <c:v>1.0089479392624729</c:v>
                </c:pt>
                <c:pt idx="10">
                  <c:v>1.0144296215627553</c:v>
                </c:pt>
                <c:pt idx="11">
                  <c:v>1.0127578718783929</c:v>
                </c:pt>
                <c:pt idx="12">
                  <c:v>1.0102564102564102</c:v>
                </c:pt>
                <c:pt idx="13">
                  <c:v>1.0048374092985757</c:v>
                </c:pt>
                <c:pt idx="14">
                  <c:v>0.99329039184111645</c:v>
                </c:pt>
                <c:pt idx="15">
                  <c:v>0.96542481908335565</c:v>
                </c:pt>
                <c:pt idx="16">
                  <c:v>0.9465669249265295</c:v>
                </c:pt>
                <c:pt idx="17">
                  <c:v>0.91709013105108317</c:v>
                </c:pt>
                <c:pt idx="18">
                  <c:v>0.89300189138070785</c:v>
                </c:pt>
                <c:pt idx="19">
                  <c:v>0.91671293725707936</c:v>
                </c:pt>
                <c:pt idx="20">
                  <c:v>0.94552639006491679</c:v>
                </c:pt>
                <c:pt idx="21">
                  <c:v>1.0081656459609216</c:v>
                </c:pt>
                <c:pt idx="22">
                  <c:v>1.0293494704992439</c:v>
                </c:pt>
                <c:pt idx="23">
                  <c:v>1.0148394912174439</c:v>
                </c:pt>
                <c:pt idx="24">
                  <c:v>1.0053731343283583</c:v>
                </c:pt>
                <c:pt idx="25">
                  <c:v>0.99421463696846968</c:v>
                </c:pt>
                <c:pt idx="26">
                  <c:v>0.99970605526161072</c:v>
                </c:pt>
                <c:pt idx="27">
                  <c:v>0.9838854073410922</c:v>
                </c:pt>
                <c:pt idx="28">
                  <c:v>0.96644893111638952</c:v>
                </c:pt>
                <c:pt idx="29">
                  <c:v>0.95955775385510622</c:v>
                </c:pt>
                <c:pt idx="30">
                  <c:v>1.0102910908556308</c:v>
                </c:pt>
                <c:pt idx="31">
                  <c:v>1.0136487716105551</c:v>
                </c:pt>
                <c:pt idx="32">
                  <c:v>1.0571428571428572</c:v>
                </c:pt>
                <c:pt idx="33">
                  <c:v>1.0291085506367497</c:v>
                </c:pt>
                <c:pt idx="34">
                  <c:v>1.0064027939464493</c:v>
                </c:pt>
                <c:pt idx="35">
                  <c:v>1.0511669658886895</c:v>
                </c:pt>
                <c:pt idx="36">
                  <c:v>1.0124963673350773</c:v>
                </c:pt>
                <c:pt idx="37">
                  <c:v>1.0780789628756631</c:v>
                </c:pt>
                <c:pt idx="38">
                  <c:v>1.0922498554077502</c:v>
                </c:pt>
                <c:pt idx="39">
                  <c:v>1.0996299459151722</c:v>
                </c:pt>
                <c:pt idx="40">
                  <c:v>1.115958668197474</c:v>
                </c:pt>
                <c:pt idx="41">
                  <c:v>1.0535665482372232</c:v>
                </c:pt>
                <c:pt idx="42">
                  <c:v>1.0291236431029915</c:v>
                </c:pt>
                <c:pt idx="43">
                  <c:v>1.0434895159202693</c:v>
                </c:pt>
                <c:pt idx="44">
                  <c:v>1.0828189300411522</c:v>
                </c:pt>
                <c:pt idx="45">
                  <c:v>1.1219195849546044</c:v>
                </c:pt>
                <c:pt idx="46">
                  <c:v>1.1080524826344225</c:v>
                </c:pt>
                <c:pt idx="47">
                  <c:v>1.1262713966757627</c:v>
                </c:pt>
                <c:pt idx="48">
                  <c:v>1.0805225653206652</c:v>
                </c:pt>
                <c:pt idx="49">
                  <c:v>1.1047398843930636</c:v>
                </c:pt>
                <c:pt idx="50">
                  <c:v>1.0968191316461575</c:v>
                </c:pt>
                <c:pt idx="51">
                  <c:v>1.1345814977973567</c:v>
                </c:pt>
                <c:pt idx="52">
                  <c:v>1.2301604748296329</c:v>
                </c:pt>
                <c:pt idx="53">
                  <c:v>1.1982000837170363</c:v>
                </c:pt>
                <c:pt idx="54">
                  <c:v>1.1708298052497883</c:v>
                </c:pt>
                <c:pt idx="55">
                  <c:v>1.0792079207920793</c:v>
                </c:pt>
                <c:pt idx="56">
                  <c:v>1.0026804860614724</c:v>
                </c:pt>
                <c:pt idx="57">
                  <c:v>0.95930131004366814</c:v>
                </c:pt>
                <c:pt idx="58">
                  <c:v>0.99186403905261245</c:v>
                </c:pt>
                <c:pt idx="59">
                  <c:v>0.96995862565209567</c:v>
                </c:pt>
                <c:pt idx="60">
                  <c:v>0.93762252717875605</c:v>
                </c:pt>
                <c:pt idx="61">
                  <c:v>0.92443554260742899</c:v>
                </c:pt>
                <c:pt idx="62">
                  <c:v>0.87732409770324471</c:v>
                </c:pt>
                <c:pt idx="63">
                  <c:v>0.84718100890207715</c:v>
                </c:pt>
                <c:pt idx="64">
                  <c:v>0.84071469302413981</c:v>
                </c:pt>
                <c:pt idx="65">
                  <c:v>0.87433523734488872</c:v>
                </c:pt>
                <c:pt idx="66">
                  <c:v>0.91647621026386861</c:v>
                </c:pt>
                <c:pt idx="67">
                  <c:v>0.95993870402802106</c:v>
                </c:pt>
                <c:pt idx="68">
                  <c:v>1.0336875423920417</c:v>
                </c:pt>
                <c:pt idx="69">
                  <c:v>1.0486596080198243</c:v>
                </c:pt>
                <c:pt idx="70">
                  <c:v>1.0754930854681477</c:v>
                </c:pt>
                <c:pt idx="71">
                  <c:v>1.1014823261117446</c:v>
                </c:pt>
                <c:pt idx="72">
                  <c:v>1.1017060367454068</c:v>
                </c:pt>
                <c:pt idx="73">
                  <c:v>1.1074113856068744</c:v>
                </c:pt>
                <c:pt idx="74">
                  <c:v>1.1150927487352444</c:v>
                </c:pt>
                <c:pt idx="75">
                  <c:v>1.1815734989648035</c:v>
                </c:pt>
                <c:pt idx="76">
                  <c:v>1.1741115743498114</c:v>
                </c:pt>
                <c:pt idx="77">
                  <c:v>1.1889427740058196</c:v>
                </c:pt>
                <c:pt idx="78">
                  <c:v>1.2665406427221173</c:v>
                </c:pt>
                <c:pt idx="79">
                  <c:v>1.1985281233572807</c:v>
                </c:pt>
                <c:pt idx="80">
                  <c:v>1.2150828542441663</c:v>
                </c:pt>
                <c:pt idx="81">
                  <c:v>1.211290585739925</c:v>
                </c:pt>
                <c:pt idx="82">
                  <c:v>1.0967164179104478</c:v>
                </c:pt>
                <c:pt idx="83">
                  <c:v>1.0327485380116959</c:v>
                </c:pt>
                <c:pt idx="84">
                  <c:v>0.88839409963818539</c:v>
                </c:pt>
                <c:pt idx="85">
                  <c:v>0.76104525862068972</c:v>
                </c:pt>
                <c:pt idx="86">
                  <c:v>0.77177463255307566</c:v>
                </c:pt>
                <c:pt idx="87">
                  <c:v>0.79275198187995466</c:v>
                </c:pt>
                <c:pt idx="88">
                  <c:v>0.8582393483709273</c:v>
                </c:pt>
                <c:pt idx="89">
                  <c:v>0.95345132743362826</c:v>
                </c:pt>
                <c:pt idx="90">
                  <c:v>0.94445424087462526</c:v>
                </c:pt>
                <c:pt idx="91">
                  <c:v>0.94589285714285709</c:v>
                </c:pt>
                <c:pt idx="92">
                  <c:v>0.96386201861653598</c:v>
                </c:pt>
                <c:pt idx="93">
                  <c:v>1.0258028587339894</c:v>
                </c:pt>
                <c:pt idx="94">
                  <c:v>1.0427557879014189</c:v>
                </c:pt>
                <c:pt idx="95">
                  <c:v>1.0730602227676045</c:v>
                </c:pt>
                <c:pt idx="96">
                  <c:v>1.0660859685665593</c:v>
                </c:pt>
                <c:pt idx="97">
                  <c:v>1.0620702135360116</c:v>
                </c:pt>
                <c:pt idx="98">
                  <c:v>1.0560429722470903</c:v>
                </c:pt>
                <c:pt idx="99">
                  <c:v>1.0617522871217453</c:v>
                </c:pt>
                <c:pt idx="100">
                  <c:v>1.0570159857904085</c:v>
                </c:pt>
                <c:pt idx="101">
                  <c:v>1.0093712727892317</c:v>
                </c:pt>
                <c:pt idx="102">
                  <c:v>1.0023736859952526</c:v>
                </c:pt>
                <c:pt idx="103">
                  <c:v>0.9986743993371997</c:v>
                </c:pt>
                <c:pt idx="104">
                  <c:v>1.0324315241135944</c:v>
                </c:pt>
                <c:pt idx="105">
                  <c:v>1.0194125590817016</c:v>
                </c:pt>
                <c:pt idx="106">
                  <c:v>1.0943843031123139</c:v>
                </c:pt>
                <c:pt idx="107">
                  <c:v>1.0572424091587853</c:v>
                </c:pt>
                <c:pt idx="108">
                  <c:v>1.0338541666666667</c:v>
                </c:pt>
                <c:pt idx="109">
                  <c:v>1.0668984931280014</c:v>
                </c:pt>
                <c:pt idx="110">
                  <c:v>1.0329211746522411</c:v>
                </c:pt>
                <c:pt idx="111">
                  <c:v>1.049278091650973</c:v>
                </c:pt>
                <c:pt idx="112">
                  <c:v>1.0584068010075567</c:v>
                </c:pt>
                <c:pt idx="113">
                  <c:v>1.0322830979357442</c:v>
                </c:pt>
                <c:pt idx="114">
                  <c:v>0.99446356426754445</c:v>
                </c:pt>
                <c:pt idx="115">
                  <c:v>1.0016452288363744</c:v>
                </c:pt>
                <c:pt idx="116">
                  <c:v>1.0133868808567603</c:v>
                </c:pt>
                <c:pt idx="117">
                  <c:v>1.0251090061644865</c:v>
                </c:pt>
                <c:pt idx="118">
                  <c:v>1.0329521516701778</c:v>
                </c:pt>
              </c:numCache>
            </c:numRef>
          </c:xVal>
          <c:yVal>
            <c:numRef>
              <c:f>'Model 2 NY'!$C$28:$C$146</c:f>
              <c:numCache>
                <c:formatCode>General</c:formatCode>
                <c:ptCount val="119"/>
                <c:pt idx="0">
                  <c:v>-0.33367160552304043</c:v>
                </c:pt>
                <c:pt idx="1">
                  <c:v>-0.63139611097971571</c:v>
                </c:pt>
                <c:pt idx="2">
                  <c:v>-0.83045534680404742</c:v>
                </c:pt>
                <c:pt idx="3">
                  <c:v>-0.5091609602567555</c:v>
                </c:pt>
                <c:pt idx="4">
                  <c:v>-0.97850991488488592</c:v>
                </c:pt>
                <c:pt idx="5">
                  <c:v>-0.94591996118769472</c:v>
                </c:pt>
                <c:pt idx="6">
                  <c:v>-0.95934278576511467</c:v>
                </c:pt>
                <c:pt idx="7">
                  <c:v>-1.2326612409484641</c:v>
                </c:pt>
                <c:pt idx="8">
                  <c:v>-0.70028785086437129</c:v>
                </c:pt>
                <c:pt idx="9">
                  <c:v>-0.66874614155897838</c:v>
                </c:pt>
                <c:pt idx="10">
                  <c:v>-0.37356375520128893</c:v>
                </c:pt>
                <c:pt idx="11">
                  <c:v>0.31543032022073003</c:v>
                </c:pt>
                <c:pt idx="12">
                  <c:v>0.32021992844720959</c:v>
                </c:pt>
                <c:pt idx="13">
                  <c:v>0.54243656154394859</c:v>
                </c:pt>
                <c:pt idx="14">
                  <c:v>0.73913160959772473</c:v>
                </c:pt>
                <c:pt idx="15">
                  <c:v>0.77761557512075008</c:v>
                </c:pt>
                <c:pt idx="16">
                  <c:v>0.64680176097443631</c:v>
                </c:pt>
                <c:pt idx="17">
                  <c:v>0.61183871271166801</c:v>
                </c:pt>
                <c:pt idx="18">
                  <c:v>0.76079427886659445</c:v>
                </c:pt>
                <c:pt idx="19">
                  <c:v>1.0141360791294645</c:v>
                </c:pt>
                <c:pt idx="20">
                  <c:v>1.6278535612873277</c:v>
                </c:pt>
                <c:pt idx="21">
                  <c:v>1.9260250604283691</c:v>
                </c:pt>
                <c:pt idx="22">
                  <c:v>1.5636886058457833</c:v>
                </c:pt>
                <c:pt idx="23">
                  <c:v>0.92416455312253198</c:v>
                </c:pt>
                <c:pt idx="24">
                  <c:v>9.0038937185646262E-2</c:v>
                </c:pt>
                <c:pt idx="25">
                  <c:v>-0.75512564549955741</c:v>
                </c:pt>
                <c:pt idx="26">
                  <c:v>-0.43291460129207771</c:v>
                </c:pt>
                <c:pt idx="27">
                  <c:v>-0.4298284532989971</c:v>
                </c:pt>
                <c:pt idx="28">
                  <c:v>-0.30383669342617559</c:v>
                </c:pt>
                <c:pt idx="29">
                  <c:v>1.6765143777151437E-2</c:v>
                </c:pt>
                <c:pt idx="30">
                  <c:v>9.2534797146837988E-2</c:v>
                </c:pt>
                <c:pt idx="31">
                  <c:v>-3.7215176237200609E-2</c:v>
                </c:pt>
                <c:pt idx="32">
                  <c:v>-9.1751964236092221E-2</c:v>
                </c:pt>
                <c:pt idx="33">
                  <c:v>-0.48783060683407875</c:v>
                </c:pt>
                <c:pt idx="34">
                  <c:v>-0.9786773578736776</c:v>
                </c:pt>
                <c:pt idx="35">
                  <c:v>-0.64311829631407491</c:v>
                </c:pt>
                <c:pt idx="36">
                  <c:v>-0.30128437411532794</c:v>
                </c:pt>
                <c:pt idx="37">
                  <c:v>9.7404786555010503E-2</c:v>
                </c:pt>
                <c:pt idx="38">
                  <c:v>0.96697194650018048</c:v>
                </c:pt>
                <c:pt idx="39">
                  <c:v>1.3011704682765668</c:v>
                </c:pt>
                <c:pt idx="40">
                  <c:v>1.1551187190919379</c:v>
                </c:pt>
                <c:pt idx="41">
                  <c:v>0.41744639419241913</c:v>
                </c:pt>
                <c:pt idx="42">
                  <c:v>-0.34763263702074898</c:v>
                </c:pt>
                <c:pt idx="43">
                  <c:v>-0.8163579003441539</c:v>
                </c:pt>
                <c:pt idx="44">
                  <c:v>-1.4584202437122595</c:v>
                </c:pt>
                <c:pt idx="45">
                  <c:v>-0.95725178299985192</c:v>
                </c:pt>
                <c:pt idx="46">
                  <c:v>-0.6883198533298609</c:v>
                </c:pt>
                <c:pt idx="47">
                  <c:v>-0.38750798527971142</c:v>
                </c:pt>
                <c:pt idx="48">
                  <c:v>0.13270964360836413</c:v>
                </c:pt>
                <c:pt idx="49">
                  <c:v>0.17470487053058736</c:v>
                </c:pt>
                <c:pt idx="50">
                  <c:v>0.28777823412368519</c:v>
                </c:pt>
                <c:pt idx="51">
                  <c:v>0.61024820253549006</c:v>
                </c:pt>
                <c:pt idx="52">
                  <c:v>1.3562591930197545</c:v>
                </c:pt>
                <c:pt idx="53">
                  <c:v>1.5259390445609338</c:v>
                </c:pt>
                <c:pt idx="54">
                  <c:v>1.5635008647646851</c:v>
                </c:pt>
                <c:pt idx="55">
                  <c:v>1.3080533296283932</c:v>
                </c:pt>
                <c:pt idx="56">
                  <c:v>0.62803075810317743</c:v>
                </c:pt>
                <c:pt idx="57">
                  <c:v>0.36407862736001917</c:v>
                </c:pt>
                <c:pt idx="58">
                  <c:v>0.66065968203218262</c:v>
                </c:pt>
                <c:pt idx="59">
                  <c:v>0.76174710431414105</c:v>
                </c:pt>
                <c:pt idx="60">
                  <c:v>0.7005385822030199</c:v>
                </c:pt>
                <c:pt idx="61">
                  <c:v>0.40989107784785617</c:v>
                </c:pt>
                <c:pt idx="62">
                  <c:v>-0.24681714699109403</c:v>
                </c:pt>
                <c:pt idx="63">
                  <c:v>-0.53946806891185517</c:v>
                </c:pt>
                <c:pt idx="64">
                  <c:v>-0.69347234011928993</c:v>
                </c:pt>
                <c:pt idx="65">
                  <c:v>-0.86855939076196176</c:v>
                </c:pt>
                <c:pt idx="66">
                  <c:v>-0.53870227904977597</c:v>
                </c:pt>
                <c:pt idx="67">
                  <c:v>-0.44182354502607524</c:v>
                </c:pt>
                <c:pt idx="68">
                  <c:v>-0.37510713949022012</c:v>
                </c:pt>
                <c:pt idx="69">
                  <c:v>-0.20467437373328146</c:v>
                </c:pt>
                <c:pt idx="70">
                  <c:v>-8.8429117869655016E-3</c:v>
                </c:pt>
                <c:pt idx="71">
                  <c:v>-1.7239137837341545E-3</c:v>
                </c:pt>
                <c:pt idx="72">
                  <c:v>6.5474620824945262E-2</c:v>
                </c:pt>
                <c:pt idx="73">
                  <c:v>8.506859084858398E-2</c:v>
                </c:pt>
                <c:pt idx="74">
                  <c:v>9.7685583301900358E-2</c:v>
                </c:pt>
                <c:pt idx="75">
                  <c:v>-7.5963312578728015E-2</c:v>
                </c:pt>
                <c:pt idx="76">
                  <c:v>-0.2277561595232509</c:v>
                </c:pt>
                <c:pt idx="77">
                  <c:v>-0.49984207843497064</c:v>
                </c:pt>
                <c:pt idx="78">
                  <c:v>-0.718162117164308</c:v>
                </c:pt>
                <c:pt idx="79">
                  <c:v>-0.37698103741069389</c:v>
                </c:pt>
                <c:pt idx="80">
                  <c:v>-0.13713597683775003</c:v>
                </c:pt>
                <c:pt idx="81">
                  <c:v>0.13823658111076398</c:v>
                </c:pt>
                <c:pt idx="82">
                  <c:v>0.37512173074316113</c:v>
                </c:pt>
                <c:pt idx="83">
                  <c:v>-0.24657863539515557</c:v>
                </c:pt>
                <c:pt idx="84">
                  <c:v>-0.3000687500191912</c:v>
                </c:pt>
                <c:pt idx="85">
                  <c:v>-0.25267847782370279</c:v>
                </c:pt>
                <c:pt idx="86">
                  <c:v>0.22802952657795039</c:v>
                </c:pt>
                <c:pt idx="87">
                  <c:v>1.4212377495836845</c:v>
                </c:pt>
                <c:pt idx="88">
                  <c:v>1.504056097079645</c:v>
                </c:pt>
                <c:pt idx="89">
                  <c:v>0.98290718131378885</c:v>
                </c:pt>
                <c:pt idx="90">
                  <c:v>0.32965322673826236</c:v>
                </c:pt>
                <c:pt idx="91">
                  <c:v>-0.30314067691897151</c:v>
                </c:pt>
                <c:pt idx="92">
                  <c:v>-0.5438907437925371</c:v>
                </c:pt>
                <c:pt idx="93">
                  <c:v>-0.23199412991991863</c:v>
                </c:pt>
                <c:pt idx="94">
                  <c:v>-0.11057251415980129</c:v>
                </c:pt>
                <c:pt idx="95">
                  <c:v>-0.11532803534888014</c:v>
                </c:pt>
                <c:pt idx="96">
                  <c:v>-0.17821166708184499</c:v>
                </c:pt>
                <c:pt idx="97">
                  <c:v>-0.23162239357235404</c:v>
                </c:pt>
                <c:pt idx="98">
                  <c:v>-2.7433109345624374E-2</c:v>
                </c:pt>
                <c:pt idx="99">
                  <c:v>0.23488012132408631</c:v>
                </c:pt>
                <c:pt idx="100">
                  <c:v>9.3275382281379215E-2</c:v>
                </c:pt>
                <c:pt idx="101">
                  <c:v>-0.12950926282623598</c:v>
                </c:pt>
                <c:pt idx="102">
                  <c:v>-0.33654334753258741</c:v>
                </c:pt>
                <c:pt idx="103">
                  <c:v>-0.54656224201584092</c:v>
                </c:pt>
                <c:pt idx="104">
                  <c:v>-0.36971951995486485</c:v>
                </c:pt>
                <c:pt idx="105">
                  <c:v>-0.20676936916491329</c:v>
                </c:pt>
                <c:pt idx="106">
                  <c:v>-6.4818251859723119E-2</c:v>
                </c:pt>
                <c:pt idx="107">
                  <c:v>-0.17149940033528033</c:v>
                </c:pt>
                <c:pt idx="108">
                  <c:v>-0.5394663994928246</c:v>
                </c:pt>
                <c:pt idx="109">
                  <c:v>-0.46244683292192512</c:v>
                </c:pt>
                <c:pt idx="110">
                  <c:v>-0.61030356208035386</c:v>
                </c:pt>
                <c:pt idx="111">
                  <c:v>-0.66240919630459905</c:v>
                </c:pt>
                <c:pt idx="112">
                  <c:v>-0.34237173935024945</c:v>
                </c:pt>
                <c:pt idx="113">
                  <c:v>-0.43638830054581801</c:v>
                </c:pt>
                <c:pt idx="114">
                  <c:v>-0.44273863996251706</c:v>
                </c:pt>
                <c:pt idx="115">
                  <c:v>-0.37479248009994803</c:v>
                </c:pt>
                <c:pt idx="116">
                  <c:v>-0.21909914084619553</c:v>
                </c:pt>
                <c:pt idx="117">
                  <c:v>-0.18034259827589905</c:v>
                </c:pt>
                <c:pt idx="118">
                  <c:v>-7.423295204340663E-2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2D-4D01-8717-10619039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34576"/>
        <c:axId val="1217537456"/>
      </c:scatterChart>
      <c:valAx>
        <c:axId val="121753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7456"/>
        <c:crosses val="autoZero"/>
        <c:crossBetween val="midCat"/>
      </c:valAx>
      <c:valAx>
        <c:axId val="1217537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45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NewYork!$P$6:$P$124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NY'!$C$28:$C$146</c:f>
              <c:numCache>
                <c:formatCode>General</c:formatCode>
                <c:ptCount val="119"/>
                <c:pt idx="0">
                  <c:v>-0.33367160552304043</c:v>
                </c:pt>
                <c:pt idx="1">
                  <c:v>-0.63139611097971571</c:v>
                </c:pt>
                <c:pt idx="2">
                  <c:v>-0.83045534680404742</c:v>
                </c:pt>
                <c:pt idx="3">
                  <c:v>-0.5091609602567555</c:v>
                </c:pt>
                <c:pt idx="4">
                  <c:v>-0.97850991488488592</c:v>
                </c:pt>
                <c:pt idx="5">
                  <c:v>-0.94591996118769472</c:v>
                </c:pt>
                <c:pt idx="6">
                  <c:v>-0.95934278576511467</c:v>
                </c:pt>
                <c:pt idx="7">
                  <c:v>-1.2326612409484641</c:v>
                </c:pt>
                <c:pt idx="8">
                  <c:v>-0.70028785086437129</c:v>
                </c:pt>
                <c:pt idx="9">
                  <c:v>-0.66874614155897838</c:v>
                </c:pt>
                <c:pt idx="10">
                  <c:v>-0.37356375520128893</c:v>
                </c:pt>
                <c:pt idx="11">
                  <c:v>0.31543032022073003</c:v>
                </c:pt>
                <c:pt idx="12">
                  <c:v>0.32021992844720959</c:v>
                </c:pt>
                <c:pt idx="13">
                  <c:v>0.54243656154394859</c:v>
                </c:pt>
                <c:pt idx="14">
                  <c:v>0.73913160959772473</c:v>
                </c:pt>
                <c:pt idx="15">
                  <c:v>0.77761557512075008</c:v>
                </c:pt>
                <c:pt idx="16">
                  <c:v>0.64680176097443631</c:v>
                </c:pt>
                <c:pt idx="17">
                  <c:v>0.61183871271166801</c:v>
                </c:pt>
                <c:pt idx="18">
                  <c:v>0.76079427886659445</c:v>
                </c:pt>
                <c:pt idx="19">
                  <c:v>1.0141360791294645</c:v>
                </c:pt>
                <c:pt idx="20">
                  <c:v>1.6278535612873277</c:v>
                </c:pt>
                <c:pt idx="21">
                  <c:v>1.9260250604283691</c:v>
                </c:pt>
                <c:pt idx="22">
                  <c:v>1.5636886058457833</c:v>
                </c:pt>
                <c:pt idx="23">
                  <c:v>0.92416455312253198</c:v>
                </c:pt>
                <c:pt idx="24">
                  <c:v>9.0038937185646262E-2</c:v>
                </c:pt>
                <c:pt idx="25">
                  <c:v>-0.75512564549955741</c:v>
                </c:pt>
                <c:pt idx="26">
                  <c:v>-0.43291460129207771</c:v>
                </c:pt>
                <c:pt idx="27">
                  <c:v>-0.4298284532989971</c:v>
                </c:pt>
                <c:pt idx="28">
                  <c:v>-0.30383669342617559</c:v>
                </c:pt>
                <c:pt idx="29">
                  <c:v>1.6765143777151437E-2</c:v>
                </c:pt>
                <c:pt idx="30">
                  <c:v>9.2534797146837988E-2</c:v>
                </c:pt>
                <c:pt idx="31">
                  <c:v>-3.7215176237200609E-2</c:v>
                </c:pt>
                <c:pt idx="32">
                  <c:v>-9.1751964236092221E-2</c:v>
                </c:pt>
                <c:pt idx="33">
                  <c:v>-0.48783060683407875</c:v>
                </c:pt>
                <c:pt idx="34">
                  <c:v>-0.9786773578736776</c:v>
                </c:pt>
                <c:pt idx="35">
                  <c:v>-0.64311829631407491</c:v>
                </c:pt>
                <c:pt idx="36">
                  <c:v>-0.30128437411532794</c:v>
                </c:pt>
                <c:pt idx="37">
                  <c:v>9.7404786555010503E-2</c:v>
                </c:pt>
                <c:pt idx="38">
                  <c:v>0.96697194650018048</c:v>
                </c:pt>
                <c:pt idx="39">
                  <c:v>1.3011704682765668</c:v>
                </c:pt>
                <c:pt idx="40">
                  <c:v>1.1551187190919379</c:v>
                </c:pt>
                <c:pt idx="41">
                  <c:v>0.41744639419241913</c:v>
                </c:pt>
                <c:pt idx="42">
                  <c:v>-0.34763263702074898</c:v>
                </c:pt>
                <c:pt idx="43">
                  <c:v>-0.8163579003441539</c:v>
                </c:pt>
                <c:pt idx="44">
                  <c:v>-1.4584202437122595</c:v>
                </c:pt>
                <c:pt idx="45">
                  <c:v>-0.95725178299985192</c:v>
                </c:pt>
                <c:pt idx="46">
                  <c:v>-0.6883198533298609</c:v>
                </c:pt>
                <c:pt idx="47">
                  <c:v>-0.38750798527971142</c:v>
                </c:pt>
                <c:pt idx="48">
                  <c:v>0.13270964360836413</c:v>
                </c:pt>
                <c:pt idx="49">
                  <c:v>0.17470487053058736</c:v>
                </c:pt>
                <c:pt idx="50">
                  <c:v>0.28777823412368519</c:v>
                </c:pt>
                <c:pt idx="51">
                  <c:v>0.61024820253549006</c:v>
                </c:pt>
                <c:pt idx="52">
                  <c:v>1.3562591930197545</c:v>
                </c:pt>
                <c:pt idx="53">
                  <c:v>1.5259390445609338</c:v>
                </c:pt>
                <c:pt idx="54">
                  <c:v>1.5635008647646851</c:v>
                </c:pt>
                <c:pt idx="55">
                  <c:v>1.3080533296283932</c:v>
                </c:pt>
                <c:pt idx="56">
                  <c:v>0.62803075810317743</c:v>
                </c:pt>
                <c:pt idx="57">
                  <c:v>0.36407862736001917</c:v>
                </c:pt>
                <c:pt idx="58">
                  <c:v>0.66065968203218262</c:v>
                </c:pt>
                <c:pt idx="59">
                  <c:v>0.76174710431414105</c:v>
                </c:pt>
                <c:pt idx="60">
                  <c:v>0.7005385822030199</c:v>
                </c:pt>
                <c:pt idx="61">
                  <c:v>0.40989107784785617</c:v>
                </c:pt>
                <c:pt idx="62">
                  <c:v>-0.24681714699109403</c:v>
                </c:pt>
                <c:pt idx="63">
                  <c:v>-0.53946806891185517</c:v>
                </c:pt>
                <c:pt idx="64">
                  <c:v>-0.69347234011928993</c:v>
                </c:pt>
                <c:pt idx="65">
                  <c:v>-0.86855939076196176</c:v>
                </c:pt>
                <c:pt idx="66">
                  <c:v>-0.53870227904977597</c:v>
                </c:pt>
                <c:pt idx="67">
                  <c:v>-0.44182354502607524</c:v>
                </c:pt>
                <c:pt idx="68">
                  <c:v>-0.37510713949022012</c:v>
                </c:pt>
                <c:pt idx="69">
                  <c:v>-0.20467437373328146</c:v>
                </c:pt>
                <c:pt idx="70">
                  <c:v>-8.8429117869655016E-3</c:v>
                </c:pt>
                <c:pt idx="71">
                  <c:v>-1.7239137837341545E-3</c:v>
                </c:pt>
                <c:pt idx="72">
                  <c:v>6.5474620824945262E-2</c:v>
                </c:pt>
                <c:pt idx="73">
                  <c:v>8.506859084858398E-2</c:v>
                </c:pt>
                <c:pt idx="74">
                  <c:v>9.7685583301900358E-2</c:v>
                </c:pt>
                <c:pt idx="75">
                  <c:v>-7.5963312578728015E-2</c:v>
                </c:pt>
                <c:pt idx="76">
                  <c:v>-0.2277561595232509</c:v>
                </c:pt>
                <c:pt idx="77">
                  <c:v>-0.49984207843497064</c:v>
                </c:pt>
                <c:pt idx="78">
                  <c:v>-0.718162117164308</c:v>
                </c:pt>
                <c:pt idx="79">
                  <c:v>-0.37698103741069389</c:v>
                </c:pt>
                <c:pt idx="80">
                  <c:v>-0.13713597683775003</c:v>
                </c:pt>
                <c:pt idx="81">
                  <c:v>0.13823658111076398</c:v>
                </c:pt>
                <c:pt idx="82">
                  <c:v>0.37512173074316113</c:v>
                </c:pt>
                <c:pt idx="83">
                  <c:v>-0.24657863539515557</c:v>
                </c:pt>
                <c:pt idx="84">
                  <c:v>-0.3000687500191912</c:v>
                </c:pt>
                <c:pt idx="85">
                  <c:v>-0.25267847782370279</c:v>
                </c:pt>
                <c:pt idx="86">
                  <c:v>0.22802952657795039</c:v>
                </c:pt>
                <c:pt idx="87">
                  <c:v>1.4212377495836845</c:v>
                </c:pt>
                <c:pt idx="88">
                  <c:v>1.504056097079645</c:v>
                </c:pt>
                <c:pt idx="89">
                  <c:v>0.98290718131378885</c:v>
                </c:pt>
                <c:pt idx="90">
                  <c:v>0.32965322673826236</c:v>
                </c:pt>
                <c:pt idx="91">
                  <c:v>-0.30314067691897151</c:v>
                </c:pt>
                <c:pt idx="92">
                  <c:v>-0.5438907437925371</c:v>
                </c:pt>
                <c:pt idx="93">
                  <c:v>-0.23199412991991863</c:v>
                </c:pt>
                <c:pt idx="94">
                  <c:v>-0.11057251415980129</c:v>
                </c:pt>
                <c:pt idx="95">
                  <c:v>-0.11532803534888014</c:v>
                </c:pt>
                <c:pt idx="96">
                  <c:v>-0.17821166708184499</c:v>
                </c:pt>
                <c:pt idx="97">
                  <c:v>-0.23162239357235404</c:v>
                </c:pt>
                <c:pt idx="98">
                  <c:v>-2.7433109345624374E-2</c:v>
                </c:pt>
                <c:pt idx="99">
                  <c:v>0.23488012132408631</c:v>
                </c:pt>
                <c:pt idx="100">
                  <c:v>9.3275382281379215E-2</c:v>
                </c:pt>
                <c:pt idx="101">
                  <c:v>-0.12950926282623598</c:v>
                </c:pt>
                <c:pt idx="102">
                  <c:v>-0.33654334753258741</c:v>
                </c:pt>
                <c:pt idx="103">
                  <c:v>-0.54656224201584092</c:v>
                </c:pt>
                <c:pt idx="104">
                  <c:v>-0.36971951995486485</c:v>
                </c:pt>
                <c:pt idx="105">
                  <c:v>-0.20676936916491329</c:v>
                </c:pt>
                <c:pt idx="106">
                  <c:v>-6.4818251859723119E-2</c:v>
                </c:pt>
                <c:pt idx="107">
                  <c:v>-0.17149940033528033</c:v>
                </c:pt>
                <c:pt idx="108">
                  <c:v>-0.5394663994928246</c:v>
                </c:pt>
                <c:pt idx="109">
                  <c:v>-0.46244683292192512</c:v>
                </c:pt>
                <c:pt idx="110">
                  <c:v>-0.61030356208035386</c:v>
                </c:pt>
                <c:pt idx="111">
                  <c:v>-0.66240919630459905</c:v>
                </c:pt>
                <c:pt idx="112">
                  <c:v>-0.34237173935024945</c:v>
                </c:pt>
                <c:pt idx="113">
                  <c:v>-0.43638830054581801</c:v>
                </c:pt>
                <c:pt idx="114">
                  <c:v>-0.44273863996251706</c:v>
                </c:pt>
                <c:pt idx="115">
                  <c:v>-0.37479248009994803</c:v>
                </c:pt>
                <c:pt idx="116">
                  <c:v>-0.21909914084619553</c:v>
                </c:pt>
                <c:pt idx="117">
                  <c:v>-0.18034259827589905</c:v>
                </c:pt>
                <c:pt idx="118">
                  <c:v>-7.423295204340663E-2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A7-4A1A-A681-F7AC70E2D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35056"/>
        <c:axId val="1217540336"/>
      </c:scatterChart>
      <c:valAx>
        <c:axId val="121753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40336"/>
        <c:crosses val="autoZero"/>
        <c:crossBetween val="midCat"/>
      </c:valAx>
      <c:valAx>
        <c:axId val="121754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50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OrangeCounty!$M$6:$M$124</c:f>
              <c:numCache>
                <c:formatCode>General</c:formatCode>
                <c:ptCount val="119"/>
                <c:pt idx="0">
                  <c:v>7.9697849999999999</c:v>
                </c:pt>
                <c:pt idx="1">
                  <c:v>8.0663180000000008</c:v>
                </c:pt>
                <c:pt idx="2">
                  <c:v>8.1237089999999998</c:v>
                </c:pt>
                <c:pt idx="3">
                  <c:v>8.0841390000000004</c:v>
                </c:pt>
                <c:pt idx="4">
                  <c:v>8.0189039999999991</c:v>
                </c:pt>
                <c:pt idx="5">
                  <c:v>8.0386039999999994</c:v>
                </c:pt>
                <c:pt idx="6">
                  <c:v>7.8573219999999999</c:v>
                </c:pt>
                <c:pt idx="7">
                  <c:v>7.5727409999999997</c:v>
                </c:pt>
                <c:pt idx="8">
                  <c:v>7.5218100000000003</c:v>
                </c:pt>
                <c:pt idx="9">
                  <c:v>7.2671489999999999</c:v>
                </c:pt>
                <c:pt idx="10">
                  <c:v>7.0650440000000003</c:v>
                </c:pt>
                <c:pt idx="11">
                  <c:v>7.0493329999999998</c:v>
                </c:pt>
                <c:pt idx="12">
                  <c:v>6.8633699999999997</c:v>
                </c:pt>
                <c:pt idx="13">
                  <c:v>6.5598409999999996</c:v>
                </c:pt>
                <c:pt idx="14">
                  <c:v>6.4756980000000004</c:v>
                </c:pt>
                <c:pt idx="15">
                  <c:v>6.6197239999999997</c:v>
                </c:pt>
                <c:pt idx="16">
                  <c:v>6.4964880000000003</c:v>
                </c:pt>
                <c:pt idx="17">
                  <c:v>6.6645799999999999</c:v>
                </c:pt>
                <c:pt idx="18">
                  <c:v>6.5759749999999997</c:v>
                </c:pt>
                <c:pt idx="19">
                  <c:v>6.3341510000000003</c:v>
                </c:pt>
                <c:pt idx="20">
                  <c:v>6.6432019999999996</c:v>
                </c:pt>
                <c:pt idx="21">
                  <c:v>6.8898849999999996</c:v>
                </c:pt>
                <c:pt idx="22">
                  <c:v>7.3588399999999998</c:v>
                </c:pt>
                <c:pt idx="23">
                  <c:v>8.0460980000000006</c:v>
                </c:pt>
                <c:pt idx="24">
                  <c:v>8.5690469999999994</c:v>
                </c:pt>
                <c:pt idx="25">
                  <c:v>9.0945719999999994</c:v>
                </c:pt>
                <c:pt idx="26">
                  <c:v>9.2166399999999999</c:v>
                </c:pt>
                <c:pt idx="27">
                  <c:v>9.2823390000000003</c:v>
                </c:pt>
                <c:pt idx="28">
                  <c:v>9.2626840000000001</c:v>
                </c:pt>
                <c:pt idx="29">
                  <c:v>9.1553909999999998</c:v>
                </c:pt>
                <c:pt idx="30">
                  <c:v>9.2637640000000001</c:v>
                </c:pt>
                <c:pt idx="31">
                  <c:v>9.6316970000000008</c:v>
                </c:pt>
                <c:pt idx="32">
                  <c:v>9.8319650000000003</c:v>
                </c:pt>
                <c:pt idx="33">
                  <c:v>10.090389999999999</c:v>
                </c:pt>
                <c:pt idx="34">
                  <c:v>10.334210000000001</c:v>
                </c:pt>
                <c:pt idx="35">
                  <c:v>9.7295289999999994</c:v>
                </c:pt>
                <c:pt idx="36">
                  <c:v>9.1674860000000002</c:v>
                </c:pt>
                <c:pt idx="37">
                  <c:v>8.8304379999999991</c:v>
                </c:pt>
                <c:pt idx="38">
                  <c:v>9.0277239999999992</c:v>
                </c:pt>
                <c:pt idx="39">
                  <c:v>9.1639789999999994</c:v>
                </c:pt>
                <c:pt idx="40">
                  <c:v>9.3954540000000009</c:v>
                </c:pt>
                <c:pt idx="41">
                  <c:v>9.1005950000000002</c:v>
                </c:pt>
                <c:pt idx="42">
                  <c:v>8.784986</c:v>
                </c:pt>
                <c:pt idx="43">
                  <c:v>8.4019549999999992</c:v>
                </c:pt>
                <c:pt idx="44">
                  <c:v>7.7551129999999997</c:v>
                </c:pt>
                <c:pt idx="45">
                  <c:v>7.6502309999999998</c:v>
                </c:pt>
                <c:pt idx="46">
                  <c:v>7.2263789999999997</c:v>
                </c:pt>
                <c:pt idx="47">
                  <c:v>7.3235070000000002</c:v>
                </c:pt>
                <c:pt idx="48">
                  <c:v>7.4411839999999998</c:v>
                </c:pt>
                <c:pt idx="49">
                  <c:v>7.5487380000000002</c:v>
                </c:pt>
                <c:pt idx="50">
                  <c:v>7.5659390000000002</c:v>
                </c:pt>
                <c:pt idx="51">
                  <c:v>7.4151899999999999</c:v>
                </c:pt>
                <c:pt idx="52">
                  <c:v>7.4024760000000001</c:v>
                </c:pt>
                <c:pt idx="53">
                  <c:v>7.37601</c:v>
                </c:pt>
                <c:pt idx="54">
                  <c:v>7.4816929999999999</c:v>
                </c:pt>
                <c:pt idx="55">
                  <c:v>7.4494119999999997</c:v>
                </c:pt>
                <c:pt idx="56">
                  <c:v>7.6267740000000002</c:v>
                </c:pt>
                <c:pt idx="57">
                  <c:v>7.5188689999999996</c:v>
                </c:pt>
                <c:pt idx="58">
                  <c:v>7.188142</c:v>
                </c:pt>
                <c:pt idx="59">
                  <c:v>7.2179250000000001</c:v>
                </c:pt>
                <c:pt idx="60">
                  <c:v>7.2206029999999997</c:v>
                </c:pt>
                <c:pt idx="61">
                  <c:v>7.2259909999999996</c:v>
                </c:pt>
                <c:pt idx="62">
                  <c:v>7.321917</c:v>
                </c:pt>
                <c:pt idx="63">
                  <c:v>7.383057</c:v>
                </c:pt>
                <c:pt idx="64">
                  <c:v>7.4689959999999997</c:v>
                </c:pt>
                <c:pt idx="65">
                  <c:v>7.4268229999999997</c:v>
                </c:pt>
                <c:pt idx="66">
                  <c:v>7.2145619999999999</c:v>
                </c:pt>
                <c:pt idx="67">
                  <c:v>7.0771389999999998</c:v>
                </c:pt>
                <c:pt idx="68">
                  <c:v>6.778162</c:v>
                </c:pt>
                <c:pt idx="69">
                  <c:v>6.5938549999999996</c:v>
                </c:pt>
                <c:pt idx="70">
                  <c:v>6.4007329999999998</c:v>
                </c:pt>
                <c:pt idx="71">
                  <c:v>6.1184890000000003</c:v>
                </c:pt>
                <c:pt idx="72">
                  <c:v>5.9295479999999996</c:v>
                </c:pt>
                <c:pt idx="73">
                  <c:v>5.9336679999999999</c:v>
                </c:pt>
                <c:pt idx="74">
                  <c:v>5.891489</c:v>
                </c:pt>
                <c:pt idx="75">
                  <c:v>5.76783</c:v>
                </c:pt>
                <c:pt idx="76">
                  <c:v>5.649553</c:v>
                </c:pt>
                <c:pt idx="77">
                  <c:v>5.4897660000000004</c:v>
                </c:pt>
                <c:pt idx="78">
                  <c:v>5.4734230000000004</c:v>
                </c:pt>
                <c:pt idx="79">
                  <c:v>5.5279800000000003</c:v>
                </c:pt>
                <c:pt idx="80">
                  <c:v>5.4931989999999997</c:v>
                </c:pt>
                <c:pt idx="81">
                  <c:v>5.2422040000000001</c:v>
                </c:pt>
                <c:pt idx="82">
                  <c:v>5.066503</c:v>
                </c:pt>
                <c:pt idx="83">
                  <c:v>4.9199719999999996</c:v>
                </c:pt>
                <c:pt idx="84">
                  <c:v>4.7897090000000002</c:v>
                </c:pt>
                <c:pt idx="85">
                  <c:v>4.8800790000000003</c:v>
                </c:pt>
                <c:pt idx="86">
                  <c:v>5.0122590000000002</c:v>
                </c:pt>
                <c:pt idx="87">
                  <c:v>5.2369500000000002</c:v>
                </c:pt>
                <c:pt idx="88">
                  <c:v>5.5182599999999997</c:v>
                </c:pt>
                <c:pt idx="89">
                  <c:v>5.7791030000000001</c:v>
                </c:pt>
                <c:pt idx="90">
                  <c:v>6.0030109999999999</c:v>
                </c:pt>
                <c:pt idx="91">
                  <c:v>6.0820319999999999</c:v>
                </c:pt>
                <c:pt idx="92">
                  <c:v>6.2187409999999996</c:v>
                </c:pt>
                <c:pt idx="93">
                  <c:v>6.1950799999999999</c:v>
                </c:pt>
                <c:pt idx="94">
                  <c:v>6.0910209999999996</c:v>
                </c:pt>
                <c:pt idx="95">
                  <c:v>6.0986979999999997</c:v>
                </c:pt>
                <c:pt idx="96">
                  <c:v>6.0369910000000004</c:v>
                </c:pt>
                <c:pt idx="97">
                  <c:v>6.4045579999999998</c:v>
                </c:pt>
                <c:pt idx="98">
                  <c:v>6.25556</c:v>
                </c:pt>
                <c:pt idx="99">
                  <c:v>5.9895399999999999</c:v>
                </c:pt>
                <c:pt idx="100">
                  <c:v>5.7726839999999999</c:v>
                </c:pt>
                <c:pt idx="101">
                  <c:v>5.2130520000000002</c:v>
                </c:pt>
                <c:pt idx="102">
                  <c:v>5.0936360000000001</c:v>
                </c:pt>
                <c:pt idx="103">
                  <c:v>5.1051039999999999</c:v>
                </c:pt>
                <c:pt idx="104">
                  <c:v>5.0698889999999999</c:v>
                </c:pt>
                <c:pt idx="105">
                  <c:v>5.038335</c:v>
                </c:pt>
                <c:pt idx="106">
                  <c:v>5.0587840000000002</c:v>
                </c:pt>
                <c:pt idx="107">
                  <c:v>4.9081340000000004</c:v>
                </c:pt>
                <c:pt idx="108">
                  <c:v>4.8282930000000004</c:v>
                </c:pt>
                <c:pt idx="109">
                  <c:v>4.7286190000000001</c:v>
                </c:pt>
                <c:pt idx="110">
                  <c:v>4.5300659999999997</c:v>
                </c:pt>
                <c:pt idx="111">
                  <c:v>4.4739610000000001</c:v>
                </c:pt>
                <c:pt idx="112">
                  <c:v>4.3198840000000001</c:v>
                </c:pt>
                <c:pt idx="113">
                  <c:v>4.1988599999999998</c:v>
                </c:pt>
                <c:pt idx="114">
                  <c:v>4.2506259999999996</c:v>
                </c:pt>
                <c:pt idx="115">
                  <c:v>4.4018949999999997</c:v>
                </c:pt>
                <c:pt idx="116">
                  <c:v>4.4771570000000001</c:v>
                </c:pt>
                <c:pt idx="117">
                  <c:v>4.5235440000000002</c:v>
                </c:pt>
                <c:pt idx="118">
                  <c:v>4.6797659999999999</c:v>
                </c:pt>
              </c:numCache>
            </c:numRef>
          </c:xVal>
          <c:yVal>
            <c:numRef>
              <c:f>'Model1 OC'!$C$27:$C$145</c:f>
              <c:numCache>
                <c:formatCode>General</c:formatCode>
                <c:ptCount val="119"/>
                <c:pt idx="0">
                  <c:v>-0.13729831738467979</c:v>
                </c:pt>
                <c:pt idx="1">
                  <c:v>-9.6466193275411172E-2</c:v>
                </c:pt>
                <c:pt idx="2">
                  <c:v>-0.30634210305122167</c:v>
                </c:pt>
                <c:pt idx="3">
                  <c:v>-0.52020406430725163</c:v>
                </c:pt>
                <c:pt idx="4">
                  <c:v>-0.58337596415435122</c:v>
                </c:pt>
                <c:pt idx="5">
                  <c:v>-0.89568165212509498</c:v>
                </c:pt>
                <c:pt idx="6">
                  <c:v>-0.91850187785563975</c:v>
                </c:pt>
                <c:pt idx="7">
                  <c:v>-0.67484045127820469</c:v>
                </c:pt>
                <c:pt idx="8">
                  <c:v>-0.77672900046790438</c:v>
                </c:pt>
                <c:pt idx="9">
                  <c:v>-0.79751293899809728</c:v>
                </c:pt>
                <c:pt idx="10">
                  <c:v>-0.66615996693201396</c:v>
                </c:pt>
                <c:pt idx="11">
                  <c:v>-0.46341410409931694</c:v>
                </c:pt>
                <c:pt idx="12">
                  <c:v>-0.45054744627788867</c:v>
                </c:pt>
                <c:pt idx="13">
                  <c:v>-6.0414059640311102E-2</c:v>
                </c:pt>
                <c:pt idx="14">
                  <c:v>-0.1143729689498505</c:v>
                </c:pt>
                <c:pt idx="15">
                  <c:v>-0.5150489021751774</c:v>
                </c:pt>
                <c:pt idx="16">
                  <c:v>-0.19914151649807543</c:v>
                </c:pt>
                <c:pt idx="17">
                  <c:v>-0.21376504000423147</c:v>
                </c:pt>
                <c:pt idx="18">
                  <c:v>0.3880874550556479</c:v>
                </c:pt>
                <c:pt idx="19">
                  <c:v>1.3102958384178285</c:v>
                </c:pt>
                <c:pt idx="20">
                  <c:v>1.6439733834472037</c:v>
                </c:pt>
                <c:pt idx="21">
                  <c:v>2.0312778787477317</c:v>
                </c:pt>
                <c:pt idx="22">
                  <c:v>1.7503370654449775</c:v>
                </c:pt>
                <c:pt idx="23">
                  <c:v>1.2027304578943223</c:v>
                </c:pt>
                <c:pt idx="24">
                  <c:v>0.806581383546078</c:v>
                </c:pt>
                <c:pt idx="25">
                  <c:v>0.30205079335503449</c:v>
                </c:pt>
                <c:pt idx="26">
                  <c:v>0.31301736633962207</c:v>
                </c:pt>
                <c:pt idx="27">
                  <c:v>0.62145905459938611</c:v>
                </c:pt>
                <c:pt idx="28">
                  <c:v>0.83698022689998552</c:v>
                </c:pt>
                <c:pt idx="29">
                  <c:v>1.2125249678885126</c:v>
                </c:pt>
                <c:pt idx="30">
                  <c:v>1.4146178567958412</c:v>
                </c:pt>
                <c:pt idx="31">
                  <c:v>0.53707441339190254</c:v>
                </c:pt>
                <c:pt idx="32">
                  <c:v>-0.2011742534224723</c:v>
                </c:pt>
                <c:pt idx="33">
                  <c:v>-0.80080055288090257</c:v>
                </c:pt>
                <c:pt idx="34">
                  <c:v>-0.80691092190668279</c:v>
                </c:pt>
                <c:pt idx="35">
                  <c:v>-7.469359715583046E-2</c:v>
                </c:pt>
                <c:pt idx="36">
                  <c:v>0.71483778183850966</c:v>
                </c:pt>
                <c:pt idx="37">
                  <c:v>0.77619495817109829</c:v>
                </c:pt>
                <c:pt idx="38">
                  <c:v>0.41991144721824902</c:v>
                </c:pt>
                <c:pt idx="39">
                  <c:v>4.9850049833180421E-2</c:v>
                </c:pt>
                <c:pt idx="40">
                  <c:v>-0.75075804008149305</c:v>
                </c:pt>
                <c:pt idx="41">
                  <c:v>-0.54307355703906524</c:v>
                </c:pt>
                <c:pt idx="42">
                  <c:v>-0.66354283022082328</c:v>
                </c:pt>
                <c:pt idx="43">
                  <c:v>-0.19785315458799957</c:v>
                </c:pt>
                <c:pt idx="44">
                  <c:v>0.32268482347173943</c:v>
                </c:pt>
                <c:pt idx="45">
                  <c:v>0.33805993206963159</c:v>
                </c:pt>
                <c:pt idx="46">
                  <c:v>0.65556509524642959</c:v>
                </c:pt>
                <c:pt idx="47">
                  <c:v>0.33508057761946564</c:v>
                </c:pt>
                <c:pt idx="48">
                  <c:v>0.32932747247376071</c:v>
                </c:pt>
                <c:pt idx="49">
                  <c:v>0.34995471608968742</c:v>
                </c:pt>
                <c:pt idx="50">
                  <c:v>0.35766573178299144</c:v>
                </c:pt>
                <c:pt idx="51">
                  <c:v>0.38179132707958807</c:v>
                </c:pt>
                <c:pt idx="52">
                  <c:v>0.49722500209575582</c:v>
                </c:pt>
                <c:pt idx="53">
                  <c:v>0.31029940568981562</c:v>
                </c:pt>
                <c:pt idx="54">
                  <c:v>-0.14933774545518563</c:v>
                </c:pt>
                <c:pt idx="55">
                  <c:v>-0.12206078589967007</c:v>
                </c:pt>
                <c:pt idx="56">
                  <c:v>-0.45130901208985641</c:v>
                </c:pt>
                <c:pt idx="57">
                  <c:v>-0.49804577797948735</c:v>
                </c:pt>
                <c:pt idx="58">
                  <c:v>-0.14888784914670961</c:v>
                </c:pt>
                <c:pt idx="59">
                  <c:v>-0.18771201798595261</c:v>
                </c:pt>
                <c:pt idx="60">
                  <c:v>-7.839042115392747E-2</c:v>
                </c:pt>
                <c:pt idx="61">
                  <c:v>-5.5622167070853656E-2</c:v>
                </c:pt>
                <c:pt idx="62">
                  <c:v>-0.33293604946602784</c:v>
                </c:pt>
                <c:pt idx="63">
                  <c:v>-0.38905449768974609</c:v>
                </c:pt>
                <c:pt idx="64">
                  <c:v>-0.46604205157289069</c:v>
                </c:pt>
                <c:pt idx="65">
                  <c:v>-0.67285248745027815</c:v>
                </c:pt>
                <c:pt idx="66">
                  <c:v>-0.55331554582667142</c:v>
                </c:pt>
                <c:pt idx="67">
                  <c:v>-0.68370472424502449</c:v>
                </c:pt>
                <c:pt idx="68">
                  <c:v>-0.66241160712890412</c:v>
                </c:pt>
                <c:pt idx="69">
                  <c:v>-0.30426113303958235</c:v>
                </c:pt>
                <c:pt idx="70">
                  <c:v>-0.14277675262205225</c:v>
                </c:pt>
                <c:pt idx="71">
                  <c:v>-2.1618188330310595E-2</c:v>
                </c:pt>
                <c:pt idx="72">
                  <c:v>0.18333927008165585</c:v>
                </c:pt>
                <c:pt idx="73">
                  <c:v>-3.3337963984083174E-2</c:v>
                </c:pt>
                <c:pt idx="74">
                  <c:v>-6.2006580420657542E-2</c:v>
                </c:pt>
                <c:pt idx="75">
                  <c:v>9.0858855409244654E-2</c:v>
                </c:pt>
                <c:pt idx="76">
                  <c:v>0.14147905136365591</c:v>
                </c:pt>
                <c:pt idx="77">
                  <c:v>-2.1404086154173108E-2</c:v>
                </c:pt>
                <c:pt idx="78">
                  <c:v>-0.15908945889667603</c:v>
                </c:pt>
                <c:pt idx="79">
                  <c:v>-0.33648333168077382</c:v>
                </c:pt>
                <c:pt idx="80">
                  <c:v>-0.66337770926992956</c:v>
                </c:pt>
                <c:pt idx="81">
                  <c:v>-0.38023692118727404</c:v>
                </c:pt>
                <c:pt idx="82">
                  <c:v>-0.17077609140437389</c:v>
                </c:pt>
                <c:pt idx="83">
                  <c:v>6.3866178706831533E-2</c:v>
                </c:pt>
                <c:pt idx="84">
                  <c:v>0.22745031489182921</c:v>
                </c:pt>
                <c:pt idx="85">
                  <c:v>0.29908840786012458</c:v>
                </c:pt>
                <c:pt idx="86">
                  <c:v>0.3837948690888302</c:v>
                </c:pt>
                <c:pt idx="87">
                  <c:v>0.2766719238236437</c:v>
                </c:pt>
                <c:pt idx="88">
                  <c:v>0.26152359912103407</c:v>
                </c:pt>
                <c:pt idx="89">
                  <c:v>-2.6646403733892043E-3</c:v>
                </c:pt>
                <c:pt idx="90">
                  <c:v>-0.33552423858577995</c:v>
                </c:pt>
                <c:pt idx="91">
                  <c:v>-0.40543745437912637</c:v>
                </c:pt>
                <c:pt idx="92">
                  <c:v>-0.39872806927229121</c:v>
                </c:pt>
                <c:pt idx="93">
                  <c:v>0.14589280678616401</c:v>
                </c:pt>
                <c:pt idx="94">
                  <c:v>0.21849195571887225</c:v>
                </c:pt>
                <c:pt idx="95">
                  <c:v>0.20054774212268978</c:v>
                </c:pt>
                <c:pt idx="96">
                  <c:v>-0.18817348711973292</c:v>
                </c:pt>
                <c:pt idx="97">
                  <c:v>-1.0304557340572904</c:v>
                </c:pt>
                <c:pt idx="98">
                  <c:v>-0.95257186322162379</c:v>
                </c:pt>
                <c:pt idx="99">
                  <c:v>-0.72433435020129355</c:v>
                </c:pt>
                <c:pt idx="100">
                  <c:v>-0.46151144632582675</c:v>
                </c:pt>
                <c:pt idx="101">
                  <c:v>-5.1179220481943233E-2</c:v>
                </c:pt>
                <c:pt idx="102">
                  <c:v>6.6809800400178254E-2</c:v>
                </c:pt>
                <c:pt idx="103">
                  <c:v>-0.18744287555052708</c:v>
                </c:pt>
                <c:pt idx="104">
                  <c:v>-0.20297560704124962</c:v>
                </c:pt>
                <c:pt idx="105">
                  <c:v>-7.1470071407305547E-2</c:v>
                </c:pt>
                <c:pt idx="106">
                  <c:v>-0.35510694237392215</c:v>
                </c:pt>
                <c:pt idx="107">
                  <c:v>-1.6510269051528859E-2</c:v>
                </c:pt>
                <c:pt idx="108">
                  <c:v>6.2413306053246131E-3</c:v>
                </c:pt>
                <c:pt idx="109">
                  <c:v>-0.13912797433788793</c:v>
                </c:pt>
                <c:pt idx="110">
                  <c:v>0.21999996751306039</c:v>
                </c:pt>
                <c:pt idx="111">
                  <c:v>0.32479593133765228</c:v>
                </c:pt>
                <c:pt idx="112">
                  <c:v>0.55914706099344436</c:v>
                </c:pt>
                <c:pt idx="113">
                  <c:v>0.67419965927385839</c:v>
                </c:pt>
                <c:pt idx="114">
                  <c:v>0.68987837072465208</c:v>
                </c:pt>
                <c:pt idx="115">
                  <c:v>0.28247518170359598</c:v>
                </c:pt>
                <c:pt idx="116">
                  <c:v>0.12788387530891132</c:v>
                </c:pt>
                <c:pt idx="117">
                  <c:v>0.1457423937887441</c:v>
                </c:pt>
                <c:pt idx="118">
                  <c:v>-0.10074633342640205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3A-4AFC-971F-65F57F96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634000"/>
        <c:axId val="1022642640"/>
      </c:scatterChart>
      <c:valAx>
        <c:axId val="102263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42640"/>
        <c:crosses val="autoZero"/>
        <c:crossBetween val="midCat"/>
      </c:valAx>
      <c:valAx>
        <c:axId val="1022642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6340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OC'!$C$27:$C$145</c:f>
              <c:numCache>
                <c:formatCode>General</c:formatCode>
                <c:ptCount val="119"/>
                <c:pt idx="0">
                  <c:v>-0.13729831738467979</c:v>
                </c:pt>
                <c:pt idx="1">
                  <c:v>-9.6466193275411172E-2</c:v>
                </c:pt>
                <c:pt idx="2">
                  <c:v>-0.30634210305122167</c:v>
                </c:pt>
                <c:pt idx="3">
                  <c:v>-0.52020406430725163</c:v>
                </c:pt>
                <c:pt idx="4">
                  <c:v>-0.58337596415435122</c:v>
                </c:pt>
                <c:pt idx="5">
                  <c:v>-0.89568165212509498</c:v>
                </c:pt>
                <c:pt idx="6">
                  <c:v>-0.91850187785563975</c:v>
                </c:pt>
                <c:pt idx="7">
                  <c:v>-0.67484045127820469</c:v>
                </c:pt>
                <c:pt idx="8">
                  <c:v>-0.77672900046790438</c:v>
                </c:pt>
                <c:pt idx="9">
                  <c:v>-0.79751293899809728</c:v>
                </c:pt>
                <c:pt idx="10">
                  <c:v>-0.66615996693201396</c:v>
                </c:pt>
                <c:pt idx="11">
                  <c:v>-0.46341410409931694</c:v>
                </c:pt>
                <c:pt idx="12">
                  <c:v>-0.45054744627788867</c:v>
                </c:pt>
                <c:pt idx="13">
                  <c:v>-6.0414059640311102E-2</c:v>
                </c:pt>
                <c:pt idx="14">
                  <c:v>-0.1143729689498505</c:v>
                </c:pt>
                <c:pt idx="15">
                  <c:v>-0.5150489021751774</c:v>
                </c:pt>
                <c:pt idx="16">
                  <c:v>-0.19914151649807543</c:v>
                </c:pt>
                <c:pt idx="17">
                  <c:v>-0.21376504000423147</c:v>
                </c:pt>
                <c:pt idx="18">
                  <c:v>0.3880874550556479</c:v>
                </c:pt>
                <c:pt idx="19">
                  <c:v>1.3102958384178285</c:v>
                </c:pt>
                <c:pt idx="20">
                  <c:v>1.6439733834472037</c:v>
                </c:pt>
                <c:pt idx="21">
                  <c:v>2.0312778787477317</c:v>
                </c:pt>
                <c:pt idx="22">
                  <c:v>1.7503370654449775</c:v>
                </c:pt>
                <c:pt idx="23">
                  <c:v>1.2027304578943223</c:v>
                </c:pt>
                <c:pt idx="24">
                  <c:v>0.806581383546078</c:v>
                </c:pt>
                <c:pt idx="25">
                  <c:v>0.30205079335503449</c:v>
                </c:pt>
                <c:pt idx="26">
                  <c:v>0.31301736633962207</c:v>
                </c:pt>
                <c:pt idx="27">
                  <c:v>0.62145905459938611</c:v>
                </c:pt>
                <c:pt idx="28">
                  <c:v>0.83698022689998552</c:v>
                </c:pt>
                <c:pt idx="29">
                  <c:v>1.2125249678885126</c:v>
                </c:pt>
                <c:pt idx="30">
                  <c:v>1.4146178567958412</c:v>
                </c:pt>
                <c:pt idx="31">
                  <c:v>0.53707441339190254</c:v>
                </c:pt>
                <c:pt idx="32">
                  <c:v>-0.2011742534224723</c:v>
                </c:pt>
                <c:pt idx="33">
                  <c:v>-0.80080055288090257</c:v>
                </c:pt>
                <c:pt idx="34">
                  <c:v>-0.80691092190668279</c:v>
                </c:pt>
                <c:pt idx="35">
                  <c:v>-7.469359715583046E-2</c:v>
                </c:pt>
                <c:pt idx="36">
                  <c:v>0.71483778183850966</c:v>
                </c:pt>
                <c:pt idx="37">
                  <c:v>0.77619495817109829</c:v>
                </c:pt>
                <c:pt idx="38">
                  <c:v>0.41991144721824902</c:v>
                </c:pt>
                <c:pt idx="39">
                  <c:v>4.9850049833180421E-2</c:v>
                </c:pt>
                <c:pt idx="40">
                  <c:v>-0.75075804008149305</c:v>
                </c:pt>
                <c:pt idx="41">
                  <c:v>-0.54307355703906524</c:v>
                </c:pt>
                <c:pt idx="42">
                  <c:v>-0.66354283022082328</c:v>
                </c:pt>
                <c:pt idx="43">
                  <c:v>-0.19785315458799957</c:v>
                </c:pt>
                <c:pt idx="44">
                  <c:v>0.32268482347173943</c:v>
                </c:pt>
                <c:pt idx="45">
                  <c:v>0.33805993206963159</c:v>
                </c:pt>
                <c:pt idx="46">
                  <c:v>0.65556509524642959</c:v>
                </c:pt>
                <c:pt idx="47">
                  <c:v>0.33508057761946564</c:v>
                </c:pt>
                <c:pt idx="48">
                  <c:v>0.32932747247376071</c:v>
                </c:pt>
                <c:pt idx="49">
                  <c:v>0.34995471608968742</c:v>
                </c:pt>
                <c:pt idx="50">
                  <c:v>0.35766573178299144</c:v>
                </c:pt>
                <c:pt idx="51">
                  <c:v>0.38179132707958807</c:v>
                </c:pt>
                <c:pt idx="52">
                  <c:v>0.49722500209575582</c:v>
                </c:pt>
                <c:pt idx="53">
                  <c:v>0.31029940568981562</c:v>
                </c:pt>
                <c:pt idx="54">
                  <c:v>-0.14933774545518563</c:v>
                </c:pt>
                <c:pt idx="55">
                  <c:v>-0.12206078589967007</c:v>
                </c:pt>
                <c:pt idx="56">
                  <c:v>-0.45130901208985641</c:v>
                </c:pt>
                <c:pt idx="57">
                  <c:v>-0.49804577797948735</c:v>
                </c:pt>
                <c:pt idx="58">
                  <c:v>-0.14888784914670961</c:v>
                </c:pt>
                <c:pt idx="59">
                  <c:v>-0.18771201798595261</c:v>
                </c:pt>
                <c:pt idx="60">
                  <c:v>-7.839042115392747E-2</c:v>
                </c:pt>
                <c:pt idx="61">
                  <c:v>-5.5622167070853656E-2</c:v>
                </c:pt>
                <c:pt idx="62">
                  <c:v>-0.33293604946602784</c:v>
                </c:pt>
                <c:pt idx="63">
                  <c:v>-0.38905449768974609</c:v>
                </c:pt>
                <c:pt idx="64">
                  <c:v>-0.46604205157289069</c:v>
                </c:pt>
                <c:pt idx="65">
                  <c:v>-0.67285248745027815</c:v>
                </c:pt>
                <c:pt idx="66">
                  <c:v>-0.55331554582667142</c:v>
                </c:pt>
                <c:pt idx="67">
                  <c:v>-0.68370472424502449</c:v>
                </c:pt>
                <c:pt idx="68">
                  <c:v>-0.66241160712890412</c:v>
                </c:pt>
                <c:pt idx="69">
                  <c:v>-0.30426113303958235</c:v>
                </c:pt>
                <c:pt idx="70">
                  <c:v>-0.14277675262205225</c:v>
                </c:pt>
                <c:pt idx="71">
                  <c:v>-2.1618188330310595E-2</c:v>
                </c:pt>
                <c:pt idx="72">
                  <c:v>0.18333927008165585</c:v>
                </c:pt>
                <c:pt idx="73">
                  <c:v>-3.3337963984083174E-2</c:v>
                </c:pt>
                <c:pt idx="74">
                  <c:v>-6.2006580420657542E-2</c:v>
                </c:pt>
                <c:pt idx="75">
                  <c:v>9.0858855409244654E-2</c:v>
                </c:pt>
                <c:pt idx="76">
                  <c:v>0.14147905136365591</c:v>
                </c:pt>
                <c:pt idx="77">
                  <c:v>-2.1404086154173108E-2</c:v>
                </c:pt>
                <c:pt idx="78">
                  <c:v>-0.15908945889667603</c:v>
                </c:pt>
                <c:pt idx="79">
                  <c:v>-0.33648333168077382</c:v>
                </c:pt>
                <c:pt idx="80">
                  <c:v>-0.66337770926992956</c:v>
                </c:pt>
                <c:pt idx="81">
                  <c:v>-0.38023692118727404</c:v>
                </c:pt>
                <c:pt idx="82">
                  <c:v>-0.17077609140437389</c:v>
                </c:pt>
                <c:pt idx="83">
                  <c:v>6.3866178706831533E-2</c:v>
                </c:pt>
                <c:pt idx="84">
                  <c:v>0.22745031489182921</c:v>
                </c:pt>
                <c:pt idx="85">
                  <c:v>0.29908840786012458</c:v>
                </c:pt>
                <c:pt idx="86">
                  <c:v>0.3837948690888302</c:v>
                </c:pt>
                <c:pt idx="87">
                  <c:v>0.2766719238236437</c:v>
                </c:pt>
                <c:pt idx="88">
                  <c:v>0.26152359912103407</c:v>
                </c:pt>
                <c:pt idx="89">
                  <c:v>-2.6646403733892043E-3</c:v>
                </c:pt>
                <c:pt idx="90">
                  <c:v>-0.33552423858577995</c:v>
                </c:pt>
                <c:pt idx="91">
                  <c:v>-0.40543745437912637</c:v>
                </c:pt>
                <c:pt idx="92">
                  <c:v>-0.39872806927229121</c:v>
                </c:pt>
                <c:pt idx="93">
                  <c:v>0.14589280678616401</c:v>
                </c:pt>
                <c:pt idx="94">
                  <c:v>0.21849195571887225</c:v>
                </c:pt>
                <c:pt idx="95">
                  <c:v>0.20054774212268978</c:v>
                </c:pt>
                <c:pt idx="96">
                  <c:v>-0.18817348711973292</c:v>
                </c:pt>
                <c:pt idx="97">
                  <c:v>-1.0304557340572904</c:v>
                </c:pt>
                <c:pt idx="98">
                  <c:v>-0.95257186322162379</c:v>
                </c:pt>
                <c:pt idx="99">
                  <c:v>-0.72433435020129355</c:v>
                </c:pt>
                <c:pt idx="100">
                  <c:v>-0.46151144632582675</c:v>
                </c:pt>
                <c:pt idx="101">
                  <c:v>-5.1179220481943233E-2</c:v>
                </c:pt>
                <c:pt idx="102">
                  <c:v>6.6809800400178254E-2</c:v>
                </c:pt>
                <c:pt idx="103">
                  <c:v>-0.18744287555052708</c:v>
                </c:pt>
                <c:pt idx="104">
                  <c:v>-0.20297560704124962</c:v>
                </c:pt>
                <c:pt idx="105">
                  <c:v>-7.1470071407305547E-2</c:v>
                </c:pt>
                <c:pt idx="106">
                  <c:v>-0.35510694237392215</c:v>
                </c:pt>
                <c:pt idx="107">
                  <c:v>-1.6510269051528859E-2</c:v>
                </c:pt>
                <c:pt idx="108">
                  <c:v>6.2413306053246131E-3</c:v>
                </c:pt>
                <c:pt idx="109">
                  <c:v>-0.13912797433788793</c:v>
                </c:pt>
                <c:pt idx="110">
                  <c:v>0.21999996751306039</c:v>
                </c:pt>
                <c:pt idx="111">
                  <c:v>0.32479593133765228</c:v>
                </c:pt>
                <c:pt idx="112">
                  <c:v>0.55914706099344436</c:v>
                </c:pt>
                <c:pt idx="113">
                  <c:v>0.67419965927385839</c:v>
                </c:pt>
                <c:pt idx="114">
                  <c:v>0.68987837072465208</c:v>
                </c:pt>
                <c:pt idx="115">
                  <c:v>0.28247518170359598</c:v>
                </c:pt>
                <c:pt idx="116">
                  <c:v>0.12788387530891132</c:v>
                </c:pt>
                <c:pt idx="117">
                  <c:v>0.1457423937887441</c:v>
                </c:pt>
                <c:pt idx="118">
                  <c:v>-0.10074633342640205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ED-4C8F-9B62-AB69DF9C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523952"/>
        <c:axId val="1027268672"/>
      </c:scatterChart>
      <c:valAx>
        <c:axId val="71152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8672"/>
        <c:crosses val="autoZero"/>
        <c:crossBetween val="midCat"/>
      </c:valAx>
      <c:valAx>
        <c:axId val="102726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1523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OrangeCounty!$O$6:$O$124</c:f>
              <c:numCache>
                <c:formatCode>General</c:formatCode>
                <c:ptCount val="119"/>
                <c:pt idx="0">
                  <c:v>0.95477642276422758</c:v>
                </c:pt>
                <c:pt idx="1">
                  <c:v>0.98643714136671878</c:v>
                </c:pt>
                <c:pt idx="2">
                  <c:v>0.99418297197250138</c:v>
                </c:pt>
                <c:pt idx="3">
                  <c:v>1.0010718113612005</c:v>
                </c:pt>
                <c:pt idx="4">
                  <c:v>0.98616285258116032</c:v>
                </c:pt>
                <c:pt idx="5">
                  <c:v>0.97197250132205182</c:v>
                </c:pt>
                <c:pt idx="6">
                  <c:v>0.96861702127659577</c:v>
                </c:pt>
                <c:pt idx="7">
                  <c:v>0.96627408993576025</c:v>
                </c:pt>
                <c:pt idx="8">
                  <c:v>0.98057204533189424</c:v>
                </c:pt>
                <c:pt idx="9">
                  <c:v>0.99510337323177367</c:v>
                </c:pt>
                <c:pt idx="10">
                  <c:v>1.0027457440966503</c:v>
                </c:pt>
                <c:pt idx="11">
                  <c:v>1.0105263157894735</c:v>
                </c:pt>
                <c:pt idx="12">
                  <c:v>0.99834892680242149</c:v>
                </c:pt>
                <c:pt idx="13">
                  <c:v>0.98578458173865513</c:v>
                </c:pt>
                <c:pt idx="14">
                  <c:v>0.97371303395399778</c:v>
                </c:pt>
                <c:pt idx="15">
                  <c:v>0.96107456140350889</c:v>
                </c:pt>
                <c:pt idx="16">
                  <c:v>0.93495038588754131</c:v>
                </c:pt>
                <c:pt idx="17">
                  <c:v>0.90959511924570147</c:v>
                </c:pt>
                <c:pt idx="18">
                  <c:v>0.91451068616422948</c:v>
                </c:pt>
                <c:pt idx="19">
                  <c:v>0.91899600684540783</c:v>
                </c:pt>
                <c:pt idx="20">
                  <c:v>0.93691037735849059</c:v>
                </c:pt>
                <c:pt idx="21">
                  <c:v>0.95548780487804885</c:v>
                </c:pt>
                <c:pt idx="22">
                  <c:v>0.95817958179581786</c:v>
                </c:pt>
                <c:pt idx="23">
                  <c:v>0.9621353196772191</c:v>
                </c:pt>
                <c:pt idx="24">
                  <c:v>0.99181875393329133</c:v>
                </c:pt>
                <c:pt idx="25">
                  <c:v>1.0223356732610083</c:v>
                </c:pt>
                <c:pt idx="26">
                  <c:v>1.0282413350449293</c:v>
                </c:pt>
                <c:pt idx="27">
                  <c:v>1.0335483870967741</c:v>
                </c:pt>
                <c:pt idx="28">
                  <c:v>1.0291878172588831</c:v>
                </c:pt>
                <c:pt idx="29">
                  <c:v>1.0249687890137329</c:v>
                </c:pt>
                <c:pt idx="30">
                  <c:v>1.0362047440699127</c:v>
                </c:pt>
                <c:pt idx="31">
                  <c:v>1.0474406991260925</c:v>
                </c:pt>
                <c:pt idx="32">
                  <c:v>1.0493218249075216</c:v>
                </c:pt>
                <c:pt idx="33">
                  <c:v>1.05115712545676</c:v>
                </c:pt>
                <c:pt idx="34">
                  <c:v>1.0566265060240962</c:v>
                </c:pt>
                <c:pt idx="35">
                  <c:v>1.0625744934445767</c:v>
                </c:pt>
                <c:pt idx="36">
                  <c:v>1.0752056404230319</c:v>
                </c:pt>
                <c:pt idx="37">
                  <c:v>1.0880648899188876</c:v>
                </c:pt>
                <c:pt idx="38">
                  <c:v>1.1174458380843788</c:v>
                </c:pt>
                <c:pt idx="39">
                  <c:v>1.1475042063937186</c:v>
                </c:pt>
                <c:pt idx="40">
                  <c:v>1.1584699453551912</c:v>
                </c:pt>
                <c:pt idx="41">
                  <c:v>1.1687965921192758</c:v>
                </c:pt>
                <c:pt idx="42">
                  <c:v>1.1683673469387754</c:v>
                </c:pt>
                <c:pt idx="43">
                  <c:v>1.1671554252199412</c:v>
                </c:pt>
                <c:pt idx="44">
                  <c:v>1.1245283018867924</c:v>
                </c:pt>
                <c:pt idx="45">
                  <c:v>1.0842824601366743</c:v>
                </c:pt>
                <c:pt idx="46">
                  <c:v>1.0663755458515285</c:v>
                </c:pt>
                <c:pt idx="47">
                  <c:v>1.0494137353433837</c:v>
                </c:pt>
                <c:pt idx="48">
                  <c:v>1.080536912751678</c:v>
                </c:pt>
                <c:pt idx="49">
                  <c:v>1.1130252100840334</c:v>
                </c:pt>
                <c:pt idx="50">
                  <c:v>1.0900900900900901</c:v>
                </c:pt>
                <c:pt idx="51">
                  <c:v>1.0670391061452513</c:v>
                </c:pt>
                <c:pt idx="52">
                  <c:v>1.043866459627329</c:v>
                </c:pt>
                <c:pt idx="53">
                  <c:v>1.0211400528501322</c:v>
                </c:pt>
                <c:pt idx="54">
                  <c:v>1.0105184072126221</c:v>
                </c:pt>
                <c:pt idx="55">
                  <c:v>1.0003739715781601</c:v>
                </c:pt>
                <c:pt idx="56">
                  <c:v>0.96243956861286717</c:v>
                </c:pt>
                <c:pt idx="57">
                  <c:v>0.92606284658040661</c:v>
                </c:pt>
                <c:pt idx="58">
                  <c:v>0.90557620817843865</c:v>
                </c:pt>
                <c:pt idx="59">
                  <c:v>0.88523364485981304</c:v>
                </c:pt>
                <c:pt idx="60">
                  <c:v>0.89064914992272026</c:v>
                </c:pt>
                <c:pt idx="61">
                  <c:v>0.90459081836327349</c:v>
                </c:pt>
                <c:pt idx="62">
                  <c:v>0.91625615763546797</c:v>
                </c:pt>
                <c:pt idx="63">
                  <c:v>0.95016891891891897</c:v>
                </c:pt>
                <c:pt idx="64">
                  <c:v>1.0203904555314534</c:v>
                </c:pt>
                <c:pt idx="65">
                  <c:v>1.0114739629302736</c:v>
                </c:pt>
                <c:pt idx="66">
                  <c:v>1.0371863799283154</c:v>
                </c:pt>
                <c:pt idx="67">
                  <c:v>1.0422222222222222</c:v>
                </c:pt>
                <c:pt idx="68">
                  <c:v>1.028061224489796</c:v>
                </c:pt>
                <c:pt idx="69">
                  <c:v>1.0715532286212912</c:v>
                </c:pt>
                <c:pt idx="70">
                  <c:v>1.0786177105831534</c:v>
                </c:pt>
                <c:pt idx="71">
                  <c:v>1.078038379530917</c:v>
                </c:pt>
                <c:pt idx="72">
                  <c:v>1.1153846153846154</c:v>
                </c:pt>
                <c:pt idx="73">
                  <c:v>1.1074918566775245</c:v>
                </c:pt>
                <c:pt idx="74">
                  <c:v>1.0933119743692432</c:v>
                </c:pt>
                <c:pt idx="75">
                  <c:v>1.0870253164556962</c:v>
                </c:pt>
                <c:pt idx="76">
                  <c:v>1.0819428995179829</c:v>
                </c:pt>
                <c:pt idx="77">
                  <c:v>1.0694852941176471</c:v>
                </c:pt>
                <c:pt idx="78">
                  <c:v>1.073992673992674</c:v>
                </c:pt>
                <c:pt idx="79">
                  <c:v>1.0738719068413392</c:v>
                </c:pt>
                <c:pt idx="80">
                  <c:v>1.0123372172721041</c:v>
                </c:pt>
                <c:pt idx="81">
                  <c:v>1.0055001718803713</c:v>
                </c:pt>
                <c:pt idx="82">
                  <c:v>0.98499317871759884</c:v>
                </c:pt>
                <c:pt idx="83">
                  <c:v>0.94849203659776338</c:v>
                </c:pt>
                <c:pt idx="84">
                  <c:v>0.88591740013540965</c:v>
                </c:pt>
                <c:pt idx="85">
                  <c:v>0.86598290598290595</c:v>
                </c:pt>
                <c:pt idx="86">
                  <c:v>0.86357340720221609</c:v>
                </c:pt>
                <c:pt idx="87">
                  <c:v>0.86780993211861379</c:v>
                </c:pt>
                <c:pt idx="88">
                  <c:v>0.89606419564386697</c:v>
                </c:pt>
                <c:pt idx="89">
                  <c:v>0.89340702724042642</c:v>
                </c:pt>
                <c:pt idx="90">
                  <c:v>0.88051323175621488</c:v>
                </c:pt>
                <c:pt idx="91">
                  <c:v>0.88019761218608483</c:v>
                </c:pt>
                <c:pt idx="92">
                  <c:v>0.9330490405117271</c:v>
                </c:pt>
                <c:pt idx="93">
                  <c:v>0.96818382677861248</c:v>
                </c:pt>
                <c:pt idx="94">
                  <c:v>0.99089253187613846</c:v>
                </c:pt>
                <c:pt idx="95">
                  <c:v>1.0491113189897101</c:v>
                </c:pt>
                <c:pt idx="96">
                  <c:v>0.99360146252285186</c:v>
                </c:pt>
                <c:pt idx="97">
                  <c:v>1.0045641259698768</c:v>
                </c:pt>
                <c:pt idx="98">
                  <c:v>1.0174632352941175</c:v>
                </c:pt>
                <c:pt idx="99">
                  <c:v>1.011591618368257</c:v>
                </c:pt>
                <c:pt idx="100">
                  <c:v>1.0381784728610857</c:v>
                </c:pt>
                <c:pt idx="101">
                  <c:v>1.0213539300318037</c:v>
                </c:pt>
                <c:pt idx="102">
                  <c:v>1.0257452574525745</c:v>
                </c:pt>
                <c:pt idx="103">
                  <c:v>1.003525782282944</c:v>
                </c:pt>
                <c:pt idx="104">
                  <c:v>1.0115197164377492</c:v>
                </c:pt>
                <c:pt idx="105">
                  <c:v>1.0591637010676156</c:v>
                </c:pt>
                <c:pt idx="106">
                  <c:v>1.041831792162043</c:v>
                </c:pt>
                <c:pt idx="107">
                  <c:v>1.1018884497145367</c:v>
                </c:pt>
                <c:pt idx="108">
                  <c:v>1.1239597021462988</c:v>
                </c:pt>
                <c:pt idx="109">
                  <c:v>1.0978580428391433</c:v>
                </c:pt>
                <c:pt idx="110">
                  <c:v>1.1289095519864751</c:v>
                </c:pt>
                <c:pt idx="111">
                  <c:v>1.1048226385013948</c:v>
                </c:pt>
                <c:pt idx="112">
                  <c:v>1.1063912704598597</c:v>
                </c:pt>
                <c:pt idx="113">
                  <c:v>1.0944912012241774</c:v>
                </c:pt>
                <c:pt idx="114">
                  <c:v>1.0700112317484087</c:v>
                </c:pt>
                <c:pt idx="115">
                  <c:v>1.0562770562770563</c:v>
                </c:pt>
                <c:pt idx="116">
                  <c:v>1.0563578724903133</c:v>
                </c:pt>
                <c:pt idx="117">
                  <c:v>1.0744494931842012</c:v>
                </c:pt>
                <c:pt idx="118">
                  <c:v>1.0839748075577327</c:v>
                </c:pt>
              </c:numCache>
            </c:numRef>
          </c:xVal>
          <c:yVal>
            <c:numRef>
              <c:f>'Model1 OC'!$C$27:$C$145</c:f>
              <c:numCache>
                <c:formatCode>General</c:formatCode>
                <c:ptCount val="119"/>
                <c:pt idx="0">
                  <c:v>-0.13729831738467979</c:v>
                </c:pt>
                <c:pt idx="1">
                  <c:v>-9.6466193275411172E-2</c:v>
                </c:pt>
                <c:pt idx="2">
                  <c:v>-0.30634210305122167</c:v>
                </c:pt>
                <c:pt idx="3">
                  <c:v>-0.52020406430725163</c:v>
                </c:pt>
                <c:pt idx="4">
                  <c:v>-0.58337596415435122</c:v>
                </c:pt>
                <c:pt idx="5">
                  <c:v>-0.89568165212509498</c:v>
                </c:pt>
                <c:pt idx="6">
                  <c:v>-0.91850187785563975</c:v>
                </c:pt>
                <c:pt idx="7">
                  <c:v>-0.67484045127820469</c:v>
                </c:pt>
                <c:pt idx="8">
                  <c:v>-0.77672900046790438</c:v>
                </c:pt>
                <c:pt idx="9">
                  <c:v>-0.79751293899809728</c:v>
                </c:pt>
                <c:pt idx="10">
                  <c:v>-0.66615996693201396</c:v>
                </c:pt>
                <c:pt idx="11">
                  <c:v>-0.46341410409931694</c:v>
                </c:pt>
                <c:pt idx="12">
                  <c:v>-0.45054744627788867</c:v>
                </c:pt>
                <c:pt idx="13">
                  <c:v>-6.0414059640311102E-2</c:v>
                </c:pt>
                <c:pt idx="14">
                  <c:v>-0.1143729689498505</c:v>
                </c:pt>
                <c:pt idx="15">
                  <c:v>-0.5150489021751774</c:v>
                </c:pt>
                <c:pt idx="16">
                  <c:v>-0.19914151649807543</c:v>
                </c:pt>
                <c:pt idx="17">
                  <c:v>-0.21376504000423147</c:v>
                </c:pt>
                <c:pt idx="18">
                  <c:v>0.3880874550556479</c:v>
                </c:pt>
                <c:pt idx="19">
                  <c:v>1.3102958384178285</c:v>
                </c:pt>
                <c:pt idx="20">
                  <c:v>1.6439733834472037</c:v>
                </c:pt>
                <c:pt idx="21">
                  <c:v>2.0312778787477317</c:v>
                </c:pt>
                <c:pt idx="22">
                  <c:v>1.7503370654449775</c:v>
                </c:pt>
                <c:pt idx="23">
                  <c:v>1.2027304578943223</c:v>
                </c:pt>
                <c:pt idx="24">
                  <c:v>0.806581383546078</c:v>
                </c:pt>
                <c:pt idx="25">
                  <c:v>0.30205079335503449</c:v>
                </c:pt>
                <c:pt idx="26">
                  <c:v>0.31301736633962207</c:v>
                </c:pt>
                <c:pt idx="27">
                  <c:v>0.62145905459938611</c:v>
                </c:pt>
                <c:pt idx="28">
                  <c:v>0.83698022689998552</c:v>
                </c:pt>
                <c:pt idx="29">
                  <c:v>1.2125249678885126</c:v>
                </c:pt>
                <c:pt idx="30">
                  <c:v>1.4146178567958412</c:v>
                </c:pt>
                <c:pt idx="31">
                  <c:v>0.53707441339190254</c:v>
                </c:pt>
                <c:pt idx="32">
                  <c:v>-0.2011742534224723</c:v>
                </c:pt>
                <c:pt idx="33">
                  <c:v>-0.80080055288090257</c:v>
                </c:pt>
                <c:pt idx="34">
                  <c:v>-0.80691092190668279</c:v>
                </c:pt>
                <c:pt idx="35">
                  <c:v>-7.469359715583046E-2</c:v>
                </c:pt>
                <c:pt idx="36">
                  <c:v>0.71483778183850966</c:v>
                </c:pt>
                <c:pt idx="37">
                  <c:v>0.77619495817109829</c:v>
                </c:pt>
                <c:pt idx="38">
                  <c:v>0.41991144721824902</c:v>
                </c:pt>
                <c:pt idx="39">
                  <c:v>4.9850049833180421E-2</c:v>
                </c:pt>
                <c:pt idx="40">
                  <c:v>-0.75075804008149305</c:v>
                </c:pt>
                <c:pt idx="41">
                  <c:v>-0.54307355703906524</c:v>
                </c:pt>
                <c:pt idx="42">
                  <c:v>-0.66354283022082328</c:v>
                </c:pt>
                <c:pt idx="43">
                  <c:v>-0.19785315458799957</c:v>
                </c:pt>
                <c:pt idx="44">
                  <c:v>0.32268482347173943</c:v>
                </c:pt>
                <c:pt idx="45">
                  <c:v>0.33805993206963159</c:v>
                </c:pt>
                <c:pt idx="46">
                  <c:v>0.65556509524642959</c:v>
                </c:pt>
                <c:pt idx="47">
                  <c:v>0.33508057761946564</c:v>
                </c:pt>
                <c:pt idx="48">
                  <c:v>0.32932747247376071</c:v>
                </c:pt>
                <c:pt idx="49">
                  <c:v>0.34995471608968742</c:v>
                </c:pt>
                <c:pt idx="50">
                  <c:v>0.35766573178299144</c:v>
                </c:pt>
                <c:pt idx="51">
                  <c:v>0.38179132707958807</c:v>
                </c:pt>
                <c:pt idx="52">
                  <c:v>0.49722500209575582</c:v>
                </c:pt>
                <c:pt idx="53">
                  <c:v>0.31029940568981562</c:v>
                </c:pt>
                <c:pt idx="54">
                  <c:v>-0.14933774545518563</c:v>
                </c:pt>
                <c:pt idx="55">
                  <c:v>-0.12206078589967007</c:v>
                </c:pt>
                <c:pt idx="56">
                  <c:v>-0.45130901208985641</c:v>
                </c:pt>
                <c:pt idx="57">
                  <c:v>-0.49804577797948735</c:v>
                </c:pt>
                <c:pt idx="58">
                  <c:v>-0.14888784914670961</c:v>
                </c:pt>
                <c:pt idx="59">
                  <c:v>-0.18771201798595261</c:v>
                </c:pt>
                <c:pt idx="60">
                  <c:v>-7.839042115392747E-2</c:v>
                </c:pt>
                <c:pt idx="61">
                  <c:v>-5.5622167070853656E-2</c:v>
                </c:pt>
                <c:pt idx="62">
                  <c:v>-0.33293604946602784</c:v>
                </c:pt>
                <c:pt idx="63">
                  <c:v>-0.38905449768974609</c:v>
                </c:pt>
                <c:pt idx="64">
                  <c:v>-0.46604205157289069</c:v>
                </c:pt>
                <c:pt idx="65">
                  <c:v>-0.67285248745027815</c:v>
                </c:pt>
                <c:pt idx="66">
                  <c:v>-0.55331554582667142</c:v>
                </c:pt>
                <c:pt idx="67">
                  <c:v>-0.68370472424502449</c:v>
                </c:pt>
                <c:pt idx="68">
                  <c:v>-0.66241160712890412</c:v>
                </c:pt>
                <c:pt idx="69">
                  <c:v>-0.30426113303958235</c:v>
                </c:pt>
                <c:pt idx="70">
                  <c:v>-0.14277675262205225</c:v>
                </c:pt>
                <c:pt idx="71">
                  <c:v>-2.1618188330310595E-2</c:v>
                </c:pt>
                <c:pt idx="72">
                  <c:v>0.18333927008165585</c:v>
                </c:pt>
                <c:pt idx="73">
                  <c:v>-3.3337963984083174E-2</c:v>
                </c:pt>
                <c:pt idx="74">
                  <c:v>-6.2006580420657542E-2</c:v>
                </c:pt>
                <c:pt idx="75">
                  <c:v>9.0858855409244654E-2</c:v>
                </c:pt>
                <c:pt idx="76">
                  <c:v>0.14147905136365591</c:v>
                </c:pt>
                <c:pt idx="77">
                  <c:v>-2.1404086154173108E-2</c:v>
                </c:pt>
                <c:pt idx="78">
                  <c:v>-0.15908945889667603</c:v>
                </c:pt>
                <c:pt idx="79">
                  <c:v>-0.33648333168077382</c:v>
                </c:pt>
                <c:pt idx="80">
                  <c:v>-0.66337770926992956</c:v>
                </c:pt>
                <c:pt idx="81">
                  <c:v>-0.38023692118727404</c:v>
                </c:pt>
                <c:pt idx="82">
                  <c:v>-0.17077609140437389</c:v>
                </c:pt>
                <c:pt idx="83">
                  <c:v>6.3866178706831533E-2</c:v>
                </c:pt>
                <c:pt idx="84">
                  <c:v>0.22745031489182921</c:v>
                </c:pt>
                <c:pt idx="85">
                  <c:v>0.29908840786012458</c:v>
                </c:pt>
                <c:pt idx="86">
                  <c:v>0.3837948690888302</c:v>
                </c:pt>
                <c:pt idx="87">
                  <c:v>0.2766719238236437</c:v>
                </c:pt>
                <c:pt idx="88">
                  <c:v>0.26152359912103407</c:v>
                </c:pt>
                <c:pt idx="89">
                  <c:v>-2.6646403733892043E-3</c:v>
                </c:pt>
                <c:pt idx="90">
                  <c:v>-0.33552423858577995</c:v>
                </c:pt>
                <c:pt idx="91">
                  <c:v>-0.40543745437912637</c:v>
                </c:pt>
                <c:pt idx="92">
                  <c:v>-0.39872806927229121</c:v>
                </c:pt>
                <c:pt idx="93">
                  <c:v>0.14589280678616401</c:v>
                </c:pt>
                <c:pt idx="94">
                  <c:v>0.21849195571887225</c:v>
                </c:pt>
                <c:pt idx="95">
                  <c:v>0.20054774212268978</c:v>
                </c:pt>
                <c:pt idx="96">
                  <c:v>-0.18817348711973292</c:v>
                </c:pt>
                <c:pt idx="97">
                  <c:v>-1.0304557340572904</c:v>
                </c:pt>
                <c:pt idx="98">
                  <c:v>-0.95257186322162379</c:v>
                </c:pt>
                <c:pt idx="99">
                  <c:v>-0.72433435020129355</c:v>
                </c:pt>
                <c:pt idx="100">
                  <c:v>-0.46151144632582675</c:v>
                </c:pt>
                <c:pt idx="101">
                  <c:v>-5.1179220481943233E-2</c:v>
                </c:pt>
                <c:pt idx="102">
                  <c:v>6.6809800400178254E-2</c:v>
                </c:pt>
                <c:pt idx="103">
                  <c:v>-0.18744287555052708</c:v>
                </c:pt>
                <c:pt idx="104">
                  <c:v>-0.20297560704124962</c:v>
                </c:pt>
                <c:pt idx="105">
                  <c:v>-7.1470071407305547E-2</c:v>
                </c:pt>
                <c:pt idx="106">
                  <c:v>-0.35510694237392215</c:v>
                </c:pt>
                <c:pt idx="107">
                  <c:v>-1.6510269051528859E-2</c:v>
                </c:pt>
                <c:pt idx="108">
                  <c:v>6.2413306053246131E-3</c:v>
                </c:pt>
                <c:pt idx="109">
                  <c:v>-0.13912797433788793</c:v>
                </c:pt>
                <c:pt idx="110">
                  <c:v>0.21999996751306039</c:v>
                </c:pt>
                <c:pt idx="111">
                  <c:v>0.32479593133765228</c:v>
                </c:pt>
                <c:pt idx="112">
                  <c:v>0.55914706099344436</c:v>
                </c:pt>
                <c:pt idx="113">
                  <c:v>0.67419965927385839</c:v>
                </c:pt>
                <c:pt idx="114">
                  <c:v>0.68987837072465208</c:v>
                </c:pt>
                <c:pt idx="115">
                  <c:v>0.28247518170359598</c:v>
                </c:pt>
                <c:pt idx="116">
                  <c:v>0.12788387530891132</c:v>
                </c:pt>
                <c:pt idx="117">
                  <c:v>0.1457423937887441</c:v>
                </c:pt>
                <c:pt idx="118">
                  <c:v>-0.10074633342640205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9-4243-A5CC-704D9E61F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4832"/>
        <c:axId val="1027270112"/>
      </c:scatterChart>
      <c:valAx>
        <c:axId val="102726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70112"/>
        <c:crosses val="autoZero"/>
        <c:crossBetween val="midCat"/>
      </c:valAx>
      <c:valAx>
        <c:axId val="102727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48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OrangeCounty!$M$6:$M$124</c:f>
              <c:numCache>
                <c:formatCode>General</c:formatCode>
                <c:ptCount val="119"/>
                <c:pt idx="0">
                  <c:v>7.9697849999999999</c:v>
                </c:pt>
                <c:pt idx="1">
                  <c:v>8.0663180000000008</c:v>
                </c:pt>
                <c:pt idx="2">
                  <c:v>8.1237089999999998</c:v>
                </c:pt>
                <c:pt idx="3">
                  <c:v>8.0841390000000004</c:v>
                </c:pt>
                <c:pt idx="4">
                  <c:v>8.0189039999999991</c:v>
                </c:pt>
                <c:pt idx="5">
                  <c:v>8.0386039999999994</c:v>
                </c:pt>
                <c:pt idx="6">
                  <c:v>7.8573219999999999</c:v>
                </c:pt>
                <c:pt idx="7">
                  <c:v>7.5727409999999997</c:v>
                </c:pt>
                <c:pt idx="8">
                  <c:v>7.5218100000000003</c:v>
                </c:pt>
                <c:pt idx="9">
                  <c:v>7.2671489999999999</c:v>
                </c:pt>
                <c:pt idx="10">
                  <c:v>7.0650440000000003</c:v>
                </c:pt>
                <c:pt idx="11">
                  <c:v>7.0493329999999998</c:v>
                </c:pt>
                <c:pt idx="12">
                  <c:v>6.8633699999999997</c:v>
                </c:pt>
                <c:pt idx="13">
                  <c:v>6.5598409999999996</c:v>
                </c:pt>
                <c:pt idx="14">
                  <c:v>6.4756980000000004</c:v>
                </c:pt>
                <c:pt idx="15">
                  <c:v>6.6197239999999997</c:v>
                </c:pt>
                <c:pt idx="16">
                  <c:v>6.4964880000000003</c:v>
                </c:pt>
                <c:pt idx="17">
                  <c:v>6.6645799999999999</c:v>
                </c:pt>
                <c:pt idx="18">
                  <c:v>6.5759749999999997</c:v>
                </c:pt>
                <c:pt idx="19">
                  <c:v>6.3341510000000003</c:v>
                </c:pt>
                <c:pt idx="20">
                  <c:v>6.6432019999999996</c:v>
                </c:pt>
                <c:pt idx="21">
                  <c:v>6.8898849999999996</c:v>
                </c:pt>
                <c:pt idx="22">
                  <c:v>7.3588399999999998</c:v>
                </c:pt>
                <c:pt idx="23">
                  <c:v>8.0460980000000006</c:v>
                </c:pt>
                <c:pt idx="24">
                  <c:v>8.5690469999999994</c:v>
                </c:pt>
                <c:pt idx="25">
                  <c:v>9.0945719999999994</c:v>
                </c:pt>
                <c:pt idx="26">
                  <c:v>9.2166399999999999</c:v>
                </c:pt>
                <c:pt idx="27">
                  <c:v>9.2823390000000003</c:v>
                </c:pt>
                <c:pt idx="28">
                  <c:v>9.2626840000000001</c:v>
                </c:pt>
                <c:pt idx="29">
                  <c:v>9.1553909999999998</c:v>
                </c:pt>
                <c:pt idx="30">
                  <c:v>9.2637640000000001</c:v>
                </c:pt>
                <c:pt idx="31">
                  <c:v>9.6316970000000008</c:v>
                </c:pt>
                <c:pt idx="32">
                  <c:v>9.8319650000000003</c:v>
                </c:pt>
                <c:pt idx="33">
                  <c:v>10.090389999999999</c:v>
                </c:pt>
                <c:pt idx="34">
                  <c:v>10.334210000000001</c:v>
                </c:pt>
                <c:pt idx="35">
                  <c:v>9.7295289999999994</c:v>
                </c:pt>
                <c:pt idx="36">
                  <c:v>9.1674860000000002</c:v>
                </c:pt>
                <c:pt idx="37">
                  <c:v>8.8304379999999991</c:v>
                </c:pt>
                <c:pt idx="38">
                  <c:v>9.0277239999999992</c:v>
                </c:pt>
                <c:pt idx="39">
                  <c:v>9.1639789999999994</c:v>
                </c:pt>
                <c:pt idx="40">
                  <c:v>9.3954540000000009</c:v>
                </c:pt>
                <c:pt idx="41">
                  <c:v>9.1005950000000002</c:v>
                </c:pt>
                <c:pt idx="42">
                  <c:v>8.784986</c:v>
                </c:pt>
                <c:pt idx="43">
                  <c:v>8.4019549999999992</c:v>
                </c:pt>
                <c:pt idx="44">
                  <c:v>7.7551129999999997</c:v>
                </c:pt>
                <c:pt idx="45">
                  <c:v>7.6502309999999998</c:v>
                </c:pt>
                <c:pt idx="46">
                  <c:v>7.2263789999999997</c:v>
                </c:pt>
                <c:pt idx="47">
                  <c:v>7.3235070000000002</c:v>
                </c:pt>
                <c:pt idx="48">
                  <c:v>7.4411839999999998</c:v>
                </c:pt>
                <c:pt idx="49">
                  <c:v>7.5487380000000002</c:v>
                </c:pt>
                <c:pt idx="50">
                  <c:v>7.5659390000000002</c:v>
                </c:pt>
                <c:pt idx="51">
                  <c:v>7.4151899999999999</c:v>
                </c:pt>
                <c:pt idx="52">
                  <c:v>7.4024760000000001</c:v>
                </c:pt>
                <c:pt idx="53">
                  <c:v>7.37601</c:v>
                </c:pt>
                <c:pt idx="54">
                  <c:v>7.4816929999999999</c:v>
                </c:pt>
                <c:pt idx="55">
                  <c:v>7.4494119999999997</c:v>
                </c:pt>
                <c:pt idx="56">
                  <c:v>7.6267740000000002</c:v>
                </c:pt>
                <c:pt idx="57">
                  <c:v>7.5188689999999996</c:v>
                </c:pt>
                <c:pt idx="58">
                  <c:v>7.188142</c:v>
                </c:pt>
                <c:pt idx="59">
                  <c:v>7.2179250000000001</c:v>
                </c:pt>
                <c:pt idx="60">
                  <c:v>7.2206029999999997</c:v>
                </c:pt>
                <c:pt idx="61">
                  <c:v>7.2259909999999996</c:v>
                </c:pt>
                <c:pt idx="62">
                  <c:v>7.321917</c:v>
                </c:pt>
                <c:pt idx="63">
                  <c:v>7.383057</c:v>
                </c:pt>
                <c:pt idx="64">
                  <c:v>7.4689959999999997</c:v>
                </c:pt>
                <c:pt idx="65">
                  <c:v>7.4268229999999997</c:v>
                </c:pt>
                <c:pt idx="66">
                  <c:v>7.2145619999999999</c:v>
                </c:pt>
                <c:pt idx="67">
                  <c:v>7.0771389999999998</c:v>
                </c:pt>
                <c:pt idx="68">
                  <c:v>6.778162</c:v>
                </c:pt>
                <c:pt idx="69">
                  <c:v>6.5938549999999996</c:v>
                </c:pt>
                <c:pt idx="70">
                  <c:v>6.4007329999999998</c:v>
                </c:pt>
                <c:pt idx="71">
                  <c:v>6.1184890000000003</c:v>
                </c:pt>
                <c:pt idx="72">
                  <c:v>5.9295479999999996</c:v>
                </c:pt>
                <c:pt idx="73">
                  <c:v>5.9336679999999999</c:v>
                </c:pt>
                <c:pt idx="74">
                  <c:v>5.891489</c:v>
                </c:pt>
                <c:pt idx="75">
                  <c:v>5.76783</c:v>
                </c:pt>
                <c:pt idx="76">
                  <c:v>5.649553</c:v>
                </c:pt>
                <c:pt idx="77">
                  <c:v>5.4897660000000004</c:v>
                </c:pt>
                <c:pt idx="78">
                  <c:v>5.4734230000000004</c:v>
                </c:pt>
                <c:pt idx="79">
                  <c:v>5.5279800000000003</c:v>
                </c:pt>
                <c:pt idx="80">
                  <c:v>5.4931989999999997</c:v>
                </c:pt>
                <c:pt idx="81">
                  <c:v>5.2422040000000001</c:v>
                </c:pt>
                <c:pt idx="82">
                  <c:v>5.066503</c:v>
                </c:pt>
                <c:pt idx="83">
                  <c:v>4.9199719999999996</c:v>
                </c:pt>
                <c:pt idx="84">
                  <c:v>4.7897090000000002</c:v>
                </c:pt>
                <c:pt idx="85">
                  <c:v>4.8800790000000003</c:v>
                </c:pt>
                <c:pt idx="86">
                  <c:v>5.0122590000000002</c:v>
                </c:pt>
                <c:pt idx="87">
                  <c:v>5.2369500000000002</c:v>
                </c:pt>
                <c:pt idx="88">
                  <c:v>5.5182599999999997</c:v>
                </c:pt>
                <c:pt idx="89">
                  <c:v>5.7791030000000001</c:v>
                </c:pt>
                <c:pt idx="90">
                  <c:v>6.0030109999999999</c:v>
                </c:pt>
                <c:pt idx="91">
                  <c:v>6.0820319999999999</c:v>
                </c:pt>
                <c:pt idx="92">
                  <c:v>6.2187409999999996</c:v>
                </c:pt>
                <c:pt idx="93">
                  <c:v>6.1950799999999999</c:v>
                </c:pt>
                <c:pt idx="94">
                  <c:v>6.0910209999999996</c:v>
                </c:pt>
                <c:pt idx="95">
                  <c:v>6.0986979999999997</c:v>
                </c:pt>
                <c:pt idx="96">
                  <c:v>6.0369910000000004</c:v>
                </c:pt>
                <c:pt idx="97">
                  <c:v>6.4045579999999998</c:v>
                </c:pt>
                <c:pt idx="98">
                  <c:v>6.25556</c:v>
                </c:pt>
                <c:pt idx="99">
                  <c:v>5.9895399999999999</c:v>
                </c:pt>
                <c:pt idx="100">
                  <c:v>5.7726839999999999</c:v>
                </c:pt>
                <c:pt idx="101">
                  <c:v>5.2130520000000002</c:v>
                </c:pt>
                <c:pt idx="102">
                  <c:v>5.0936360000000001</c:v>
                </c:pt>
                <c:pt idx="103">
                  <c:v>5.1051039999999999</c:v>
                </c:pt>
                <c:pt idx="104">
                  <c:v>5.0698889999999999</c:v>
                </c:pt>
                <c:pt idx="105">
                  <c:v>5.038335</c:v>
                </c:pt>
                <c:pt idx="106">
                  <c:v>5.0587840000000002</c:v>
                </c:pt>
                <c:pt idx="107">
                  <c:v>4.9081340000000004</c:v>
                </c:pt>
                <c:pt idx="108">
                  <c:v>4.8282930000000004</c:v>
                </c:pt>
                <c:pt idx="109">
                  <c:v>4.7286190000000001</c:v>
                </c:pt>
                <c:pt idx="110">
                  <c:v>4.5300659999999997</c:v>
                </c:pt>
                <c:pt idx="111">
                  <c:v>4.4739610000000001</c:v>
                </c:pt>
                <c:pt idx="112">
                  <c:v>4.3198840000000001</c:v>
                </c:pt>
                <c:pt idx="113">
                  <c:v>4.1988599999999998</c:v>
                </c:pt>
                <c:pt idx="114">
                  <c:v>4.2506259999999996</c:v>
                </c:pt>
                <c:pt idx="115">
                  <c:v>4.4018949999999997</c:v>
                </c:pt>
                <c:pt idx="116">
                  <c:v>4.4771570000000001</c:v>
                </c:pt>
                <c:pt idx="117">
                  <c:v>4.5235440000000002</c:v>
                </c:pt>
                <c:pt idx="118">
                  <c:v>4.6797659999999999</c:v>
                </c:pt>
              </c:numCache>
            </c:numRef>
          </c:xVal>
          <c:yVal>
            <c:numRef>
              <c:f>'Model 2 OC'!$C$28:$C$146</c:f>
              <c:numCache>
                <c:formatCode>General</c:formatCode>
                <c:ptCount val="119"/>
                <c:pt idx="0">
                  <c:v>-0.15727052672398933</c:v>
                </c:pt>
                <c:pt idx="1">
                  <c:v>-0.15279205446363875</c:v>
                </c:pt>
                <c:pt idx="2">
                  <c:v>-0.35412101639494864</c:v>
                </c:pt>
                <c:pt idx="3">
                  <c:v>-0.5380049557587343</c:v>
                </c:pt>
                <c:pt idx="4">
                  <c:v>-0.5695585191928032</c:v>
                </c:pt>
                <c:pt idx="5">
                  <c:v>-0.78146694553349683</c:v>
                </c:pt>
                <c:pt idx="6">
                  <c:v>-0.82365405387911572</c:v>
                </c:pt>
                <c:pt idx="7">
                  <c:v>-0.58461027429699985</c:v>
                </c:pt>
                <c:pt idx="8">
                  <c:v>-0.64644201067082996</c:v>
                </c:pt>
                <c:pt idx="9">
                  <c:v>-0.78234160711103318</c:v>
                </c:pt>
                <c:pt idx="10">
                  <c:v>-0.52930279433239757</c:v>
                </c:pt>
                <c:pt idx="11">
                  <c:v>-0.21208493502321168</c:v>
                </c:pt>
                <c:pt idx="12">
                  <c:v>-0.31162753543748689</c:v>
                </c:pt>
                <c:pt idx="13">
                  <c:v>8.810516399521795E-3</c:v>
                </c:pt>
                <c:pt idx="14">
                  <c:v>-0.16616682922443182</c:v>
                </c:pt>
                <c:pt idx="15">
                  <c:v>-0.6355974171646448</c:v>
                </c:pt>
                <c:pt idx="16">
                  <c:v>-0.3258391664499305</c:v>
                </c:pt>
                <c:pt idx="17">
                  <c:v>-0.31178566395905527</c:v>
                </c:pt>
                <c:pt idx="18">
                  <c:v>0.34067791119954638</c:v>
                </c:pt>
                <c:pt idx="19">
                  <c:v>1.2522697086483703</c:v>
                </c:pt>
                <c:pt idx="20">
                  <c:v>1.6336743181852569</c:v>
                </c:pt>
                <c:pt idx="21">
                  <c:v>2.0382618360724738</c:v>
                </c:pt>
                <c:pt idx="22">
                  <c:v>1.7568304368481407</c:v>
                </c:pt>
                <c:pt idx="23">
                  <c:v>1.223374296397969</c:v>
                </c:pt>
                <c:pt idx="24">
                  <c:v>0.77372426910907066</c:v>
                </c:pt>
                <c:pt idx="25">
                  <c:v>0.18789021943583073</c:v>
                </c:pt>
                <c:pt idx="26">
                  <c:v>0.24780058256372328</c:v>
                </c:pt>
                <c:pt idx="27">
                  <c:v>0.48733348435476387</c:v>
                </c:pt>
                <c:pt idx="28">
                  <c:v>0.7608034227821161</c:v>
                </c:pt>
                <c:pt idx="29">
                  <c:v>1.230044329235465</c:v>
                </c:pt>
                <c:pt idx="30">
                  <c:v>1.3952023662521587</c:v>
                </c:pt>
                <c:pt idx="31">
                  <c:v>0.55281683574155238</c:v>
                </c:pt>
                <c:pt idx="32">
                  <c:v>-0.15932575937130622</c:v>
                </c:pt>
                <c:pt idx="33">
                  <c:v>-0.8028442749879332</c:v>
                </c:pt>
                <c:pt idx="34">
                  <c:v>-0.79699302071961498</c:v>
                </c:pt>
                <c:pt idx="35">
                  <c:v>-1.0128659858622768E-2</c:v>
                </c:pt>
                <c:pt idx="36">
                  <c:v>0.70631337866845101</c:v>
                </c:pt>
                <c:pt idx="37">
                  <c:v>0.65951877976099738</c:v>
                </c:pt>
                <c:pt idx="38">
                  <c:v>0.32666441471306307</c:v>
                </c:pt>
                <c:pt idx="39">
                  <c:v>-6.5099694557559928E-2</c:v>
                </c:pt>
                <c:pt idx="40">
                  <c:v>-0.89251739263673713</c:v>
                </c:pt>
                <c:pt idx="41">
                  <c:v>-0.68241843454652873</c:v>
                </c:pt>
                <c:pt idx="42">
                  <c:v>-0.78334484102675184</c:v>
                </c:pt>
                <c:pt idx="43">
                  <c:v>-0.2998006988674744</c:v>
                </c:pt>
                <c:pt idx="44">
                  <c:v>0.20546593273162017</c:v>
                </c:pt>
                <c:pt idx="45">
                  <c:v>0.24282692667518901</c:v>
                </c:pt>
                <c:pt idx="46">
                  <c:v>0.55720838795152616</c:v>
                </c:pt>
                <c:pt idx="47">
                  <c:v>0.2605301976528116</c:v>
                </c:pt>
                <c:pt idx="48">
                  <c:v>0.31527677481892091</c:v>
                </c:pt>
                <c:pt idx="49">
                  <c:v>0.35868127610719558</c:v>
                </c:pt>
                <c:pt idx="50">
                  <c:v>0.41535965776967743</c:v>
                </c:pt>
                <c:pt idx="51">
                  <c:v>0.45818044077266062</c:v>
                </c:pt>
                <c:pt idx="52">
                  <c:v>0.61028396918386729</c:v>
                </c:pt>
                <c:pt idx="53">
                  <c:v>0.3985555585564482</c:v>
                </c:pt>
                <c:pt idx="54">
                  <c:v>-0.12244429263377032</c:v>
                </c:pt>
                <c:pt idx="55">
                  <c:v>-0.18518038379574531</c:v>
                </c:pt>
                <c:pt idx="56">
                  <c:v>-0.61102676215014018</c:v>
                </c:pt>
                <c:pt idx="57">
                  <c:v>-0.64531073866800259</c:v>
                </c:pt>
                <c:pt idx="58">
                  <c:v>-0.2087130951124001</c:v>
                </c:pt>
                <c:pt idx="59">
                  <c:v>-0.13343439570974969</c:v>
                </c:pt>
                <c:pt idx="60">
                  <c:v>7.7770882157653709E-2</c:v>
                </c:pt>
                <c:pt idx="61">
                  <c:v>-1.0125753156606798E-2</c:v>
                </c:pt>
                <c:pt idx="62">
                  <c:v>-0.30159629614531713</c:v>
                </c:pt>
                <c:pt idx="63">
                  <c:v>-0.39454119170372248</c:v>
                </c:pt>
                <c:pt idx="64">
                  <c:v>-0.48595752156148109</c:v>
                </c:pt>
                <c:pt idx="65">
                  <c:v>-0.6049747424957399</c:v>
                </c:pt>
                <c:pt idx="66">
                  <c:v>-0.49019477579977089</c:v>
                </c:pt>
                <c:pt idx="67">
                  <c:v>-0.52177809891090376</c:v>
                </c:pt>
                <c:pt idx="68">
                  <c:v>-0.5632030926843461</c:v>
                </c:pt>
                <c:pt idx="69">
                  <c:v>-0.22293123951491456</c:v>
                </c:pt>
                <c:pt idx="70">
                  <c:v>4.7253831293277315E-2</c:v>
                </c:pt>
                <c:pt idx="71">
                  <c:v>0.12087847948584063</c:v>
                </c:pt>
                <c:pt idx="72">
                  <c:v>0.30935474503411964</c:v>
                </c:pt>
                <c:pt idx="73">
                  <c:v>9.0009779612066687E-2</c:v>
                </c:pt>
                <c:pt idx="74">
                  <c:v>-2.8517997008918883E-3</c:v>
                </c:pt>
                <c:pt idx="75">
                  <c:v>-1.7827775080475838E-2</c:v>
                </c:pt>
                <c:pt idx="76">
                  <c:v>8.8909737043056047E-2</c:v>
                </c:pt>
                <c:pt idx="77">
                  <c:v>-5.7449847645986374E-2</c:v>
                </c:pt>
                <c:pt idx="78">
                  <c:v>-0.23103797475809085</c:v>
                </c:pt>
                <c:pt idx="79">
                  <c:v>-0.14807211430838585</c:v>
                </c:pt>
                <c:pt idx="80">
                  <c:v>-0.408334320821643</c:v>
                </c:pt>
                <c:pt idx="81">
                  <c:v>-0.12403935773783381</c:v>
                </c:pt>
                <c:pt idx="82">
                  <c:v>0.21089687386188771</c:v>
                </c:pt>
                <c:pt idx="83">
                  <c:v>3.039060348495326E-3</c:v>
                </c:pt>
                <c:pt idx="84">
                  <c:v>-2.9096345532042989E-2</c:v>
                </c:pt>
                <c:pt idx="85">
                  <c:v>-9.4302668061861716E-2</c:v>
                </c:pt>
                <c:pt idx="86">
                  <c:v>-0.10806072899366104</c:v>
                </c:pt>
                <c:pt idx="87">
                  <c:v>0.20876109432841972</c:v>
                </c:pt>
                <c:pt idx="88">
                  <c:v>0.29500629796991085</c:v>
                </c:pt>
                <c:pt idx="89">
                  <c:v>-2.1765151011211792E-2</c:v>
                </c:pt>
                <c:pt idx="90">
                  <c:v>-0.37148348494937267</c:v>
                </c:pt>
                <c:pt idx="91">
                  <c:v>-0.44199517316875347</c:v>
                </c:pt>
                <c:pt idx="92">
                  <c:v>-0.35867158374203179</c:v>
                </c:pt>
                <c:pt idx="93">
                  <c:v>0.35762825679344701</c:v>
                </c:pt>
                <c:pt idx="94">
                  <c:v>0.52873311470157613</c:v>
                </c:pt>
                <c:pt idx="95">
                  <c:v>0.47755698991680617</c:v>
                </c:pt>
                <c:pt idx="96">
                  <c:v>2.8057238773460114E-2</c:v>
                </c:pt>
                <c:pt idx="97">
                  <c:v>-0.9153456774484221</c:v>
                </c:pt>
                <c:pt idx="98">
                  <c:v>-0.85829262734309353</c:v>
                </c:pt>
                <c:pt idx="99">
                  <c:v>-0.61272711759395637</c:v>
                </c:pt>
                <c:pt idx="100">
                  <c:v>-0.40047324639386694</c:v>
                </c:pt>
                <c:pt idx="101">
                  <c:v>-5.0618916020022553E-2</c:v>
                </c:pt>
                <c:pt idx="102">
                  <c:v>2.3568028202519464E-2</c:v>
                </c:pt>
                <c:pt idx="103">
                  <c:v>-0.26898678706235124</c:v>
                </c:pt>
                <c:pt idx="104">
                  <c:v>-0.25873377430158762</c:v>
                </c:pt>
                <c:pt idx="105">
                  <c:v>-3.913122036790817E-2</c:v>
                </c:pt>
                <c:pt idx="106">
                  <c:v>-0.34917689082602799</c:v>
                </c:pt>
                <c:pt idx="107">
                  <c:v>-9.3510601917032865E-2</c:v>
                </c:pt>
                <c:pt idx="108">
                  <c:v>-0.22589683651984771</c:v>
                </c:pt>
                <c:pt idx="109">
                  <c:v>-0.36375443512704742</c:v>
                </c:pt>
                <c:pt idx="110">
                  <c:v>-4.0689609832904594E-3</c:v>
                </c:pt>
                <c:pt idx="111">
                  <c:v>0.13782392260040233</c:v>
                </c:pt>
                <c:pt idx="112">
                  <c:v>0.46593607333897147</c:v>
                </c:pt>
                <c:pt idx="113">
                  <c:v>0.60681494198239694</c:v>
                </c:pt>
                <c:pt idx="114">
                  <c:v>0.64788518085188773</c:v>
                </c:pt>
                <c:pt idx="115">
                  <c:v>0.29345739020109285</c:v>
                </c:pt>
                <c:pt idx="116">
                  <c:v>0.22354398939888753</c:v>
                </c:pt>
                <c:pt idx="117">
                  <c:v>0.15981101451955126</c:v>
                </c:pt>
                <c:pt idx="118">
                  <c:v>-7.482027135599445E-2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E-4B5B-A5D5-5605E23F1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35056"/>
        <c:axId val="1217536016"/>
      </c:scatterChart>
      <c:valAx>
        <c:axId val="121753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6016"/>
        <c:crosses val="autoZero"/>
        <c:crossBetween val="midCat"/>
      </c:valAx>
      <c:valAx>
        <c:axId val="1217536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50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OC'!$C$28:$C$146</c:f>
              <c:numCache>
                <c:formatCode>General</c:formatCode>
                <c:ptCount val="119"/>
                <c:pt idx="0">
                  <c:v>-0.15727052672398933</c:v>
                </c:pt>
                <c:pt idx="1">
                  <c:v>-0.15279205446363875</c:v>
                </c:pt>
                <c:pt idx="2">
                  <c:v>-0.35412101639494864</c:v>
                </c:pt>
                <c:pt idx="3">
                  <c:v>-0.5380049557587343</c:v>
                </c:pt>
                <c:pt idx="4">
                  <c:v>-0.5695585191928032</c:v>
                </c:pt>
                <c:pt idx="5">
                  <c:v>-0.78146694553349683</c:v>
                </c:pt>
                <c:pt idx="6">
                  <c:v>-0.82365405387911572</c:v>
                </c:pt>
                <c:pt idx="7">
                  <c:v>-0.58461027429699985</c:v>
                </c:pt>
                <c:pt idx="8">
                  <c:v>-0.64644201067082996</c:v>
                </c:pt>
                <c:pt idx="9">
                  <c:v>-0.78234160711103318</c:v>
                </c:pt>
                <c:pt idx="10">
                  <c:v>-0.52930279433239757</c:v>
                </c:pt>
                <c:pt idx="11">
                  <c:v>-0.21208493502321168</c:v>
                </c:pt>
                <c:pt idx="12">
                  <c:v>-0.31162753543748689</c:v>
                </c:pt>
                <c:pt idx="13">
                  <c:v>8.810516399521795E-3</c:v>
                </c:pt>
                <c:pt idx="14">
                  <c:v>-0.16616682922443182</c:v>
                </c:pt>
                <c:pt idx="15">
                  <c:v>-0.6355974171646448</c:v>
                </c:pt>
                <c:pt idx="16">
                  <c:v>-0.3258391664499305</c:v>
                </c:pt>
                <c:pt idx="17">
                  <c:v>-0.31178566395905527</c:v>
                </c:pt>
                <c:pt idx="18">
                  <c:v>0.34067791119954638</c:v>
                </c:pt>
                <c:pt idx="19">
                  <c:v>1.2522697086483703</c:v>
                </c:pt>
                <c:pt idx="20">
                  <c:v>1.6336743181852569</c:v>
                </c:pt>
                <c:pt idx="21">
                  <c:v>2.0382618360724738</c:v>
                </c:pt>
                <c:pt idx="22">
                  <c:v>1.7568304368481407</c:v>
                </c:pt>
                <c:pt idx="23">
                  <c:v>1.223374296397969</c:v>
                </c:pt>
                <c:pt idx="24">
                  <c:v>0.77372426910907066</c:v>
                </c:pt>
                <c:pt idx="25">
                  <c:v>0.18789021943583073</c:v>
                </c:pt>
                <c:pt idx="26">
                  <c:v>0.24780058256372328</c:v>
                </c:pt>
                <c:pt idx="27">
                  <c:v>0.48733348435476387</c:v>
                </c:pt>
                <c:pt idx="28">
                  <c:v>0.7608034227821161</c:v>
                </c:pt>
                <c:pt idx="29">
                  <c:v>1.230044329235465</c:v>
                </c:pt>
                <c:pt idx="30">
                  <c:v>1.3952023662521587</c:v>
                </c:pt>
                <c:pt idx="31">
                  <c:v>0.55281683574155238</c:v>
                </c:pt>
                <c:pt idx="32">
                  <c:v>-0.15932575937130622</c:v>
                </c:pt>
                <c:pt idx="33">
                  <c:v>-0.8028442749879332</c:v>
                </c:pt>
                <c:pt idx="34">
                  <c:v>-0.79699302071961498</c:v>
                </c:pt>
                <c:pt idx="35">
                  <c:v>-1.0128659858622768E-2</c:v>
                </c:pt>
                <c:pt idx="36">
                  <c:v>0.70631337866845101</c:v>
                </c:pt>
                <c:pt idx="37">
                  <c:v>0.65951877976099738</c:v>
                </c:pt>
                <c:pt idx="38">
                  <c:v>0.32666441471306307</c:v>
                </c:pt>
                <c:pt idx="39">
                  <c:v>-6.5099694557559928E-2</c:v>
                </c:pt>
                <c:pt idx="40">
                  <c:v>-0.89251739263673713</c:v>
                </c:pt>
                <c:pt idx="41">
                  <c:v>-0.68241843454652873</c:v>
                </c:pt>
                <c:pt idx="42">
                  <c:v>-0.78334484102675184</c:v>
                </c:pt>
                <c:pt idx="43">
                  <c:v>-0.2998006988674744</c:v>
                </c:pt>
                <c:pt idx="44">
                  <c:v>0.20546593273162017</c:v>
                </c:pt>
                <c:pt idx="45">
                  <c:v>0.24282692667518901</c:v>
                </c:pt>
                <c:pt idx="46">
                  <c:v>0.55720838795152616</c:v>
                </c:pt>
                <c:pt idx="47">
                  <c:v>0.2605301976528116</c:v>
                </c:pt>
                <c:pt idx="48">
                  <c:v>0.31527677481892091</c:v>
                </c:pt>
                <c:pt idx="49">
                  <c:v>0.35868127610719558</c:v>
                </c:pt>
                <c:pt idx="50">
                  <c:v>0.41535965776967743</c:v>
                </c:pt>
                <c:pt idx="51">
                  <c:v>0.45818044077266062</c:v>
                </c:pt>
                <c:pt idx="52">
                  <c:v>0.61028396918386729</c:v>
                </c:pt>
                <c:pt idx="53">
                  <c:v>0.3985555585564482</c:v>
                </c:pt>
                <c:pt idx="54">
                  <c:v>-0.12244429263377032</c:v>
                </c:pt>
                <c:pt idx="55">
                  <c:v>-0.18518038379574531</c:v>
                </c:pt>
                <c:pt idx="56">
                  <c:v>-0.61102676215014018</c:v>
                </c:pt>
                <c:pt idx="57">
                  <c:v>-0.64531073866800259</c:v>
                </c:pt>
                <c:pt idx="58">
                  <c:v>-0.2087130951124001</c:v>
                </c:pt>
                <c:pt idx="59">
                  <c:v>-0.13343439570974969</c:v>
                </c:pt>
                <c:pt idx="60">
                  <c:v>7.7770882157653709E-2</c:v>
                </c:pt>
                <c:pt idx="61">
                  <c:v>-1.0125753156606798E-2</c:v>
                </c:pt>
                <c:pt idx="62">
                  <c:v>-0.30159629614531713</c:v>
                </c:pt>
                <c:pt idx="63">
                  <c:v>-0.39454119170372248</c:v>
                </c:pt>
                <c:pt idx="64">
                  <c:v>-0.48595752156148109</c:v>
                </c:pt>
                <c:pt idx="65">
                  <c:v>-0.6049747424957399</c:v>
                </c:pt>
                <c:pt idx="66">
                  <c:v>-0.49019477579977089</c:v>
                </c:pt>
                <c:pt idx="67">
                  <c:v>-0.52177809891090376</c:v>
                </c:pt>
                <c:pt idx="68">
                  <c:v>-0.5632030926843461</c:v>
                </c:pt>
                <c:pt idx="69">
                  <c:v>-0.22293123951491456</c:v>
                </c:pt>
                <c:pt idx="70">
                  <c:v>4.7253831293277315E-2</c:v>
                </c:pt>
                <c:pt idx="71">
                  <c:v>0.12087847948584063</c:v>
                </c:pt>
                <c:pt idx="72">
                  <c:v>0.30935474503411964</c:v>
                </c:pt>
                <c:pt idx="73">
                  <c:v>9.0009779612066687E-2</c:v>
                </c:pt>
                <c:pt idx="74">
                  <c:v>-2.8517997008918883E-3</c:v>
                </c:pt>
                <c:pt idx="75">
                  <c:v>-1.7827775080475838E-2</c:v>
                </c:pt>
                <c:pt idx="76">
                  <c:v>8.8909737043056047E-2</c:v>
                </c:pt>
                <c:pt idx="77">
                  <c:v>-5.7449847645986374E-2</c:v>
                </c:pt>
                <c:pt idx="78">
                  <c:v>-0.23103797475809085</c:v>
                </c:pt>
                <c:pt idx="79">
                  <c:v>-0.14807211430838585</c:v>
                </c:pt>
                <c:pt idx="80">
                  <c:v>-0.408334320821643</c:v>
                </c:pt>
                <c:pt idx="81">
                  <c:v>-0.12403935773783381</c:v>
                </c:pt>
                <c:pt idx="82">
                  <c:v>0.21089687386188771</c:v>
                </c:pt>
                <c:pt idx="83">
                  <c:v>3.039060348495326E-3</c:v>
                </c:pt>
                <c:pt idx="84">
                  <c:v>-2.9096345532042989E-2</c:v>
                </c:pt>
                <c:pt idx="85">
                  <c:v>-9.4302668061861716E-2</c:v>
                </c:pt>
                <c:pt idx="86">
                  <c:v>-0.10806072899366104</c:v>
                </c:pt>
                <c:pt idx="87">
                  <c:v>0.20876109432841972</c:v>
                </c:pt>
                <c:pt idx="88">
                  <c:v>0.29500629796991085</c:v>
                </c:pt>
                <c:pt idx="89">
                  <c:v>-2.1765151011211792E-2</c:v>
                </c:pt>
                <c:pt idx="90">
                  <c:v>-0.37148348494937267</c:v>
                </c:pt>
                <c:pt idx="91">
                  <c:v>-0.44199517316875347</c:v>
                </c:pt>
                <c:pt idx="92">
                  <c:v>-0.35867158374203179</c:v>
                </c:pt>
                <c:pt idx="93">
                  <c:v>0.35762825679344701</c:v>
                </c:pt>
                <c:pt idx="94">
                  <c:v>0.52873311470157613</c:v>
                </c:pt>
                <c:pt idx="95">
                  <c:v>0.47755698991680617</c:v>
                </c:pt>
                <c:pt idx="96">
                  <c:v>2.8057238773460114E-2</c:v>
                </c:pt>
                <c:pt idx="97">
                  <c:v>-0.9153456774484221</c:v>
                </c:pt>
                <c:pt idx="98">
                  <c:v>-0.85829262734309353</c:v>
                </c:pt>
                <c:pt idx="99">
                  <c:v>-0.61272711759395637</c:v>
                </c:pt>
                <c:pt idx="100">
                  <c:v>-0.40047324639386694</c:v>
                </c:pt>
                <c:pt idx="101">
                  <c:v>-5.0618916020022553E-2</c:v>
                </c:pt>
                <c:pt idx="102">
                  <c:v>2.3568028202519464E-2</c:v>
                </c:pt>
                <c:pt idx="103">
                  <c:v>-0.26898678706235124</c:v>
                </c:pt>
                <c:pt idx="104">
                  <c:v>-0.25873377430158762</c:v>
                </c:pt>
                <c:pt idx="105">
                  <c:v>-3.913122036790817E-2</c:v>
                </c:pt>
                <c:pt idx="106">
                  <c:v>-0.34917689082602799</c:v>
                </c:pt>
                <c:pt idx="107">
                  <c:v>-9.3510601917032865E-2</c:v>
                </c:pt>
                <c:pt idx="108">
                  <c:v>-0.22589683651984771</c:v>
                </c:pt>
                <c:pt idx="109">
                  <c:v>-0.36375443512704742</c:v>
                </c:pt>
                <c:pt idx="110">
                  <c:v>-4.0689609832904594E-3</c:v>
                </c:pt>
                <c:pt idx="111">
                  <c:v>0.13782392260040233</c:v>
                </c:pt>
                <c:pt idx="112">
                  <c:v>0.46593607333897147</c:v>
                </c:pt>
                <c:pt idx="113">
                  <c:v>0.60681494198239694</c:v>
                </c:pt>
                <c:pt idx="114">
                  <c:v>0.64788518085188773</c:v>
                </c:pt>
                <c:pt idx="115">
                  <c:v>0.29345739020109285</c:v>
                </c:pt>
                <c:pt idx="116">
                  <c:v>0.22354398939888753</c:v>
                </c:pt>
                <c:pt idx="117">
                  <c:v>0.15981101451955126</c:v>
                </c:pt>
                <c:pt idx="118">
                  <c:v>-7.482027135599445E-2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5-4388-BAA4-73DED7850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38416"/>
        <c:axId val="1217539376"/>
      </c:scatterChart>
      <c:valAx>
        <c:axId val="121753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9376"/>
        <c:crosses val="autoZero"/>
        <c:crossBetween val="midCat"/>
      </c:valAx>
      <c:valAx>
        <c:axId val="1217539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3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OrangeCounty!$O$6:$O$124</c:f>
              <c:numCache>
                <c:formatCode>General</c:formatCode>
                <c:ptCount val="119"/>
                <c:pt idx="0">
                  <c:v>0.95477642276422758</c:v>
                </c:pt>
                <c:pt idx="1">
                  <c:v>0.98643714136671878</c:v>
                </c:pt>
                <c:pt idx="2">
                  <c:v>0.99418297197250138</c:v>
                </c:pt>
                <c:pt idx="3">
                  <c:v>1.0010718113612005</c:v>
                </c:pt>
                <c:pt idx="4">
                  <c:v>0.98616285258116032</c:v>
                </c:pt>
                <c:pt idx="5">
                  <c:v>0.97197250132205182</c:v>
                </c:pt>
                <c:pt idx="6">
                  <c:v>0.96861702127659577</c:v>
                </c:pt>
                <c:pt idx="7">
                  <c:v>0.96627408993576025</c:v>
                </c:pt>
                <c:pt idx="8">
                  <c:v>0.98057204533189424</c:v>
                </c:pt>
                <c:pt idx="9">
                  <c:v>0.99510337323177367</c:v>
                </c:pt>
                <c:pt idx="10">
                  <c:v>1.0027457440966503</c:v>
                </c:pt>
                <c:pt idx="11">
                  <c:v>1.0105263157894735</c:v>
                </c:pt>
                <c:pt idx="12">
                  <c:v>0.99834892680242149</c:v>
                </c:pt>
                <c:pt idx="13">
                  <c:v>0.98578458173865513</c:v>
                </c:pt>
                <c:pt idx="14">
                  <c:v>0.97371303395399778</c:v>
                </c:pt>
                <c:pt idx="15">
                  <c:v>0.96107456140350889</c:v>
                </c:pt>
                <c:pt idx="16">
                  <c:v>0.93495038588754131</c:v>
                </c:pt>
                <c:pt idx="17">
                  <c:v>0.90959511924570147</c:v>
                </c:pt>
                <c:pt idx="18">
                  <c:v>0.91451068616422948</c:v>
                </c:pt>
                <c:pt idx="19">
                  <c:v>0.91899600684540783</c:v>
                </c:pt>
                <c:pt idx="20">
                  <c:v>0.93691037735849059</c:v>
                </c:pt>
                <c:pt idx="21">
                  <c:v>0.95548780487804885</c:v>
                </c:pt>
                <c:pt idx="22">
                  <c:v>0.95817958179581786</c:v>
                </c:pt>
                <c:pt idx="23">
                  <c:v>0.9621353196772191</c:v>
                </c:pt>
                <c:pt idx="24">
                  <c:v>0.99181875393329133</c:v>
                </c:pt>
                <c:pt idx="25">
                  <c:v>1.0223356732610083</c:v>
                </c:pt>
                <c:pt idx="26">
                  <c:v>1.0282413350449293</c:v>
                </c:pt>
                <c:pt idx="27">
                  <c:v>1.0335483870967741</c:v>
                </c:pt>
                <c:pt idx="28">
                  <c:v>1.0291878172588831</c:v>
                </c:pt>
                <c:pt idx="29">
                  <c:v>1.0249687890137329</c:v>
                </c:pt>
                <c:pt idx="30">
                  <c:v>1.0362047440699127</c:v>
                </c:pt>
                <c:pt idx="31">
                  <c:v>1.0474406991260925</c:v>
                </c:pt>
                <c:pt idx="32">
                  <c:v>1.0493218249075216</c:v>
                </c:pt>
                <c:pt idx="33">
                  <c:v>1.05115712545676</c:v>
                </c:pt>
                <c:pt idx="34">
                  <c:v>1.0566265060240962</c:v>
                </c:pt>
                <c:pt idx="35">
                  <c:v>1.0625744934445767</c:v>
                </c:pt>
                <c:pt idx="36">
                  <c:v>1.0752056404230319</c:v>
                </c:pt>
                <c:pt idx="37">
                  <c:v>1.0880648899188876</c:v>
                </c:pt>
                <c:pt idx="38">
                  <c:v>1.1174458380843788</c:v>
                </c:pt>
                <c:pt idx="39">
                  <c:v>1.1475042063937186</c:v>
                </c:pt>
                <c:pt idx="40">
                  <c:v>1.1584699453551912</c:v>
                </c:pt>
                <c:pt idx="41">
                  <c:v>1.1687965921192758</c:v>
                </c:pt>
                <c:pt idx="42">
                  <c:v>1.1683673469387754</c:v>
                </c:pt>
                <c:pt idx="43">
                  <c:v>1.1671554252199412</c:v>
                </c:pt>
                <c:pt idx="44">
                  <c:v>1.1245283018867924</c:v>
                </c:pt>
                <c:pt idx="45">
                  <c:v>1.0842824601366743</c:v>
                </c:pt>
                <c:pt idx="46">
                  <c:v>1.0663755458515285</c:v>
                </c:pt>
                <c:pt idx="47">
                  <c:v>1.0494137353433837</c:v>
                </c:pt>
                <c:pt idx="48">
                  <c:v>1.080536912751678</c:v>
                </c:pt>
                <c:pt idx="49">
                  <c:v>1.1130252100840334</c:v>
                </c:pt>
                <c:pt idx="50">
                  <c:v>1.0900900900900901</c:v>
                </c:pt>
                <c:pt idx="51">
                  <c:v>1.0670391061452513</c:v>
                </c:pt>
                <c:pt idx="52">
                  <c:v>1.043866459627329</c:v>
                </c:pt>
                <c:pt idx="53">
                  <c:v>1.0211400528501322</c:v>
                </c:pt>
                <c:pt idx="54">
                  <c:v>1.0105184072126221</c:v>
                </c:pt>
                <c:pt idx="55">
                  <c:v>1.0003739715781601</c:v>
                </c:pt>
                <c:pt idx="56">
                  <c:v>0.96243956861286717</c:v>
                </c:pt>
                <c:pt idx="57">
                  <c:v>0.92606284658040661</c:v>
                </c:pt>
                <c:pt idx="58">
                  <c:v>0.90557620817843865</c:v>
                </c:pt>
                <c:pt idx="59">
                  <c:v>0.88523364485981304</c:v>
                </c:pt>
                <c:pt idx="60">
                  <c:v>0.89064914992272026</c:v>
                </c:pt>
                <c:pt idx="61">
                  <c:v>0.90459081836327349</c:v>
                </c:pt>
                <c:pt idx="62">
                  <c:v>0.91625615763546797</c:v>
                </c:pt>
                <c:pt idx="63">
                  <c:v>0.95016891891891897</c:v>
                </c:pt>
                <c:pt idx="64">
                  <c:v>1.0203904555314534</c:v>
                </c:pt>
                <c:pt idx="65">
                  <c:v>1.0114739629302736</c:v>
                </c:pt>
                <c:pt idx="66">
                  <c:v>1.0371863799283154</c:v>
                </c:pt>
                <c:pt idx="67">
                  <c:v>1.0422222222222222</c:v>
                </c:pt>
                <c:pt idx="68">
                  <c:v>1.028061224489796</c:v>
                </c:pt>
                <c:pt idx="69">
                  <c:v>1.0715532286212912</c:v>
                </c:pt>
                <c:pt idx="70">
                  <c:v>1.0786177105831534</c:v>
                </c:pt>
                <c:pt idx="71">
                  <c:v>1.078038379530917</c:v>
                </c:pt>
                <c:pt idx="72">
                  <c:v>1.1153846153846154</c:v>
                </c:pt>
                <c:pt idx="73">
                  <c:v>1.1074918566775245</c:v>
                </c:pt>
                <c:pt idx="74">
                  <c:v>1.0933119743692432</c:v>
                </c:pt>
                <c:pt idx="75">
                  <c:v>1.0870253164556962</c:v>
                </c:pt>
                <c:pt idx="76">
                  <c:v>1.0819428995179829</c:v>
                </c:pt>
                <c:pt idx="77">
                  <c:v>1.0694852941176471</c:v>
                </c:pt>
                <c:pt idx="78">
                  <c:v>1.073992673992674</c:v>
                </c:pt>
                <c:pt idx="79">
                  <c:v>1.0738719068413392</c:v>
                </c:pt>
                <c:pt idx="80">
                  <c:v>1.0123372172721041</c:v>
                </c:pt>
                <c:pt idx="81">
                  <c:v>1.0055001718803713</c:v>
                </c:pt>
                <c:pt idx="82">
                  <c:v>0.98499317871759884</c:v>
                </c:pt>
                <c:pt idx="83">
                  <c:v>0.94849203659776338</c:v>
                </c:pt>
                <c:pt idx="84">
                  <c:v>0.88591740013540965</c:v>
                </c:pt>
                <c:pt idx="85">
                  <c:v>0.86598290598290595</c:v>
                </c:pt>
                <c:pt idx="86">
                  <c:v>0.86357340720221609</c:v>
                </c:pt>
                <c:pt idx="87">
                  <c:v>0.86780993211861379</c:v>
                </c:pt>
                <c:pt idx="88">
                  <c:v>0.89606419564386697</c:v>
                </c:pt>
                <c:pt idx="89">
                  <c:v>0.89340702724042642</c:v>
                </c:pt>
                <c:pt idx="90">
                  <c:v>0.88051323175621488</c:v>
                </c:pt>
                <c:pt idx="91">
                  <c:v>0.88019761218608483</c:v>
                </c:pt>
                <c:pt idx="92">
                  <c:v>0.9330490405117271</c:v>
                </c:pt>
                <c:pt idx="93">
                  <c:v>0.96818382677861248</c:v>
                </c:pt>
                <c:pt idx="94">
                  <c:v>0.99089253187613846</c:v>
                </c:pt>
                <c:pt idx="95">
                  <c:v>1.0491113189897101</c:v>
                </c:pt>
                <c:pt idx="96">
                  <c:v>0.99360146252285186</c:v>
                </c:pt>
                <c:pt idx="97">
                  <c:v>1.0045641259698768</c:v>
                </c:pt>
                <c:pt idx="98">
                  <c:v>1.0174632352941175</c:v>
                </c:pt>
                <c:pt idx="99">
                  <c:v>1.011591618368257</c:v>
                </c:pt>
                <c:pt idx="100">
                  <c:v>1.0381784728610857</c:v>
                </c:pt>
                <c:pt idx="101">
                  <c:v>1.0213539300318037</c:v>
                </c:pt>
                <c:pt idx="102">
                  <c:v>1.0257452574525745</c:v>
                </c:pt>
                <c:pt idx="103">
                  <c:v>1.003525782282944</c:v>
                </c:pt>
                <c:pt idx="104">
                  <c:v>1.0115197164377492</c:v>
                </c:pt>
                <c:pt idx="105">
                  <c:v>1.0591637010676156</c:v>
                </c:pt>
                <c:pt idx="106">
                  <c:v>1.041831792162043</c:v>
                </c:pt>
                <c:pt idx="107">
                  <c:v>1.1018884497145367</c:v>
                </c:pt>
                <c:pt idx="108">
                  <c:v>1.1239597021462988</c:v>
                </c:pt>
                <c:pt idx="109">
                  <c:v>1.0978580428391433</c:v>
                </c:pt>
                <c:pt idx="110">
                  <c:v>1.1289095519864751</c:v>
                </c:pt>
                <c:pt idx="111">
                  <c:v>1.1048226385013948</c:v>
                </c:pt>
                <c:pt idx="112">
                  <c:v>1.1063912704598597</c:v>
                </c:pt>
                <c:pt idx="113">
                  <c:v>1.0944912012241774</c:v>
                </c:pt>
                <c:pt idx="114">
                  <c:v>1.0700112317484087</c:v>
                </c:pt>
                <c:pt idx="115">
                  <c:v>1.0562770562770563</c:v>
                </c:pt>
                <c:pt idx="116">
                  <c:v>1.0563578724903133</c:v>
                </c:pt>
                <c:pt idx="117">
                  <c:v>1.0744494931842012</c:v>
                </c:pt>
                <c:pt idx="118">
                  <c:v>1.0839748075577327</c:v>
                </c:pt>
              </c:numCache>
            </c:numRef>
          </c:xVal>
          <c:yVal>
            <c:numRef>
              <c:f>'Model 2 OC'!$C$28:$C$146</c:f>
              <c:numCache>
                <c:formatCode>General</c:formatCode>
                <c:ptCount val="119"/>
                <c:pt idx="0">
                  <c:v>-0.15727052672398933</c:v>
                </c:pt>
                <c:pt idx="1">
                  <c:v>-0.15279205446363875</c:v>
                </c:pt>
                <c:pt idx="2">
                  <c:v>-0.35412101639494864</c:v>
                </c:pt>
                <c:pt idx="3">
                  <c:v>-0.5380049557587343</c:v>
                </c:pt>
                <c:pt idx="4">
                  <c:v>-0.5695585191928032</c:v>
                </c:pt>
                <c:pt idx="5">
                  <c:v>-0.78146694553349683</c:v>
                </c:pt>
                <c:pt idx="6">
                  <c:v>-0.82365405387911572</c:v>
                </c:pt>
                <c:pt idx="7">
                  <c:v>-0.58461027429699985</c:v>
                </c:pt>
                <c:pt idx="8">
                  <c:v>-0.64644201067082996</c:v>
                </c:pt>
                <c:pt idx="9">
                  <c:v>-0.78234160711103318</c:v>
                </c:pt>
                <c:pt idx="10">
                  <c:v>-0.52930279433239757</c:v>
                </c:pt>
                <c:pt idx="11">
                  <c:v>-0.21208493502321168</c:v>
                </c:pt>
                <c:pt idx="12">
                  <c:v>-0.31162753543748689</c:v>
                </c:pt>
                <c:pt idx="13">
                  <c:v>8.810516399521795E-3</c:v>
                </c:pt>
                <c:pt idx="14">
                  <c:v>-0.16616682922443182</c:v>
                </c:pt>
                <c:pt idx="15">
                  <c:v>-0.6355974171646448</c:v>
                </c:pt>
                <c:pt idx="16">
                  <c:v>-0.3258391664499305</c:v>
                </c:pt>
                <c:pt idx="17">
                  <c:v>-0.31178566395905527</c:v>
                </c:pt>
                <c:pt idx="18">
                  <c:v>0.34067791119954638</c:v>
                </c:pt>
                <c:pt idx="19">
                  <c:v>1.2522697086483703</c:v>
                </c:pt>
                <c:pt idx="20">
                  <c:v>1.6336743181852569</c:v>
                </c:pt>
                <c:pt idx="21">
                  <c:v>2.0382618360724738</c:v>
                </c:pt>
                <c:pt idx="22">
                  <c:v>1.7568304368481407</c:v>
                </c:pt>
                <c:pt idx="23">
                  <c:v>1.223374296397969</c:v>
                </c:pt>
                <c:pt idx="24">
                  <c:v>0.77372426910907066</c:v>
                </c:pt>
                <c:pt idx="25">
                  <c:v>0.18789021943583073</c:v>
                </c:pt>
                <c:pt idx="26">
                  <c:v>0.24780058256372328</c:v>
                </c:pt>
                <c:pt idx="27">
                  <c:v>0.48733348435476387</c:v>
                </c:pt>
                <c:pt idx="28">
                  <c:v>0.7608034227821161</c:v>
                </c:pt>
                <c:pt idx="29">
                  <c:v>1.230044329235465</c:v>
                </c:pt>
                <c:pt idx="30">
                  <c:v>1.3952023662521587</c:v>
                </c:pt>
                <c:pt idx="31">
                  <c:v>0.55281683574155238</c:v>
                </c:pt>
                <c:pt idx="32">
                  <c:v>-0.15932575937130622</c:v>
                </c:pt>
                <c:pt idx="33">
                  <c:v>-0.8028442749879332</c:v>
                </c:pt>
                <c:pt idx="34">
                  <c:v>-0.79699302071961498</c:v>
                </c:pt>
                <c:pt idx="35">
                  <c:v>-1.0128659858622768E-2</c:v>
                </c:pt>
                <c:pt idx="36">
                  <c:v>0.70631337866845101</c:v>
                </c:pt>
                <c:pt idx="37">
                  <c:v>0.65951877976099738</c:v>
                </c:pt>
                <c:pt idx="38">
                  <c:v>0.32666441471306307</c:v>
                </c:pt>
                <c:pt idx="39">
                  <c:v>-6.5099694557559928E-2</c:v>
                </c:pt>
                <c:pt idx="40">
                  <c:v>-0.89251739263673713</c:v>
                </c:pt>
                <c:pt idx="41">
                  <c:v>-0.68241843454652873</c:v>
                </c:pt>
                <c:pt idx="42">
                  <c:v>-0.78334484102675184</c:v>
                </c:pt>
                <c:pt idx="43">
                  <c:v>-0.2998006988674744</c:v>
                </c:pt>
                <c:pt idx="44">
                  <c:v>0.20546593273162017</c:v>
                </c:pt>
                <c:pt idx="45">
                  <c:v>0.24282692667518901</c:v>
                </c:pt>
                <c:pt idx="46">
                  <c:v>0.55720838795152616</c:v>
                </c:pt>
                <c:pt idx="47">
                  <c:v>0.2605301976528116</c:v>
                </c:pt>
                <c:pt idx="48">
                  <c:v>0.31527677481892091</c:v>
                </c:pt>
                <c:pt idx="49">
                  <c:v>0.35868127610719558</c:v>
                </c:pt>
                <c:pt idx="50">
                  <c:v>0.41535965776967743</c:v>
                </c:pt>
                <c:pt idx="51">
                  <c:v>0.45818044077266062</c:v>
                </c:pt>
                <c:pt idx="52">
                  <c:v>0.61028396918386729</c:v>
                </c:pt>
                <c:pt idx="53">
                  <c:v>0.3985555585564482</c:v>
                </c:pt>
                <c:pt idx="54">
                  <c:v>-0.12244429263377032</c:v>
                </c:pt>
                <c:pt idx="55">
                  <c:v>-0.18518038379574531</c:v>
                </c:pt>
                <c:pt idx="56">
                  <c:v>-0.61102676215014018</c:v>
                </c:pt>
                <c:pt idx="57">
                  <c:v>-0.64531073866800259</c:v>
                </c:pt>
                <c:pt idx="58">
                  <c:v>-0.2087130951124001</c:v>
                </c:pt>
                <c:pt idx="59">
                  <c:v>-0.13343439570974969</c:v>
                </c:pt>
                <c:pt idx="60">
                  <c:v>7.7770882157653709E-2</c:v>
                </c:pt>
                <c:pt idx="61">
                  <c:v>-1.0125753156606798E-2</c:v>
                </c:pt>
                <c:pt idx="62">
                  <c:v>-0.30159629614531713</c:v>
                </c:pt>
                <c:pt idx="63">
                  <c:v>-0.39454119170372248</c:v>
                </c:pt>
                <c:pt idx="64">
                  <c:v>-0.48595752156148109</c:v>
                </c:pt>
                <c:pt idx="65">
                  <c:v>-0.6049747424957399</c:v>
                </c:pt>
                <c:pt idx="66">
                  <c:v>-0.49019477579977089</c:v>
                </c:pt>
                <c:pt idx="67">
                  <c:v>-0.52177809891090376</c:v>
                </c:pt>
                <c:pt idx="68">
                  <c:v>-0.5632030926843461</c:v>
                </c:pt>
                <c:pt idx="69">
                  <c:v>-0.22293123951491456</c:v>
                </c:pt>
                <c:pt idx="70">
                  <c:v>4.7253831293277315E-2</c:v>
                </c:pt>
                <c:pt idx="71">
                  <c:v>0.12087847948584063</c:v>
                </c:pt>
                <c:pt idx="72">
                  <c:v>0.30935474503411964</c:v>
                </c:pt>
                <c:pt idx="73">
                  <c:v>9.0009779612066687E-2</c:v>
                </c:pt>
                <c:pt idx="74">
                  <c:v>-2.8517997008918883E-3</c:v>
                </c:pt>
                <c:pt idx="75">
                  <c:v>-1.7827775080475838E-2</c:v>
                </c:pt>
                <c:pt idx="76">
                  <c:v>8.8909737043056047E-2</c:v>
                </c:pt>
                <c:pt idx="77">
                  <c:v>-5.7449847645986374E-2</c:v>
                </c:pt>
                <c:pt idx="78">
                  <c:v>-0.23103797475809085</c:v>
                </c:pt>
                <c:pt idx="79">
                  <c:v>-0.14807211430838585</c:v>
                </c:pt>
                <c:pt idx="80">
                  <c:v>-0.408334320821643</c:v>
                </c:pt>
                <c:pt idx="81">
                  <c:v>-0.12403935773783381</c:v>
                </c:pt>
                <c:pt idx="82">
                  <c:v>0.21089687386188771</c:v>
                </c:pt>
                <c:pt idx="83">
                  <c:v>3.039060348495326E-3</c:v>
                </c:pt>
                <c:pt idx="84">
                  <c:v>-2.9096345532042989E-2</c:v>
                </c:pt>
                <c:pt idx="85">
                  <c:v>-9.4302668061861716E-2</c:v>
                </c:pt>
                <c:pt idx="86">
                  <c:v>-0.10806072899366104</c:v>
                </c:pt>
                <c:pt idx="87">
                  <c:v>0.20876109432841972</c:v>
                </c:pt>
                <c:pt idx="88">
                  <c:v>0.29500629796991085</c:v>
                </c:pt>
                <c:pt idx="89">
                  <c:v>-2.1765151011211792E-2</c:v>
                </c:pt>
                <c:pt idx="90">
                  <c:v>-0.37148348494937267</c:v>
                </c:pt>
                <c:pt idx="91">
                  <c:v>-0.44199517316875347</c:v>
                </c:pt>
                <c:pt idx="92">
                  <c:v>-0.35867158374203179</c:v>
                </c:pt>
                <c:pt idx="93">
                  <c:v>0.35762825679344701</c:v>
                </c:pt>
                <c:pt idx="94">
                  <c:v>0.52873311470157613</c:v>
                </c:pt>
                <c:pt idx="95">
                  <c:v>0.47755698991680617</c:v>
                </c:pt>
                <c:pt idx="96">
                  <c:v>2.8057238773460114E-2</c:v>
                </c:pt>
                <c:pt idx="97">
                  <c:v>-0.9153456774484221</c:v>
                </c:pt>
                <c:pt idx="98">
                  <c:v>-0.85829262734309353</c:v>
                </c:pt>
                <c:pt idx="99">
                  <c:v>-0.61272711759395637</c:v>
                </c:pt>
                <c:pt idx="100">
                  <c:v>-0.40047324639386694</c:v>
                </c:pt>
                <c:pt idx="101">
                  <c:v>-5.0618916020022553E-2</c:v>
                </c:pt>
                <c:pt idx="102">
                  <c:v>2.3568028202519464E-2</c:v>
                </c:pt>
                <c:pt idx="103">
                  <c:v>-0.26898678706235124</c:v>
                </c:pt>
                <c:pt idx="104">
                  <c:v>-0.25873377430158762</c:v>
                </c:pt>
                <c:pt idx="105">
                  <c:v>-3.913122036790817E-2</c:v>
                </c:pt>
                <c:pt idx="106">
                  <c:v>-0.34917689082602799</c:v>
                </c:pt>
                <c:pt idx="107">
                  <c:v>-9.3510601917032865E-2</c:v>
                </c:pt>
                <c:pt idx="108">
                  <c:v>-0.22589683651984771</c:v>
                </c:pt>
                <c:pt idx="109">
                  <c:v>-0.36375443512704742</c:v>
                </c:pt>
                <c:pt idx="110">
                  <c:v>-4.0689609832904594E-3</c:v>
                </c:pt>
                <c:pt idx="111">
                  <c:v>0.13782392260040233</c:v>
                </c:pt>
                <c:pt idx="112">
                  <c:v>0.46593607333897147</c:v>
                </c:pt>
                <c:pt idx="113">
                  <c:v>0.60681494198239694</c:v>
                </c:pt>
                <c:pt idx="114">
                  <c:v>0.64788518085188773</c:v>
                </c:pt>
                <c:pt idx="115">
                  <c:v>0.29345739020109285</c:v>
                </c:pt>
                <c:pt idx="116">
                  <c:v>0.22354398939888753</c:v>
                </c:pt>
                <c:pt idx="117">
                  <c:v>0.15981101451955126</c:v>
                </c:pt>
                <c:pt idx="118">
                  <c:v>-7.482027135599445E-2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95-43FD-AAD3-60089BD42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541296"/>
        <c:axId val="1217542256"/>
      </c:scatterChart>
      <c:valAx>
        <c:axId val="121754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42256"/>
        <c:crosses val="autoZero"/>
        <c:crossBetween val="midCat"/>
      </c:valAx>
      <c:valAx>
        <c:axId val="1217542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75412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OrangeCounty!$P$6:$P$124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OC'!$C$28:$C$146</c:f>
              <c:numCache>
                <c:formatCode>General</c:formatCode>
                <c:ptCount val="119"/>
                <c:pt idx="0">
                  <c:v>-0.15727052672398933</c:v>
                </c:pt>
                <c:pt idx="1">
                  <c:v>-0.15279205446363875</c:v>
                </c:pt>
                <c:pt idx="2">
                  <c:v>-0.35412101639494864</c:v>
                </c:pt>
                <c:pt idx="3">
                  <c:v>-0.5380049557587343</c:v>
                </c:pt>
                <c:pt idx="4">
                  <c:v>-0.5695585191928032</c:v>
                </c:pt>
                <c:pt idx="5">
                  <c:v>-0.78146694553349683</c:v>
                </c:pt>
                <c:pt idx="6">
                  <c:v>-0.82365405387911572</c:v>
                </c:pt>
                <c:pt idx="7">
                  <c:v>-0.58461027429699985</c:v>
                </c:pt>
                <c:pt idx="8">
                  <c:v>-0.64644201067082996</c:v>
                </c:pt>
                <c:pt idx="9">
                  <c:v>-0.78234160711103318</c:v>
                </c:pt>
                <c:pt idx="10">
                  <c:v>-0.52930279433239757</c:v>
                </c:pt>
                <c:pt idx="11">
                  <c:v>-0.21208493502321168</c:v>
                </c:pt>
                <c:pt idx="12">
                  <c:v>-0.31162753543748689</c:v>
                </c:pt>
                <c:pt idx="13">
                  <c:v>8.810516399521795E-3</c:v>
                </c:pt>
                <c:pt idx="14">
                  <c:v>-0.16616682922443182</c:v>
                </c:pt>
                <c:pt idx="15">
                  <c:v>-0.6355974171646448</c:v>
                </c:pt>
                <c:pt idx="16">
                  <c:v>-0.3258391664499305</c:v>
                </c:pt>
                <c:pt idx="17">
                  <c:v>-0.31178566395905527</c:v>
                </c:pt>
                <c:pt idx="18">
                  <c:v>0.34067791119954638</c:v>
                </c:pt>
                <c:pt idx="19">
                  <c:v>1.2522697086483703</c:v>
                </c:pt>
                <c:pt idx="20">
                  <c:v>1.6336743181852569</c:v>
                </c:pt>
                <c:pt idx="21">
                  <c:v>2.0382618360724738</c:v>
                </c:pt>
                <c:pt idx="22">
                  <c:v>1.7568304368481407</c:v>
                </c:pt>
                <c:pt idx="23">
                  <c:v>1.223374296397969</c:v>
                </c:pt>
                <c:pt idx="24">
                  <c:v>0.77372426910907066</c:v>
                </c:pt>
                <c:pt idx="25">
                  <c:v>0.18789021943583073</c:v>
                </c:pt>
                <c:pt idx="26">
                  <c:v>0.24780058256372328</c:v>
                </c:pt>
                <c:pt idx="27">
                  <c:v>0.48733348435476387</c:v>
                </c:pt>
                <c:pt idx="28">
                  <c:v>0.7608034227821161</c:v>
                </c:pt>
                <c:pt idx="29">
                  <c:v>1.230044329235465</c:v>
                </c:pt>
                <c:pt idx="30">
                  <c:v>1.3952023662521587</c:v>
                </c:pt>
                <c:pt idx="31">
                  <c:v>0.55281683574155238</c:v>
                </c:pt>
                <c:pt idx="32">
                  <c:v>-0.15932575937130622</c:v>
                </c:pt>
                <c:pt idx="33">
                  <c:v>-0.8028442749879332</c:v>
                </c:pt>
                <c:pt idx="34">
                  <c:v>-0.79699302071961498</c:v>
                </c:pt>
                <c:pt idx="35">
                  <c:v>-1.0128659858622768E-2</c:v>
                </c:pt>
                <c:pt idx="36">
                  <c:v>0.70631337866845101</c:v>
                </c:pt>
                <c:pt idx="37">
                  <c:v>0.65951877976099738</c:v>
                </c:pt>
                <c:pt idx="38">
                  <c:v>0.32666441471306307</c:v>
                </c:pt>
                <c:pt idx="39">
                  <c:v>-6.5099694557559928E-2</c:v>
                </c:pt>
                <c:pt idx="40">
                  <c:v>-0.89251739263673713</c:v>
                </c:pt>
                <c:pt idx="41">
                  <c:v>-0.68241843454652873</c:v>
                </c:pt>
                <c:pt idx="42">
                  <c:v>-0.78334484102675184</c:v>
                </c:pt>
                <c:pt idx="43">
                  <c:v>-0.2998006988674744</c:v>
                </c:pt>
                <c:pt idx="44">
                  <c:v>0.20546593273162017</c:v>
                </c:pt>
                <c:pt idx="45">
                  <c:v>0.24282692667518901</c:v>
                </c:pt>
                <c:pt idx="46">
                  <c:v>0.55720838795152616</c:v>
                </c:pt>
                <c:pt idx="47">
                  <c:v>0.2605301976528116</c:v>
                </c:pt>
                <c:pt idx="48">
                  <c:v>0.31527677481892091</c:v>
                </c:pt>
                <c:pt idx="49">
                  <c:v>0.35868127610719558</c:v>
                </c:pt>
                <c:pt idx="50">
                  <c:v>0.41535965776967743</c:v>
                </c:pt>
                <c:pt idx="51">
                  <c:v>0.45818044077266062</c:v>
                </c:pt>
                <c:pt idx="52">
                  <c:v>0.61028396918386729</c:v>
                </c:pt>
                <c:pt idx="53">
                  <c:v>0.3985555585564482</c:v>
                </c:pt>
                <c:pt idx="54">
                  <c:v>-0.12244429263377032</c:v>
                </c:pt>
                <c:pt idx="55">
                  <c:v>-0.18518038379574531</c:v>
                </c:pt>
                <c:pt idx="56">
                  <c:v>-0.61102676215014018</c:v>
                </c:pt>
                <c:pt idx="57">
                  <c:v>-0.64531073866800259</c:v>
                </c:pt>
                <c:pt idx="58">
                  <c:v>-0.2087130951124001</c:v>
                </c:pt>
                <c:pt idx="59">
                  <c:v>-0.13343439570974969</c:v>
                </c:pt>
                <c:pt idx="60">
                  <c:v>7.7770882157653709E-2</c:v>
                </c:pt>
                <c:pt idx="61">
                  <c:v>-1.0125753156606798E-2</c:v>
                </c:pt>
                <c:pt idx="62">
                  <c:v>-0.30159629614531713</c:v>
                </c:pt>
                <c:pt idx="63">
                  <c:v>-0.39454119170372248</c:v>
                </c:pt>
                <c:pt idx="64">
                  <c:v>-0.48595752156148109</c:v>
                </c:pt>
                <c:pt idx="65">
                  <c:v>-0.6049747424957399</c:v>
                </c:pt>
                <c:pt idx="66">
                  <c:v>-0.49019477579977089</c:v>
                </c:pt>
                <c:pt idx="67">
                  <c:v>-0.52177809891090376</c:v>
                </c:pt>
                <c:pt idx="68">
                  <c:v>-0.5632030926843461</c:v>
                </c:pt>
                <c:pt idx="69">
                  <c:v>-0.22293123951491456</c:v>
                </c:pt>
                <c:pt idx="70">
                  <c:v>4.7253831293277315E-2</c:v>
                </c:pt>
                <c:pt idx="71">
                  <c:v>0.12087847948584063</c:v>
                </c:pt>
                <c:pt idx="72">
                  <c:v>0.30935474503411964</c:v>
                </c:pt>
                <c:pt idx="73">
                  <c:v>9.0009779612066687E-2</c:v>
                </c:pt>
                <c:pt idx="74">
                  <c:v>-2.8517997008918883E-3</c:v>
                </c:pt>
                <c:pt idx="75">
                  <c:v>-1.7827775080475838E-2</c:v>
                </c:pt>
                <c:pt idx="76">
                  <c:v>8.8909737043056047E-2</c:v>
                </c:pt>
                <c:pt idx="77">
                  <c:v>-5.7449847645986374E-2</c:v>
                </c:pt>
                <c:pt idx="78">
                  <c:v>-0.23103797475809085</c:v>
                </c:pt>
                <c:pt idx="79">
                  <c:v>-0.14807211430838585</c:v>
                </c:pt>
                <c:pt idx="80">
                  <c:v>-0.408334320821643</c:v>
                </c:pt>
                <c:pt idx="81">
                  <c:v>-0.12403935773783381</c:v>
                </c:pt>
                <c:pt idx="82">
                  <c:v>0.21089687386188771</c:v>
                </c:pt>
                <c:pt idx="83">
                  <c:v>3.039060348495326E-3</c:v>
                </c:pt>
                <c:pt idx="84">
                  <c:v>-2.9096345532042989E-2</c:v>
                </c:pt>
                <c:pt idx="85">
                  <c:v>-9.4302668061861716E-2</c:v>
                </c:pt>
                <c:pt idx="86">
                  <c:v>-0.10806072899366104</c:v>
                </c:pt>
                <c:pt idx="87">
                  <c:v>0.20876109432841972</c:v>
                </c:pt>
                <c:pt idx="88">
                  <c:v>0.29500629796991085</c:v>
                </c:pt>
                <c:pt idx="89">
                  <c:v>-2.1765151011211792E-2</c:v>
                </c:pt>
                <c:pt idx="90">
                  <c:v>-0.37148348494937267</c:v>
                </c:pt>
                <c:pt idx="91">
                  <c:v>-0.44199517316875347</c:v>
                </c:pt>
                <c:pt idx="92">
                  <c:v>-0.35867158374203179</c:v>
                </c:pt>
                <c:pt idx="93">
                  <c:v>0.35762825679344701</c:v>
                </c:pt>
                <c:pt idx="94">
                  <c:v>0.52873311470157613</c:v>
                </c:pt>
                <c:pt idx="95">
                  <c:v>0.47755698991680617</c:v>
                </c:pt>
                <c:pt idx="96">
                  <c:v>2.8057238773460114E-2</c:v>
                </c:pt>
                <c:pt idx="97">
                  <c:v>-0.9153456774484221</c:v>
                </c:pt>
                <c:pt idx="98">
                  <c:v>-0.85829262734309353</c:v>
                </c:pt>
                <c:pt idx="99">
                  <c:v>-0.61272711759395637</c:v>
                </c:pt>
                <c:pt idx="100">
                  <c:v>-0.40047324639386694</c:v>
                </c:pt>
                <c:pt idx="101">
                  <c:v>-5.0618916020022553E-2</c:v>
                </c:pt>
                <c:pt idx="102">
                  <c:v>2.3568028202519464E-2</c:v>
                </c:pt>
                <c:pt idx="103">
                  <c:v>-0.26898678706235124</c:v>
                </c:pt>
                <c:pt idx="104">
                  <c:v>-0.25873377430158762</c:v>
                </c:pt>
                <c:pt idx="105">
                  <c:v>-3.913122036790817E-2</c:v>
                </c:pt>
                <c:pt idx="106">
                  <c:v>-0.34917689082602799</c:v>
                </c:pt>
                <c:pt idx="107">
                  <c:v>-9.3510601917032865E-2</c:v>
                </c:pt>
                <c:pt idx="108">
                  <c:v>-0.22589683651984771</c:v>
                </c:pt>
                <c:pt idx="109">
                  <c:v>-0.36375443512704742</c:v>
                </c:pt>
                <c:pt idx="110">
                  <c:v>-4.0689609832904594E-3</c:v>
                </c:pt>
                <c:pt idx="111">
                  <c:v>0.13782392260040233</c:v>
                </c:pt>
                <c:pt idx="112">
                  <c:v>0.46593607333897147</c:v>
                </c:pt>
                <c:pt idx="113">
                  <c:v>0.60681494198239694</c:v>
                </c:pt>
                <c:pt idx="114">
                  <c:v>0.64788518085188773</c:v>
                </c:pt>
                <c:pt idx="115">
                  <c:v>0.29345739020109285</c:v>
                </c:pt>
                <c:pt idx="116">
                  <c:v>0.22354398939888753</c:v>
                </c:pt>
                <c:pt idx="117">
                  <c:v>0.15981101451955126</c:v>
                </c:pt>
                <c:pt idx="118">
                  <c:v>-7.482027135599445E-2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56-48CD-A218-0BB0B2843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952"/>
        <c:axId val="1189551024"/>
      </c:scatterChart>
      <c:valAx>
        <c:axId val="10272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1024"/>
        <c:crosses val="autoZero"/>
        <c:crossBetween val="midCat"/>
      </c:valAx>
      <c:valAx>
        <c:axId val="118955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SanDiego!$M$6:$M$124</c:f>
              <c:numCache>
                <c:formatCode>General</c:formatCode>
                <c:ptCount val="119"/>
                <c:pt idx="0">
                  <c:v>7.2605620000000002</c:v>
                </c:pt>
                <c:pt idx="1">
                  <c:v>6.990926</c:v>
                </c:pt>
                <c:pt idx="2">
                  <c:v>6.8647580000000001</c:v>
                </c:pt>
                <c:pt idx="3">
                  <c:v>6.7820049999999998</c:v>
                </c:pt>
                <c:pt idx="4">
                  <c:v>6.7470939999999997</c:v>
                </c:pt>
                <c:pt idx="5">
                  <c:v>6.635834</c:v>
                </c:pt>
                <c:pt idx="6">
                  <c:v>6.3065910000000001</c:v>
                </c:pt>
                <c:pt idx="7">
                  <c:v>6.0394050000000004</c:v>
                </c:pt>
                <c:pt idx="8">
                  <c:v>5.9403629999999996</c:v>
                </c:pt>
                <c:pt idx="9">
                  <c:v>6.3766299999999996</c:v>
                </c:pt>
                <c:pt idx="10">
                  <c:v>6.6405940000000001</c:v>
                </c:pt>
                <c:pt idx="11">
                  <c:v>7.0249750000000004</c:v>
                </c:pt>
                <c:pt idx="12">
                  <c:v>7.1316389999999998</c:v>
                </c:pt>
                <c:pt idx="13">
                  <c:v>7.110309</c:v>
                </c:pt>
                <c:pt idx="14">
                  <c:v>7.1321880000000002</c:v>
                </c:pt>
                <c:pt idx="15">
                  <c:v>7.0558199999999998</c:v>
                </c:pt>
                <c:pt idx="16">
                  <c:v>7.0827159999999996</c:v>
                </c:pt>
                <c:pt idx="17">
                  <c:v>6.9810350000000003</c:v>
                </c:pt>
                <c:pt idx="18">
                  <c:v>6.976845</c:v>
                </c:pt>
                <c:pt idx="19">
                  <c:v>7.2037399999999998</c:v>
                </c:pt>
                <c:pt idx="20">
                  <c:v>7.3517070000000002</c:v>
                </c:pt>
                <c:pt idx="21">
                  <c:v>7.8217309999999998</c:v>
                </c:pt>
                <c:pt idx="22">
                  <c:v>8.0938680000000005</c:v>
                </c:pt>
                <c:pt idx="23">
                  <c:v>8.2039240000000007</c:v>
                </c:pt>
                <c:pt idx="24">
                  <c:v>8.4061109999999992</c:v>
                </c:pt>
                <c:pt idx="25">
                  <c:v>8.257612</c:v>
                </c:pt>
                <c:pt idx="26">
                  <c:v>8.5246729999999999</c:v>
                </c:pt>
                <c:pt idx="27">
                  <c:v>8.8000950000000007</c:v>
                </c:pt>
                <c:pt idx="28">
                  <c:v>9.2731049999999993</c:v>
                </c:pt>
                <c:pt idx="29">
                  <c:v>9.7258630000000004</c:v>
                </c:pt>
                <c:pt idx="30">
                  <c:v>9.9661539999999995</c:v>
                </c:pt>
                <c:pt idx="31">
                  <c:v>10.001340000000001</c:v>
                </c:pt>
                <c:pt idx="32">
                  <c:v>10.23804</c:v>
                </c:pt>
                <c:pt idx="33">
                  <c:v>10.28138</c:v>
                </c:pt>
                <c:pt idx="34">
                  <c:v>10.357620000000001</c:v>
                </c:pt>
                <c:pt idx="35">
                  <c:v>10.42863</c:v>
                </c:pt>
                <c:pt idx="36">
                  <c:v>9.8047920000000008</c:v>
                </c:pt>
                <c:pt idx="37">
                  <c:v>9.820786</c:v>
                </c:pt>
                <c:pt idx="38">
                  <c:v>9.6115019999999998</c:v>
                </c:pt>
                <c:pt idx="39">
                  <c:v>9.0594830000000002</c:v>
                </c:pt>
                <c:pt idx="40">
                  <c:v>9.0282809999999998</c:v>
                </c:pt>
                <c:pt idx="41">
                  <c:v>8.8127999999999993</c:v>
                </c:pt>
                <c:pt idx="42">
                  <c:v>8.6279149999999998</c:v>
                </c:pt>
                <c:pt idx="43">
                  <c:v>8.9500419999999998</c:v>
                </c:pt>
                <c:pt idx="44">
                  <c:v>9.0167490000000008</c:v>
                </c:pt>
                <c:pt idx="45">
                  <c:v>8.8393990000000002</c:v>
                </c:pt>
                <c:pt idx="46">
                  <c:v>8.8952360000000006</c:v>
                </c:pt>
                <c:pt idx="47">
                  <c:v>8.3658669999999997</c:v>
                </c:pt>
                <c:pt idx="48">
                  <c:v>7.9691960000000002</c:v>
                </c:pt>
                <c:pt idx="49">
                  <c:v>8.0343929999999997</c:v>
                </c:pt>
                <c:pt idx="50">
                  <c:v>7.7351970000000003</c:v>
                </c:pt>
                <c:pt idx="51">
                  <c:v>7.8103619999999996</c:v>
                </c:pt>
                <c:pt idx="52">
                  <c:v>7.7672439999999998</c:v>
                </c:pt>
                <c:pt idx="53">
                  <c:v>7.6363979999999998</c:v>
                </c:pt>
                <c:pt idx="54">
                  <c:v>7.7909259999999998</c:v>
                </c:pt>
                <c:pt idx="55">
                  <c:v>8.0824780000000001</c:v>
                </c:pt>
                <c:pt idx="56">
                  <c:v>8.1743790000000001</c:v>
                </c:pt>
                <c:pt idx="57">
                  <c:v>8.380687</c:v>
                </c:pt>
                <c:pt idx="58">
                  <c:v>8.5181179999999994</c:v>
                </c:pt>
                <c:pt idx="59">
                  <c:v>8.6123010000000004</c:v>
                </c:pt>
                <c:pt idx="60">
                  <c:v>8.7167829999999995</c:v>
                </c:pt>
                <c:pt idx="61">
                  <c:v>8.3812040000000003</c:v>
                </c:pt>
                <c:pt idx="62">
                  <c:v>8.1819050000000004</c:v>
                </c:pt>
                <c:pt idx="63">
                  <c:v>7.9232490000000002</c:v>
                </c:pt>
                <c:pt idx="64">
                  <c:v>7.9041639999999997</c:v>
                </c:pt>
                <c:pt idx="65">
                  <c:v>7.9471959999999999</c:v>
                </c:pt>
                <c:pt idx="66">
                  <c:v>7.8894019999999996</c:v>
                </c:pt>
                <c:pt idx="67">
                  <c:v>7.8474360000000001</c:v>
                </c:pt>
                <c:pt idx="68">
                  <c:v>7.7857130000000003</c:v>
                </c:pt>
                <c:pt idx="69">
                  <c:v>7.4127980000000004</c:v>
                </c:pt>
                <c:pt idx="70">
                  <c:v>7.2848680000000003</c:v>
                </c:pt>
                <c:pt idx="71">
                  <c:v>7.0028709999999998</c:v>
                </c:pt>
                <c:pt idx="72">
                  <c:v>6.7475500000000004</c:v>
                </c:pt>
                <c:pt idx="73">
                  <c:v>6.7550239999999997</c:v>
                </c:pt>
                <c:pt idx="74">
                  <c:v>6.3333880000000002</c:v>
                </c:pt>
                <c:pt idx="75">
                  <c:v>6.0710490000000004</c:v>
                </c:pt>
                <c:pt idx="76">
                  <c:v>5.6566590000000003</c:v>
                </c:pt>
                <c:pt idx="77">
                  <c:v>5.2707699999999997</c:v>
                </c:pt>
                <c:pt idx="78">
                  <c:v>5.2142780000000002</c:v>
                </c:pt>
                <c:pt idx="79">
                  <c:v>5.1161289999999999</c:v>
                </c:pt>
                <c:pt idx="80">
                  <c:v>5.1192840000000004</c:v>
                </c:pt>
                <c:pt idx="81">
                  <c:v>5.0671739999999996</c:v>
                </c:pt>
                <c:pt idx="82">
                  <c:v>4.9299840000000001</c:v>
                </c:pt>
                <c:pt idx="83">
                  <c:v>4.9362440000000003</c:v>
                </c:pt>
                <c:pt idx="84">
                  <c:v>4.8559289999999997</c:v>
                </c:pt>
                <c:pt idx="85">
                  <c:v>4.8139260000000004</c:v>
                </c:pt>
                <c:pt idx="86">
                  <c:v>4.8251860000000004</c:v>
                </c:pt>
                <c:pt idx="87">
                  <c:v>4.9331639999999997</c:v>
                </c:pt>
                <c:pt idx="88">
                  <c:v>5.2299369999999996</c:v>
                </c:pt>
                <c:pt idx="89">
                  <c:v>5.5078779999999998</c:v>
                </c:pt>
                <c:pt idx="90">
                  <c:v>5.8014380000000001</c:v>
                </c:pt>
                <c:pt idx="91">
                  <c:v>6.055021</c:v>
                </c:pt>
                <c:pt idx="92">
                  <c:v>6.1431180000000003</c:v>
                </c:pt>
                <c:pt idx="93">
                  <c:v>6.2865890000000002</c:v>
                </c:pt>
                <c:pt idx="94">
                  <c:v>6.3820240000000004</c:v>
                </c:pt>
                <c:pt idx="95">
                  <c:v>6.0433899999999996</c:v>
                </c:pt>
                <c:pt idx="96">
                  <c:v>6.0038419999999997</c:v>
                </c:pt>
                <c:pt idx="97">
                  <c:v>6.0631300000000001</c:v>
                </c:pt>
                <c:pt idx="98">
                  <c:v>5.8514419999999996</c:v>
                </c:pt>
                <c:pt idx="99">
                  <c:v>6.2449680000000001</c:v>
                </c:pt>
                <c:pt idx="100">
                  <c:v>6.1896079999999998</c:v>
                </c:pt>
                <c:pt idx="101">
                  <c:v>6.0048399999999997</c:v>
                </c:pt>
                <c:pt idx="102">
                  <c:v>6.0430630000000001</c:v>
                </c:pt>
                <c:pt idx="103">
                  <c:v>5.7934369999999999</c:v>
                </c:pt>
                <c:pt idx="104">
                  <c:v>5.7146590000000002</c:v>
                </c:pt>
                <c:pt idx="105">
                  <c:v>5.5011419999999998</c:v>
                </c:pt>
                <c:pt idx="106">
                  <c:v>5.3042059999999998</c:v>
                </c:pt>
                <c:pt idx="107">
                  <c:v>5.2014839999999998</c:v>
                </c:pt>
                <c:pt idx="108">
                  <c:v>5.0866670000000003</c:v>
                </c:pt>
                <c:pt idx="109">
                  <c:v>4.9193020000000001</c:v>
                </c:pt>
                <c:pt idx="110">
                  <c:v>4.8714899999999997</c:v>
                </c:pt>
                <c:pt idx="111">
                  <c:v>4.7515280000000004</c:v>
                </c:pt>
                <c:pt idx="112">
                  <c:v>4.7028699999999999</c:v>
                </c:pt>
                <c:pt idx="113">
                  <c:v>4.7685760000000004</c:v>
                </c:pt>
                <c:pt idx="114">
                  <c:v>4.7654579999999997</c:v>
                </c:pt>
                <c:pt idx="115">
                  <c:v>4.6787280000000004</c:v>
                </c:pt>
                <c:pt idx="116">
                  <c:v>4.5159079999999996</c:v>
                </c:pt>
                <c:pt idx="117">
                  <c:v>4.3826429999999998</c:v>
                </c:pt>
                <c:pt idx="118">
                  <c:v>4.3665690000000001</c:v>
                </c:pt>
              </c:numCache>
            </c:numRef>
          </c:xVal>
          <c:yVal>
            <c:numRef>
              <c:f>'Model1 SD'!$C$27:$C$145</c:f>
              <c:numCache>
                <c:formatCode>General</c:formatCode>
                <c:ptCount val="119"/>
                <c:pt idx="0">
                  <c:v>-0.74832925065543243</c:v>
                </c:pt>
                <c:pt idx="1">
                  <c:v>-0.65519451187419886</c:v>
                </c:pt>
                <c:pt idx="2">
                  <c:v>-0.86210770111146839</c:v>
                </c:pt>
                <c:pt idx="3">
                  <c:v>-1.0260222198459239</c:v>
                </c:pt>
                <c:pt idx="4">
                  <c:v>-1.1067501198510907</c:v>
                </c:pt>
                <c:pt idx="5">
                  <c:v>-0.52993279333448395</c:v>
                </c:pt>
                <c:pt idx="6">
                  <c:v>0.10781798636177964</c:v>
                </c:pt>
                <c:pt idx="7">
                  <c:v>0.77651888127476543</c:v>
                </c:pt>
                <c:pt idx="8">
                  <c:v>0.88587696189102161</c:v>
                </c:pt>
                <c:pt idx="9">
                  <c:v>0.37270090726537486</c:v>
                </c:pt>
                <c:pt idx="10">
                  <c:v>0.13958309792841472</c:v>
                </c:pt>
                <c:pt idx="11">
                  <c:v>-0.2859428420429948</c:v>
                </c:pt>
                <c:pt idx="12">
                  <c:v>-0.39343630137611818</c:v>
                </c:pt>
                <c:pt idx="13">
                  <c:v>-0.54096413091523488</c:v>
                </c:pt>
                <c:pt idx="14">
                  <c:v>-0.59706661572687647</c:v>
                </c:pt>
                <c:pt idx="15">
                  <c:v>-0.2989817646414572</c:v>
                </c:pt>
                <c:pt idx="16">
                  <c:v>-0.10091815008191407</c:v>
                </c:pt>
                <c:pt idx="17">
                  <c:v>0.53762375118716932</c:v>
                </c:pt>
                <c:pt idx="18">
                  <c:v>0.8295522070395096</c:v>
                </c:pt>
                <c:pt idx="19">
                  <c:v>0.67822135371411463</c:v>
                </c:pt>
                <c:pt idx="20">
                  <c:v>0.78823537117319997</c:v>
                </c:pt>
                <c:pt idx="21">
                  <c:v>0.22473689709679867</c:v>
                </c:pt>
                <c:pt idx="22">
                  <c:v>0.34639826328353607</c:v>
                </c:pt>
                <c:pt idx="23">
                  <c:v>0.6115656980380404</c:v>
                </c:pt>
                <c:pt idx="24">
                  <c:v>0.85882597995334642</c:v>
                </c:pt>
                <c:pt idx="25">
                  <c:v>1.3898711400589931</c:v>
                </c:pt>
                <c:pt idx="26">
                  <c:v>1.4792398157713755</c:v>
                </c:pt>
                <c:pt idx="27">
                  <c:v>1.3426536025065001</c:v>
                </c:pt>
                <c:pt idx="28">
                  <c:v>1.095158890353062</c:v>
                </c:pt>
                <c:pt idx="29">
                  <c:v>0.70643343139718695</c:v>
                </c:pt>
                <c:pt idx="30">
                  <c:v>0.45596809661662618</c:v>
                </c:pt>
                <c:pt idx="31">
                  <c:v>0.41305526640064549</c:v>
                </c:pt>
                <c:pt idx="32">
                  <c:v>-0.2516787824453619</c:v>
                </c:pt>
                <c:pt idx="33">
                  <c:v>-0.13475101889827812</c:v>
                </c:pt>
                <c:pt idx="34">
                  <c:v>-0.42171548992323693</c:v>
                </c:pt>
                <c:pt idx="35">
                  <c:v>-1.0165406744540064</c:v>
                </c:pt>
                <c:pt idx="36">
                  <c:v>-0.46442957880020863</c:v>
                </c:pt>
                <c:pt idx="37">
                  <c:v>-0.70365705509738241</c:v>
                </c:pt>
                <c:pt idx="38">
                  <c:v>-0.55466568304836272</c:v>
                </c:pt>
                <c:pt idx="39">
                  <c:v>0.42646339698422153</c:v>
                </c:pt>
                <c:pt idx="40">
                  <c:v>0.5351291987464375</c:v>
                </c:pt>
                <c:pt idx="41">
                  <c:v>0.55558939134338203</c:v>
                </c:pt>
                <c:pt idx="42">
                  <c:v>0.80948584344817931</c:v>
                </c:pt>
                <c:pt idx="43">
                  <c:v>1.6388517886216647E-3</c:v>
                </c:pt>
                <c:pt idx="44">
                  <c:v>-0.60340358814691974</c:v>
                </c:pt>
                <c:pt idx="45">
                  <c:v>-0.52176302455633206</c:v>
                </c:pt>
                <c:pt idx="46">
                  <c:v>-1.0164087191141471</c:v>
                </c:pt>
                <c:pt idx="47">
                  <c:v>-0.56588424379657631</c:v>
                </c:pt>
                <c:pt idx="48">
                  <c:v>-3.353587122321855E-2</c:v>
                </c:pt>
                <c:pt idx="49">
                  <c:v>2.2268740352759053E-2</c:v>
                </c:pt>
                <c:pt idx="50">
                  <c:v>0.70262636573789727</c:v>
                </c:pt>
                <c:pt idx="51">
                  <c:v>0.96947629935754343</c:v>
                </c:pt>
                <c:pt idx="52">
                  <c:v>1.0176696007837123</c:v>
                </c:pt>
                <c:pt idx="53">
                  <c:v>1.0722993759921557</c:v>
                </c:pt>
                <c:pt idx="54">
                  <c:v>0.91268453369798586</c:v>
                </c:pt>
                <c:pt idx="55">
                  <c:v>0.53963711427112493</c:v>
                </c:pt>
                <c:pt idx="56">
                  <c:v>0.45818170581316586</c:v>
                </c:pt>
                <c:pt idx="57">
                  <c:v>-4.6023794396486295E-2</c:v>
                </c:pt>
                <c:pt idx="58">
                  <c:v>-0.22783278914964455</c:v>
                </c:pt>
                <c:pt idx="59">
                  <c:v>-0.40558242926750587</c:v>
                </c:pt>
                <c:pt idx="60">
                  <c:v>-0.55774292165013861</c:v>
                </c:pt>
                <c:pt idx="61">
                  <c:v>-0.19391936066105941</c:v>
                </c:pt>
                <c:pt idx="62">
                  <c:v>-0.28200900618872726</c:v>
                </c:pt>
                <c:pt idx="63">
                  <c:v>-0.10802081698800947</c:v>
                </c:pt>
                <c:pt idx="64">
                  <c:v>-7.6752354888305341E-2</c:v>
                </c:pt>
                <c:pt idx="65">
                  <c:v>-0.49148605039322035</c:v>
                </c:pt>
                <c:pt idx="66">
                  <c:v>-0.49295104851798843</c:v>
                </c:pt>
                <c:pt idx="67">
                  <c:v>-0.65942510409394295</c:v>
                </c:pt>
                <c:pt idx="68">
                  <c:v>-0.84275045694704787</c:v>
                </c:pt>
                <c:pt idx="69">
                  <c:v>-0.45107256960868991</c:v>
                </c:pt>
                <c:pt idx="70">
                  <c:v>-0.70678454126036083</c:v>
                </c:pt>
                <c:pt idx="71">
                  <c:v>-0.68394943747120518</c:v>
                </c:pt>
                <c:pt idx="72">
                  <c:v>-0.78003129643339797</c:v>
                </c:pt>
                <c:pt idx="73">
                  <c:v>-1.2426847439768922</c:v>
                </c:pt>
                <c:pt idx="74">
                  <c:v>-0.91495222189978875</c:v>
                </c:pt>
                <c:pt idx="75">
                  <c:v>-0.78112196630101227</c:v>
                </c:pt>
                <c:pt idx="76">
                  <c:v>-0.43590412518803667</c:v>
                </c:pt>
                <c:pt idx="77">
                  <c:v>-0.12329698889009943</c:v>
                </c:pt>
                <c:pt idx="78">
                  <c:v>-0.17311831578383252</c:v>
                </c:pt>
                <c:pt idx="79">
                  <c:v>-4.12252799750501E-3</c:v>
                </c:pt>
                <c:pt idx="80">
                  <c:v>-0.17664618534542686</c:v>
                </c:pt>
                <c:pt idx="81">
                  <c:v>-0.2152051875818568</c:v>
                </c:pt>
                <c:pt idx="82">
                  <c:v>-0.10390530318906599</c:v>
                </c:pt>
                <c:pt idx="83">
                  <c:v>-5.4799619324423787E-2</c:v>
                </c:pt>
                <c:pt idx="84">
                  <c:v>0.14691054283424165</c:v>
                </c:pt>
                <c:pt idx="85">
                  <c:v>0.25582091817569363</c:v>
                </c:pt>
                <c:pt idx="86">
                  <c:v>0.57383918871135542</c:v>
                </c:pt>
                <c:pt idx="87">
                  <c:v>0.71788157313586431</c:v>
                </c:pt>
                <c:pt idx="88">
                  <c:v>0.69497753888902825</c:v>
                </c:pt>
                <c:pt idx="89">
                  <c:v>0.71365390180430932</c:v>
                </c:pt>
                <c:pt idx="90">
                  <c:v>0.46320147615294704</c:v>
                </c:pt>
                <c:pt idx="91">
                  <c:v>-8.7585925582190249E-2</c:v>
                </c:pt>
                <c:pt idx="92">
                  <c:v>-0.28176094937842766</c:v>
                </c:pt>
                <c:pt idx="93">
                  <c:v>-0.23389469605013691</c:v>
                </c:pt>
                <c:pt idx="94">
                  <c:v>-0.48296260287322479</c:v>
                </c:pt>
                <c:pt idx="95">
                  <c:v>0.27645787082718787</c:v>
                </c:pt>
                <c:pt idx="96">
                  <c:v>0.45650915623341426</c:v>
                </c:pt>
                <c:pt idx="97">
                  <c:v>0.11937005074333573</c:v>
                </c:pt>
                <c:pt idx="98">
                  <c:v>0.45064169555053901</c:v>
                </c:pt>
                <c:pt idx="99">
                  <c:v>4.0519384192840846E-2</c:v>
                </c:pt>
                <c:pt idx="100">
                  <c:v>-0.10145675557081812</c:v>
                </c:pt>
                <c:pt idx="101">
                  <c:v>-4.5423006006187983E-2</c:v>
                </c:pt>
                <c:pt idx="102">
                  <c:v>-0.33162176388724074</c:v>
                </c:pt>
                <c:pt idx="103">
                  <c:v>-0.39356091577148966</c:v>
                </c:pt>
                <c:pt idx="104">
                  <c:v>-0.44731067336464569</c:v>
                </c:pt>
                <c:pt idx="105">
                  <c:v>-0.38052756426681356</c:v>
                </c:pt>
                <c:pt idx="106">
                  <c:v>-0.2550947028942776</c:v>
                </c:pt>
                <c:pt idx="107">
                  <c:v>-0.26431482428403186</c:v>
                </c:pt>
                <c:pt idx="108">
                  <c:v>-0.16061494095111417</c:v>
                </c:pt>
                <c:pt idx="109">
                  <c:v>8.9383068756434092E-2</c:v>
                </c:pt>
                <c:pt idx="110">
                  <c:v>0.23128129928506613</c:v>
                </c:pt>
                <c:pt idx="111">
                  <c:v>0.30317488166754547</c:v>
                </c:pt>
                <c:pt idx="112">
                  <c:v>0.18698626034581256</c:v>
                </c:pt>
                <c:pt idx="113">
                  <c:v>-2.8085489329319202E-2</c:v>
                </c:pt>
                <c:pt idx="114">
                  <c:v>-8.5828618558718262E-2</c:v>
                </c:pt>
                <c:pt idx="115">
                  <c:v>-4.5972398968274319E-2</c:v>
                </c:pt>
                <c:pt idx="116">
                  <c:v>2.4021144767085723E-2</c:v>
                </c:pt>
                <c:pt idx="117">
                  <c:v>0.2351115814238991</c:v>
                </c:pt>
                <c:pt idx="118">
                  <c:v>0.24925757096684542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04-405E-8B9B-45003934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472"/>
        <c:axId val="1027271552"/>
      </c:scatterChart>
      <c:valAx>
        <c:axId val="102726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71552"/>
        <c:crosses val="autoZero"/>
        <c:crossBetween val="midCat"/>
      </c:valAx>
      <c:valAx>
        <c:axId val="1027271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4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SD'!$C$27:$C$145</c:f>
              <c:numCache>
                <c:formatCode>General</c:formatCode>
                <c:ptCount val="119"/>
                <c:pt idx="0">
                  <c:v>-0.74832925065543243</c:v>
                </c:pt>
                <c:pt idx="1">
                  <c:v>-0.65519451187419886</c:v>
                </c:pt>
                <c:pt idx="2">
                  <c:v>-0.86210770111146839</c:v>
                </c:pt>
                <c:pt idx="3">
                  <c:v>-1.0260222198459239</c:v>
                </c:pt>
                <c:pt idx="4">
                  <c:v>-1.1067501198510907</c:v>
                </c:pt>
                <c:pt idx="5">
                  <c:v>-0.52993279333448395</c:v>
                </c:pt>
                <c:pt idx="6">
                  <c:v>0.10781798636177964</c:v>
                </c:pt>
                <c:pt idx="7">
                  <c:v>0.77651888127476543</c:v>
                </c:pt>
                <c:pt idx="8">
                  <c:v>0.88587696189102161</c:v>
                </c:pt>
                <c:pt idx="9">
                  <c:v>0.37270090726537486</c:v>
                </c:pt>
                <c:pt idx="10">
                  <c:v>0.13958309792841472</c:v>
                </c:pt>
                <c:pt idx="11">
                  <c:v>-0.2859428420429948</c:v>
                </c:pt>
                <c:pt idx="12">
                  <c:v>-0.39343630137611818</c:v>
                </c:pt>
                <c:pt idx="13">
                  <c:v>-0.54096413091523488</c:v>
                </c:pt>
                <c:pt idx="14">
                  <c:v>-0.59706661572687647</c:v>
                </c:pt>
                <c:pt idx="15">
                  <c:v>-0.2989817646414572</c:v>
                </c:pt>
                <c:pt idx="16">
                  <c:v>-0.10091815008191407</c:v>
                </c:pt>
                <c:pt idx="17">
                  <c:v>0.53762375118716932</c:v>
                </c:pt>
                <c:pt idx="18">
                  <c:v>0.8295522070395096</c:v>
                </c:pt>
                <c:pt idx="19">
                  <c:v>0.67822135371411463</c:v>
                </c:pt>
                <c:pt idx="20">
                  <c:v>0.78823537117319997</c:v>
                </c:pt>
                <c:pt idx="21">
                  <c:v>0.22473689709679867</c:v>
                </c:pt>
                <c:pt idx="22">
                  <c:v>0.34639826328353607</c:v>
                </c:pt>
                <c:pt idx="23">
                  <c:v>0.6115656980380404</c:v>
                </c:pt>
                <c:pt idx="24">
                  <c:v>0.85882597995334642</c:v>
                </c:pt>
                <c:pt idx="25">
                  <c:v>1.3898711400589931</c:v>
                </c:pt>
                <c:pt idx="26">
                  <c:v>1.4792398157713755</c:v>
                </c:pt>
                <c:pt idx="27">
                  <c:v>1.3426536025065001</c:v>
                </c:pt>
                <c:pt idx="28">
                  <c:v>1.095158890353062</c:v>
                </c:pt>
                <c:pt idx="29">
                  <c:v>0.70643343139718695</c:v>
                </c:pt>
                <c:pt idx="30">
                  <c:v>0.45596809661662618</c:v>
                </c:pt>
                <c:pt idx="31">
                  <c:v>0.41305526640064549</c:v>
                </c:pt>
                <c:pt idx="32">
                  <c:v>-0.2516787824453619</c:v>
                </c:pt>
                <c:pt idx="33">
                  <c:v>-0.13475101889827812</c:v>
                </c:pt>
                <c:pt idx="34">
                  <c:v>-0.42171548992323693</c:v>
                </c:pt>
                <c:pt idx="35">
                  <c:v>-1.0165406744540064</c:v>
                </c:pt>
                <c:pt idx="36">
                  <c:v>-0.46442957880020863</c:v>
                </c:pt>
                <c:pt idx="37">
                  <c:v>-0.70365705509738241</c:v>
                </c:pt>
                <c:pt idx="38">
                  <c:v>-0.55466568304836272</c:v>
                </c:pt>
                <c:pt idx="39">
                  <c:v>0.42646339698422153</c:v>
                </c:pt>
                <c:pt idx="40">
                  <c:v>0.5351291987464375</c:v>
                </c:pt>
                <c:pt idx="41">
                  <c:v>0.55558939134338203</c:v>
                </c:pt>
                <c:pt idx="42">
                  <c:v>0.80948584344817931</c:v>
                </c:pt>
                <c:pt idx="43">
                  <c:v>1.6388517886216647E-3</c:v>
                </c:pt>
                <c:pt idx="44">
                  <c:v>-0.60340358814691974</c:v>
                </c:pt>
                <c:pt idx="45">
                  <c:v>-0.52176302455633206</c:v>
                </c:pt>
                <c:pt idx="46">
                  <c:v>-1.0164087191141471</c:v>
                </c:pt>
                <c:pt idx="47">
                  <c:v>-0.56588424379657631</c:v>
                </c:pt>
                <c:pt idx="48">
                  <c:v>-3.353587122321855E-2</c:v>
                </c:pt>
                <c:pt idx="49">
                  <c:v>2.2268740352759053E-2</c:v>
                </c:pt>
                <c:pt idx="50">
                  <c:v>0.70262636573789727</c:v>
                </c:pt>
                <c:pt idx="51">
                  <c:v>0.96947629935754343</c:v>
                </c:pt>
                <c:pt idx="52">
                  <c:v>1.0176696007837123</c:v>
                </c:pt>
                <c:pt idx="53">
                  <c:v>1.0722993759921557</c:v>
                </c:pt>
                <c:pt idx="54">
                  <c:v>0.91268453369798586</c:v>
                </c:pt>
                <c:pt idx="55">
                  <c:v>0.53963711427112493</c:v>
                </c:pt>
                <c:pt idx="56">
                  <c:v>0.45818170581316586</c:v>
                </c:pt>
                <c:pt idx="57">
                  <c:v>-4.6023794396486295E-2</c:v>
                </c:pt>
                <c:pt idx="58">
                  <c:v>-0.22783278914964455</c:v>
                </c:pt>
                <c:pt idx="59">
                  <c:v>-0.40558242926750587</c:v>
                </c:pt>
                <c:pt idx="60">
                  <c:v>-0.55774292165013861</c:v>
                </c:pt>
                <c:pt idx="61">
                  <c:v>-0.19391936066105941</c:v>
                </c:pt>
                <c:pt idx="62">
                  <c:v>-0.28200900618872726</c:v>
                </c:pt>
                <c:pt idx="63">
                  <c:v>-0.10802081698800947</c:v>
                </c:pt>
                <c:pt idx="64">
                  <c:v>-7.6752354888305341E-2</c:v>
                </c:pt>
                <c:pt idx="65">
                  <c:v>-0.49148605039322035</c:v>
                </c:pt>
                <c:pt idx="66">
                  <c:v>-0.49295104851798843</c:v>
                </c:pt>
                <c:pt idx="67">
                  <c:v>-0.65942510409394295</c:v>
                </c:pt>
                <c:pt idx="68">
                  <c:v>-0.84275045694704787</c:v>
                </c:pt>
                <c:pt idx="69">
                  <c:v>-0.45107256960868991</c:v>
                </c:pt>
                <c:pt idx="70">
                  <c:v>-0.70678454126036083</c:v>
                </c:pt>
                <c:pt idx="71">
                  <c:v>-0.68394943747120518</c:v>
                </c:pt>
                <c:pt idx="72">
                  <c:v>-0.78003129643339797</c:v>
                </c:pt>
                <c:pt idx="73">
                  <c:v>-1.2426847439768922</c:v>
                </c:pt>
                <c:pt idx="74">
                  <c:v>-0.91495222189978875</c:v>
                </c:pt>
                <c:pt idx="75">
                  <c:v>-0.78112196630101227</c:v>
                </c:pt>
                <c:pt idx="76">
                  <c:v>-0.43590412518803667</c:v>
                </c:pt>
                <c:pt idx="77">
                  <c:v>-0.12329698889009943</c:v>
                </c:pt>
                <c:pt idx="78">
                  <c:v>-0.17311831578383252</c:v>
                </c:pt>
                <c:pt idx="79">
                  <c:v>-4.12252799750501E-3</c:v>
                </c:pt>
                <c:pt idx="80">
                  <c:v>-0.17664618534542686</c:v>
                </c:pt>
                <c:pt idx="81">
                  <c:v>-0.2152051875818568</c:v>
                </c:pt>
                <c:pt idx="82">
                  <c:v>-0.10390530318906599</c:v>
                </c:pt>
                <c:pt idx="83">
                  <c:v>-5.4799619324423787E-2</c:v>
                </c:pt>
                <c:pt idx="84">
                  <c:v>0.14691054283424165</c:v>
                </c:pt>
                <c:pt idx="85">
                  <c:v>0.25582091817569363</c:v>
                </c:pt>
                <c:pt idx="86">
                  <c:v>0.57383918871135542</c:v>
                </c:pt>
                <c:pt idx="87">
                  <c:v>0.71788157313586431</c:v>
                </c:pt>
                <c:pt idx="88">
                  <c:v>0.69497753888902825</c:v>
                </c:pt>
                <c:pt idx="89">
                  <c:v>0.71365390180430932</c:v>
                </c:pt>
                <c:pt idx="90">
                  <c:v>0.46320147615294704</c:v>
                </c:pt>
                <c:pt idx="91">
                  <c:v>-8.7585925582190249E-2</c:v>
                </c:pt>
                <c:pt idx="92">
                  <c:v>-0.28176094937842766</c:v>
                </c:pt>
                <c:pt idx="93">
                  <c:v>-0.23389469605013691</c:v>
                </c:pt>
                <c:pt idx="94">
                  <c:v>-0.48296260287322479</c:v>
                </c:pt>
                <c:pt idx="95">
                  <c:v>0.27645787082718787</c:v>
                </c:pt>
                <c:pt idx="96">
                  <c:v>0.45650915623341426</c:v>
                </c:pt>
                <c:pt idx="97">
                  <c:v>0.11937005074333573</c:v>
                </c:pt>
                <c:pt idx="98">
                  <c:v>0.45064169555053901</c:v>
                </c:pt>
                <c:pt idx="99">
                  <c:v>4.0519384192840846E-2</c:v>
                </c:pt>
                <c:pt idx="100">
                  <c:v>-0.10145675557081812</c:v>
                </c:pt>
                <c:pt idx="101">
                  <c:v>-4.5423006006187983E-2</c:v>
                </c:pt>
                <c:pt idx="102">
                  <c:v>-0.33162176388724074</c:v>
                </c:pt>
                <c:pt idx="103">
                  <c:v>-0.39356091577148966</c:v>
                </c:pt>
                <c:pt idx="104">
                  <c:v>-0.44731067336464569</c:v>
                </c:pt>
                <c:pt idx="105">
                  <c:v>-0.38052756426681356</c:v>
                </c:pt>
                <c:pt idx="106">
                  <c:v>-0.2550947028942776</c:v>
                </c:pt>
                <c:pt idx="107">
                  <c:v>-0.26431482428403186</c:v>
                </c:pt>
                <c:pt idx="108">
                  <c:v>-0.16061494095111417</c:v>
                </c:pt>
                <c:pt idx="109">
                  <c:v>8.9383068756434092E-2</c:v>
                </c:pt>
                <c:pt idx="110">
                  <c:v>0.23128129928506613</c:v>
                </c:pt>
                <c:pt idx="111">
                  <c:v>0.30317488166754547</c:v>
                </c:pt>
                <c:pt idx="112">
                  <c:v>0.18698626034581256</c:v>
                </c:pt>
                <c:pt idx="113">
                  <c:v>-2.8085489329319202E-2</c:v>
                </c:pt>
                <c:pt idx="114">
                  <c:v>-8.5828618558718262E-2</c:v>
                </c:pt>
                <c:pt idx="115">
                  <c:v>-4.5972398968274319E-2</c:v>
                </c:pt>
                <c:pt idx="116">
                  <c:v>2.4021144767085723E-2</c:v>
                </c:pt>
                <c:pt idx="117">
                  <c:v>0.2351115814238991</c:v>
                </c:pt>
                <c:pt idx="118">
                  <c:v>0.24925757096684542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74-4AAA-97D3-02223F74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56672"/>
        <c:axId val="1027259072"/>
      </c:scatterChart>
      <c:valAx>
        <c:axId val="102725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59072"/>
        <c:crosses val="autoZero"/>
        <c:crossBetween val="midCat"/>
      </c:valAx>
      <c:valAx>
        <c:axId val="1027259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566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SanDiego!$O$6:$O$124</c:f>
              <c:numCache>
                <c:formatCode>General</c:formatCode>
                <c:ptCount val="119"/>
                <c:pt idx="0">
                  <c:v>0.98903508771929827</c:v>
                </c:pt>
                <c:pt idx="1">
                  <c:v>0.98253275109170302</c:v>
                </c:pt>
                <c:pt idx="2">
                  <c:v>0.98681318681318686</c:v>
                </c:pt>
                <c:pt idx="3">
                  <c:v>0.99115044247787631</c:v>
                </c:pt>
                <c:pt idx="4">
                  <c:v>0.99168514412416864</c:v>
                </c:pt>
                <c:pt idx="5">
                  <c:v>0.99277777777777787</c:v>
                </c:pt>
                <c:pt idx="6">
                  <c:v>0.99721603563474381</c:v>
                </c:pt>
                <c:pt idx="7">
                  <c:v>1.001674107142857</c:v>
                </c:pt>
                <c:pt idx="8">
                  <c:v>0.98378982671883741</c:v>
                </c:pt>
                <c:pt idx="9">
                  <c:v>0.96642417459429208</c:v>
                </c:pt>
                <c:pt idx="10">
                  <c:v>0.96649916247906187</c:v>
                </c:pt>
                <c:pt idx="11">
                  <c:v>0.96657381615598903</c:v>
                </c:pt>
                <c:pt idx="12">
                  <c:v>0.94886363636363624</c:v>
                </c:pt>
                <c:pt idx="13">
                  <c:v>0.93051534452808338</c:v>
                </c:pt>
                <c:pt idx="14">
                  <c:v>0.91738879260543049</c:v>
                </c:pt>
                <c:pt idx="15">
                  <c:v>0.90432276657060506</c:v>
                </c:pt>
                <c:pt idx="16">
                  <c:v>0.92694610778443121</c:v>
                </c:pt>
                <c:pt idx="17">
                  <c:v>0.9502177971375233</c:v>
                </c:pt>
                <c:pt idx="18">
                  <c:v>0.93954659949622166</c:v>
                </c:pt>
                <c:pt idx="19">
                  <c:v>0.92861695347355011</c:v>
                </c:pt>
                <c:pt idx="20">
                  <c:v>0.93410852713178294</c:v>
                </c:pt>
                <c:pt idx="21">
                  <c:v>0.93975114603798293</c:v>
                </c:pt>
                <c:pt idx="22">
                  <c:v>0.96782841823056298</c:v>
                </c:pt>
                <c:pt idx="23">
                  <c:v>0.99725463280713789</c:v>
                </c:pt>
                <c:pt idx="24">
                  <c:v>0.99723374827109257</c:v>
                </c:pt>
                <c:pt idx="25">
                  <c:v>0.99790940766550529</c:v>
                </c:pt>
                <c:pt idx="26">
                  <c:v>1.0353185595567866</c:v>
                </c:pt>
                <c:pt idx="27">
                  <c:v>1.0743289745354438</c:v>
                </c:pt>
                <c:pt idx="28">
                  <c:v>1.0575589459084604</c:v>
                </c:pt>
                <c:pt idx="29">
                  <c:v>1.0405027932960893</c:v>
                </c:pt>
                <c:pt idx="30">
                  <c:v>1.0053511705685618</c:v>
                </c:pt>
                <c:pt idx="31">
                  <c:v>0.97181294042280597</c:v>
                </c:pt>
                <c:pt idx="32">
                  <c:v>1.0295081967213113</c:v>
                </c:pt>
                <c:pt idx="33">
                  <c:v>1.0899328859060402</c:v>
                </c:pt>
                <c:pt idx="34">
                  <c:v>1.0898203592814371</c:v>
                </c:pt>
                <c:pt idx="35">
                  <c:v>1.0889914304548451</c:v>
                </c:pt>
                <c:pt idx="36">
                  <c:v>1.0885350318471338</c:v>
                </c:pt>
                <c:pt idx="37">
                  <c:v>1.0886699507389164</c:v>
                </c:pt>
                <c:pt idx="38">
                  <c:v>1.1202686202686205</c:v>
                </c:pt>
                <c:pt idx="39">
                  <c:v>1.1531476997578693</c:v>
                </c:pt>
                <c:pt idx="40">
                  <c:v>1.1503803393797543</c:v>
                </c:pt>
                <c:pt idx="41">
                  <c:v>1.1476244343891402</c:v>
                </c:pt>
                <c:pt idx="42">
                  <c:v>1.1460490463215258</c:v>
                </c:pt>
                <c:pt idx="43">
                  <c:v>1.1443569553805775</c:v>
                </c:pt>
                <c:pt idx="44">
                  <c:v>1.1068158697863684</c:v>
                </c:pt>
                <c:pt idx="45">
                  <c:v>1.0704780680138</c:v>
                </c:pt>
                <c:pt idx="46">
                  <c:v>1.0337612933903946</c:v>
                </c:pt>
                <c:pt idx="47">
                  <c:v>0.99816513761467895</c:v>
                </c:pt>
                <c:pt idx="48">
                  <c:v>1.064797794117647</c:v>
                </c:pt>
                <c:pt idx="49">
                  <c:v>1.1358195211786373</c:v>
                </c:pt>
                <c:pt idx="50">
                  <c:v>1.2033118675252992</c:v>
                </c:pt>
                <c:pt idx="51">
                  <c:v>1.2113970588235292</c:v>
                </c:pt>
                <c:pt idx="52">
                  <c:v>1.1743634009495036</c:v>
                </c:pt>
                <c:pt idx="53">
                  <c:v>1.0936359951357923</c:v>
                </c:pt>
                <c:pt idx="54">
                  <c:v>1.0420489296636086</c:v>
                </c:pt>
                <c:pt idx="55">
                  <c:v>0.97951441578148712</c:v>
                </c:pt>
                <c:pt idx="56">
                  <c:v>0.95589856670341788</c:v>
                </c:pt>
                <c:pt idx="57">
                  <c:v>0.96553002223869533</c:v>
                </c:pt>
                <c:pt idx="58">
                  <c:v>0.99449743213499631</c:v>
                </c:pt>
                <c:pt idx="59">
                  <c:v>1.0418280402788536</c:v>
                </c:pt>
                <c:pt idx="60">
                  <c:v>1.029988465974625</c:v>
                </c:pt>
                <c:pt idx="61">
                  <c:v>1.0234165067178502</c:v>
                </c:pt>
                <c:pt idx="62">
                  <c:v>0.96753965326447811</c:v>
                </c:pt>
                <c:pt idx="63">
                  <c:v>0.95873605947955387</c:v>
                </c:pt>
                <c:pt idx="64">
                  <c:v>0.97611048898842845</c:v>
                </c:pt>
                <c:pt idx="65">
                  <c:v>0.98799699924981244</c:v>
                </c:pt>
                <c:pt idx="66">
                  <c:v>1.0038124285169652</c:v>
                </c:pt>
                <c:pt idx="67">
                  <c:v>1.0244280728964716</c:v>
                </c:pt>
                <c:pt idx="68">
                  <c:v>1.0309751434034418</c:v>
                </c:pt>
                <c:pt idx="69">
                  <c:v>1.0360668185269553</c:v>
                </c:pt>
                <c:pt idx="70">
                  <c:v>1.0505127231295102</c:v>
                </c:pt>
                <c:pt idx="71">
                  <c:v>1.060560181680545</c:v>
                </c:pt>
                <c:pt idx="72">
                  <c:v>1.0849406528189911</c:v>
                </c:pt>
                <c:pt idx="73">
                  <c:v>1.0736533528765115</c:v>
                </c:pt>
                <c:pt idx="74">
                  <c:v>1.0636297903109184</c:v>
                </c:pt>
                <c:pt idx="75">
                  <c:v>1.0521056388294077</c:v>
                </c:pt>
                <c:pt idx="76">
                  <c:v>1.035897435897436</c:v>
                </c:pt>
                <c:pt idx="77">
                  <c:v>1.0375426621160408</c:v>
                </c:pt>
                <c:pt idx="78">
                  <c:v>1.0455472467709042</c:v>
                </c:pt>
                <c:pt idx="79">
                  <c:v>1.0569877883310719</c:v>
                </c:pt>
                <c:pt idx="80">
                  <c:v>1.0171617161716171</c:v>
                </c:pt>
                <c:pt idx="81">
                  <c:v>1.0072368421052633</c:v>
                </c:pt>
                <c:pt idx="82">
                  <c:v>0.99707412223667102</c:v>
                </c:pt>
                <c:pt idx="83">
                  <c:v>0.96790757381258019</c:v>
                </c:pt>
                <c:pt idx="84">
                  <c:v>0.90460739779364041</c:v>
                </c:pt>
                <c:pt idx="85">
                  <c:v>0.85205747877204441</c:v>
                </c:pt>
                <c:pt idx="86">
                  <c:v>0.86697098141506357</c:v>
                </c:pt>
                <c:pt idx="87">
                  <c:v>0.86405835543766574</c:v>
                </c:pt>
                <c:pt idx="88">
                  <c:v>0.92288378766140611</c:v>
                </c:pt>
                <c:pt idx="89">
                  <c:v>0.96205442698351862</c:v>
                </c:pt>
                <c:pt idx="90">
                  <c:v>0.9277924031590824</c:v>
                </c:pt>
                <c:pt idx="91">
                  <c:v>0.93937068303914051</c:v>
                </c:pt>
                <c:pt idx="92">
                  <c:v>0.92965410027205597</c:v>
                </c:pt>
                <c:pt idx="93">
                  <c:v>0.96334661354581663</c:v>
                </c:pt>
                <c:pt idx="94">
                  <c:v>0.96392379408188078</c:v>
                </c:pt>
                <c:pt idx="95">
                  <c:v>0.96895424836601296</c:v>
                </c:pt>
                <c:pt idx="96">
                  <c:v>1.0296822742474916</c:v>
                </c:pt>
                <c:pt idx="97">
                  <c:v>0.99586435070306034</c:v>
                </c:pt>
                <c:pt idx="98">
                  <c:v>1.0197645079899074</c:v>
                </c:pt>
                <c:pt idx="99">
                  <c:v>1.0881112984822934</c:v>
                </c:pt>
                <c:pt idx="100">
                  <c:v>1.0572472594397078</c:v>
                </c:pt>
                <c:pt idx="101">
                  <c:v>1.0863787375415284</c:v>
                </c:pt>
                <c:pt idx="102">
                  <c:v>1.0849484536082474</c:v>
                </c:pt>
                <c:pt idx="103">
                  <c:v>1.0244091437427354</c:v>
                </c:pt>
                <c:pt idx="104">
                  <c:v>1.0203533026113671</c:v>
                </c:pt>
                <c:pt idx="105">
                  <c:v>1.0263761467889909</c:v>
                </c:pt>
                <c:pt idx="106">
                  <c:v>1.0190041809198023</c:v>
                </c:pt>
                <c:pt idx="107">
                  <c:v>1.0181543116490166</c:v>
                </c:pt>
                <c:pt idx="108">
                  <c:v>1.0248400451637185</c:v>
                </c:pt>
                <c:pt idx="109">
                  <c:v>1.0361266294227187</c:v>
                </c:pt>
                <c:pt idx="110">
                  <c:v>1.0678851174934727</c:v>
                </c:pt>
                <c:pt idx="111">
                  <c:v>1.0806092124814264</c:v>
                </c:pt>
                <c:pt idx="112">
                  <c:v>1.0749173705471906</c:v>
                </c:pt>
                <c:pt idx="113">
                  <c:v>1.0657800143781451</c:v>
                </c:pt>
                <c:pt idx="114">
                  <c:v>1.0482011875654909</c:v>
                </c:pt>
                <c:pt idx="115">
                  <c:v>1.0371261601925061</c:v>
                </c:pt>
                <c:pt idx="116">
                  <c:v>1.0242569183464298</c:v>
                </c:pt>
                <c:pt idx="117">
                  <c:v>1.0323777403035412</c:v>
                </c:pt>
                <c:pt idx="118">
                  <c:v>1.0216594468510496</c:v>
                </c:pt>
              </c:numCache>
            </c:numRef>
          </c:xVal>
          <c:yVal>
            <c:numRef>
              <c:f>'Model1 SD'!$C$27:$C$145</c:f>
              <c:numCache>
                <c:formatCode>General</c:formatCode>
                <c:ptCount val="119"/>
                <c:pt idx="0">
                  <c:v>-0.74832925065543243</c:v>
                </c:pt>
                <c:pt idx="1">
                  <c:v>-0.65519451187419886</c:v>
                </c:pt>
                <c:pt idx="2">
                  <c:v>-0.86210770111146839</c:v>
                </c:pt>
                <c:pt idx="3">
                  <c:v>-1.0260222198459239</c:v>
                </c:pt>
                <c:pt idx="4">
                  <c:v>-1.1067501198510907</c:v>
                </c:pt>
                <c:pt idx="5">
                  <c:v>-0.52993279333448395</c:v>
                </c:pt>
                <c:pt idx="6">
                  <c:v>0.10781798636177964</c:v>
                </c:pt>
                <c:pt idx="7">
                  <c:v>0.77651888127476543</c:v>
                </c:pt>
                <c:pt idx="8">
                  <c:v>0.88587696189102161</c:v>
                </c:pt>
                <c:pt idx="9">
                  <c:v>0.37270090726537486</c:v>
                </c:pt>
                <c:pt idx="10">
                  <c:v>0.13958309792841472</c:v>
                </c:pt>
                <c:pt idx="11">
                  <c:v>-0.2859428420429948</c:v>
                </c:pt>
                <c:pt idx="12">
                  <c:v>-0.39343630137611818</c:v>
                </c:pt>
                <c:pt idx="13">
                  <c:v>-0.54096413091523488</c:v>
                </c:pt>
                <c:pt idx="14">
                  <c:v>-0.59706661572687647</c:v>
                </c:pt>
                <c:pt idx="15">
                  <c:v>-0.2989817646414572</c:v>
                </c:pt>
                <c:pt idx="16">
                  <c:v>-0.10091815008191407</c:v>
                </c:pt>
                <c:pt idx="17">
                  <c:v>0.53762375118716932</c:v>
                </c:pt>
                <c:pt idx="18">
                  <c:v>0.8295522070395096</c:v>
                </c:pt>
                <c:pt idx="19">
                  <c:v>0.67822135371411463</c:v>
                </c:pt>
                <c:pt idx="20">
                  <c:v>0.78823537117319997</c:v>
                </c:pt>
                <c:pt idx="21">
                  <c:v>0.22473689709679867</c:v>
                </c:pt>
                <c:pt idx="22">
                  <c:v>0.34639826328353607</c:v>
                </c:pt>
                <c:pt idx="23">
                  <c:v>0.6115656980380404</c:v>
                </c:pt>
                <c:pt idx="24">
                  <c:v>0.85882597995334642</c:v>
                </c:pt>
                <c:pt idx="25">
                  <c:v>1.3898711400589931</c:v>
                </c:pt>
                <c:pt idx="26">
                  <c:v>1.4792398157713755</c:v>
                </c:pt>
                <c:pt idx="27">
                  <c:v>1.3426536025065001</c:v>
                </c:pt>
                <c:pt idx="28">
                  <c:v>1.095158890353062</c:v>
                </c:pt>
                <c:pt idx="29">
                  <c:v>0.70643343139718695</c:v>
                </c:pt>
                <c:pt idx="30">
                  <c:v>0.45596809661662618</c:v>
                </c:pt>
                <c:pt idx="31">
                  <c:v>0.41305526640064549</c:v>
                </c:pt>
                <c:pt idx="32">
                  <c:v>-0.2516787824453619</c:v>
                </c:pt>
                <c:pt idx="33">
                  <c:v>-0.13475101889827812</c:v>
                </c:pt>
                <c:pt idx="34">
                  <c:v>-0.42171548992323693</c:v>
                </c:pt>
                <c:pt idx="35">
                  <c:v>-1.0165406744540064</c:v>
                </c:pt>
                <c:pt idx="36">
                  <c:v>-0.46442957880020863</c:v>
                </c:pt>
                <c:pt idx="37">
                  <c:v>-0.70365705509738241</c:v>
                </c:pt>
                <c:pt idx="38">
                  <c:v>-0.55466568304836272</c:v>
                </c:pt>
                <c:pt idx="39">
                  <c:v>0.42646339698422153</c:v>
                </c:pt>
                <c:pt idx="40">
                  <c:v>0.5351291987464375</c:v>
                </c:pt>
                <c:pt idx="41">
                  <c:v>0.55558939134338203</c:v>
                </c:pt>
                <c:pt idx="42">
                  <c:v>0.80948584344817931</c:v>
                </c:pt>
                <c:pt idx="43">
                  <c:v>1.6388517886216647E-3</c:v>
                </c:pt>
                <c:pt idx="44">
                  <c:v>-0.60340358814691974</c:v>
                </c:pt>
                <c:pt idx="45">
                  <c:v>-0.52176302455633206</c:v>
                </c:pt>
                <c:pt idx="46">
                  <c:v>-1.0164087191141471</c:v>
                </c:pt>
                <c:pt idx="47">
                  <c:v>-0.56588424379657631</c:v>
                </c:pt>
                <c:pt idx="48">
                  <c:v>-3.353587122321855E-2</c:v>
                </c:pt>
                <c:pt idx="49">
                  <c:v>2.2268740352759053E-2</c:v>
                </c:pt>
                <c:pt idx="50">
                  <c:v>0.70262636573789727</c:v>
                </c:pt>
                <c:pt idx="51">
                  <c:v>0.96947629935754343</c:v>
                </c:pt>
                <c:pt idx="52">
                  <c:v>1.0176696007837123</c:v>
                </c:pt>
                <c:pt idx="53">
                  <c:v>1.0722993759921557</c:v>
                </c:pt>
                <c:pt idx="54">
                  <c:v>0.91268453369798586</c:v>
                </c:pt>
                <c:pt idx="55">
                  <c:v>0.53963711427112493</c:v>
                </c:pt>
                <c:pt idx="56">
                  <c:v>0.45818170581316586</c:v>
                </c:pt>
                <c:pt idx="57">
                  <c:v>-4.6023794396486295E-2</c:v>
                </c:pt>
                <c:pt idx="58">
                  <c:v>-0.22783278914964455</c:v>
                </c:pt>
                <c:pt idx="59">
                  <c:v>-0.40558242926750587</c:v>
                </c:pt>
                <c:pt idx="60">
                  <c:v>-0.55774292165013861</c:v>
                </c:pt>
                <c:pt idx="61">
                  <c:v>-0.19391936066105941</c:v>
                </c:pt>
                <c:pt idx="62">
                  <c:v>-0.28200900618872726</c:v>
                </c:pt>
                <c:pt idx="63">
                  <c:v>-0.10802081698800947</c:v>
                </c:pt>
                <c:pt idx="64">
                  <c:v>-7.6752354888305341E-2</c:v>
                </c:pt>
                <c:pt idx="65">
                  <c:v>-0.49148605039322035</c:v>
                </c:pt>
                <c:pt idx="66">
                  <c:v>-0.49295104851798843</c:v>
                </c:pt>
                <c:pt idx="67">
                  <c:v>-0.65942510409394295</c:v>
                </c:pt>
                <c:pt idx="68">
                  <c:v>-0.84275045694704787</c:v>
                </c:pt>
                <c:pt idx="69">
                  <c:v>-0.45107256960868991</c:v>
                </c:pt>
                <c:pt idx="70">
                  <c:v>-0.70678454126036083</c:v>
                </c:pt>
                <c:pt idx="71">
                  <c:v>-0.68394943747120518</c:v>
                </c:pt>
                <c:pt idx="72">
                  <c:v>-0.78003129643339797</c:v>
                </c:pt>
                <c:pt idx="73">
                  <c:v>-1.2426847439768922</c:v>
                </c:pt>
                <c:pt idx="74">
                  <c:v>-0.91495222189978875</c:v>
                </c:pt>
                <c:pt idx="75">
                  <c:v>-0.78112196630101227</c:v>
                </c:pt>
                <c:pt idx="76">
                  <c:v>-0.43590412518803667</c:v>
                </c:pt>
                <c:pt idx="77">
                  <c:v>-0.12329698889009943</c:v>
                </c:pt>
                <c:pt idx="78">
                  <c:v>-0.17311831578383252</c:v>
                </c:pt>
                <c:pt idx="79">
                  <c:v>-4.12252799750501E-3</c:v>
                </c:pt>
                <c:pt idx="80">
                  <c:v>-0.17664618534542686</c:v>
                </c:pt>
                <c:pt idx="81">
                  <c:v>-0.2152051875818568</c:v>
                </c:pt>
                <c:pt idx="82">
                  <c:v>-0.10390530318906599</c:v>
                </c:pt>
                <c:pt idx="83">
                  <c:v>-5.4799619324423787E-2</c:v>
                </c:pt>
                <c:pt idx="84">
                  <c:v>0.14691054283424165</c:v>
                </c:pt>
                <c:pt idx="85">
                  <c:v>0.25582091817569363</c:v>
                </c:pt>
                <c:pt idx="86">
                  <c:v>0.57383918871135542</c:v>
                </c:pt>
                <c:pt idx="87">
                  <c:v>0.71788157313586431</c:v>
                </c:pt>
                <c:pt idx="88">
                  <c:v>0.69497753888902825</c:v>
                </c:pt>
                <c:pt idx="89">
                  <c:v>0.71365390180430932</c:v>
                </c:pt>
                <c:pt idx="90">
                  <c:v>0.46320147615294704</c:v>
                </c:pt>
                <c:pt idx="91">
                  <c:v>-8.7585925582190249E-2</c:v>
                </c:pt>
                <c:pt idx="92">
                  <c:v>-0.28176094937842766</c:v>
                </c:pt>
                <c:pt idx="93">
                  <c:v>-0.23389469605013691</c:v>
                </c:pt>
                <c:pt idx="94">
                  <c:v>-0.48296260287322479</c:v>
                </c:pt>
                <c:pt idx="95">
                  <c:v>0.27645787082718787</c:v>
                </c:pt>
                <c:pt idx="96">
                  <c:v>0.45650915623341426</c:v>
                </c:pt>
                <c:pt idx="97">
                  <c:v>0.11937005074333573</c:v>
                </c:pt>
                <c:pt idx="98">
                  <c:v>0.45064169555053901</c:v>
                </c:pt>
                <c:pt idx="99">
                  <c:v>4.0519384192840846E-2</c:v>
                </c:pt>
                <c:pt idx="100">
                  <c:v>-0.10145675557081812</c:v>
                </c:pt>
                <c:pt idx="101">
                  <c:v>-4.5423006006187983E-2</c:v>
                </c:pt>
                <c:pt idx="102">
                  <c:v>-0.33162176388724074</c:v>
                </c:pt>
                <c:pt idx="103">
                  <c:v>-0.39356091577148966</c:v>
                </c:pt>
                <c:pt idx="104">
                  <c:v>-0.44731067336464569</c:v>
                </c:pt>
                <c:pt idx="105">
                  <c:v>-0.38052756426681356</c:v>
                </c:pt>
                <c:pt idx="106">
                  <c:v>-0.2550947028942776</c:v>
                </c:pt>
                <c:pt idx="107">
                  <c:v>-0.26431482428403186</c:v>
                </c:pt>
                <c:pt idx="108">
                  <c:v>-0.16061494095111417</c:v>
                </c:pt>
                <c:pt idx="109">
                  <c:v>8.9383068756434092E-2</c:v>
                </c:pt>
                <c:pt idx="110">
                  <c:v>0.23128129928506613</c:v>
                </c:pt>
                <c:pt idx="111">
                  <c:v>0.30317488166754547</c:v>
                </c:pt>
                <c:pt idx="112">
                  <c:v>0.18698626034581256</c:v>
                </c:pt>
                <c:pt idx="113">
                  <c:v>-2.8085489329319202E-2</c:v>
                </c:pt>
                <c:pt idx="114">
                  <c:v>-8.5828618558718262E-2</c:v>
                </c:pt>
                <c:pt idx="115">
                  <c:v>-4.5972398968274319E-2</c:v>
                </c:pt>
                <c:pt idx="116">
                  <c:v>2.4021144767085723E-2</c:v>
                </c:pt>
                <c:pt idx="117">
                  <c:v>0.2351115814238991</c:v>
                </c:pt>
                <c:pt idx="118">
                  <c:v>0.24925757096684542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14-47C0-8BC4-11C7063CC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0992"/>
        <c:axId val="1027256672"/>
      </c:scatterChart>
      <c:valAx>
        <c:axId val="10272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56672"/>
        <c:crosses val="autoZero"/>
        <c:crossBetween val="midCat"/>
      </c:valAx>
      <c:valAx>
        <c:axId val="1027256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09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SanDiego!$M$6:$M$124</c:f>
              <c:numCache>
                <c:formatCode>General</c:formatCode>
                <c:ptCount val="119"/>
                <c:pt idx="0">
                  <c:v>7.2605620000000002</c:v>
                </c:pt>
                <c:pt idx="1">
                  <c:v>6.990926</c:v>
                </c:pt>
                <c:pt idx="2">
                  <c:v>6.8647580000000001</c:v>
                </c:pt>
                <c:pt idx="3">
                  <c:v>6.7820049999999998</c:v>
                </c:pt>
                <c:pt idx="4">
                  <c:v>6.7470939999999997</c:v>
                </c:pt>
                <c:pt idx="5">
                  <c:v>6.635834</c:v>
                </c:pt>
                <c:pt idx="6">
                  <c:v>6.3065910000000001</c:v>
                </c:pt>
                <c:pt idx="7">
                  <c:v>6.0394050000000004</c:v>
                </c:pt>
                <c:pt idx="8">
                  <c:v>5.9403629999999996</c:v>
                </c:pt>
                <c:pt idx="9">
                  <c:v>6.3766299999999996</c:v>
                </c:pt>
                <c:pt idx="10">
                  <c:v>6.6405940000000001</c:v>
                </c:pt>
                <c:pt idx="11">
                  <c:v>7.0249750000000004</c:v>
                </c:pt>
                <c:pt idx="12">
                  <c:v>7.1316389999999998</c:v>
                </c:pt>
                <c:pt idx="13">
                  <c:v>7.110309</c:v>
                </c:pt>
                <c:pt idx="14">
                  <c:v>7.1321880000000002</c:v>
                </c:pt>
                <c:pt idx="15">
                  <c:v>7.0558199999999998</c:v>
                </c:pt>
                <c:pt idx="16">
                  <c:v>7.0827159999999996</c:v>
                </c:pt>
                <c:pt idx="17">
                  <c:v>6.9810350000000003</c:v>
                </c:pt>
                <c:pt idx="18">
                  <c:v>6.976845</c:v>
                </c:pt>
                <c:pt idx="19">
                  <c:v>7.2037399999999998</c:v>
                </c:pt>
                <c:pt idx="20">
                  <c:v>7.3517070000000002</c:v>
                </c:pt>
                <c:pt idx="21">
                  <c:v>7.8217309999999998</c:v>
                </c:pt>
                <c:pt idx="22">
                  <c:v>8.0938680000000005</c:v>
                </c:pt>
                <c:pt idx="23">
                  <c:v>8.2039240000000007</c:v>
                </c:pt>
                <c:pt idx="24">
                  <c:v>8.4061109999999992</c:v>
                </c:pt>
                <c:pt idx="25">
                  <c:v>8.257612</c:v>
                </c:pt>
                <c:pt idx="26">
                  <c:v>8.5246729999999999</c:v>
                </c:pt>
                <c:pt idx="27">
                  <c:v>8.8000950000000007</c:v>
                </c:pt>
                <c:pt idx="28">
                  <c:v>9.2731049999999993</c:v>
                </c:pt>
                <c:pt idx="29">
                  <c:v>9.7258630000000004</c:v>
                </c:pt>
                <c:pt idx="30">
                  <c:v>9.9661539999999995</c:v>
                </c:pt>
                <c:pt idx="31">
                  <c:v>10.001340000000001</c:v>
                </c:pt>
                <c:pt idx="32">
                  <c:v>10.23804</c:v>
                </c:pt>
                <c:pt idx="33">
                  <c:v>10.28138</c:v>
                </c:pt>
                <c:pt idx="34">
                  <c:v>10.357620000000001</c:v>
                </c:pt>
                <c:pt idx="35">
                  <c:v>10.42863</c:v>
                </c:pt>
                <c:pt idx="36">
                  <c:v>9.8047920000000008</c:v>
                </c:pt>
                <c:pt idx="37">
                  <c:v>9.820786</c:v>
                </c:pt>
                <c:pt idx="38">
                  <c:v>9.6115019999999998</c:v>
                </c:pt>
                <c:pt idx="39">
                  <c:v>9.0594830000000002</c:v>
                </c:pt>
                <c:pt idx="40">
                  <c:v>9.0282809999999998</c:v>
                </c:pt>
                <c:pt idx="41">
                  <c:v>8.8127999999999993</c:v>
                </c:pt>
                <c:pt idx="42">
                  <c:v>8.6279149999999998</c:v>
                </c:pt>
                <c:pt idx="43">
                  <c:v>8.9500419999999998</c:v>
                </c:pt>
                <c:pt idx="44">
                  <c:v>9.0167490000000008</c:v>
                </c:pt>
                <c:pt idx="45">
                  <c:v>8.8393990000000002</c:v>
                </c:pt>
                <c:pt idx="46">
                  <c:v>8.8952360000000006</c:v>
                </c:pt>
                <c:pt idx="47">
                  <c:v>8.3658669999999997</c:v>
                </c:pt>
                <c:pt idx="48">
                  <c:v>7.9691960000000002</c:v>
                </c:pt>
                <c:pt idx="49">
                  <c:v>8.0343929999999997</c:v>
                </c:pt>
                <c:pt idx="50">
                  <c:v>7.7351970000000003</c:v>
                </c:pt>
                <c:pt idx="51">
                  <c:v>7.8103619999999996</c:v>
                </c:pt>
                <c:pt idx="52">
                  <c:v>7.7672439999999998</c:v>
                </c:pt>
                <c:pt idx="53">
                  <c:v>7.6363979999999998</c:v>
                </c:pt>
                <c:pt idx="54">
                  <c:v>7.7909259999999998</c:v>
                </c:pt>
                <c:pt idx="55">
                  <c:v>8.0824780000000001</c:v>
                </c:pt>
                <c:pt idx="56">
                  <c:v>8.1743790000000001</c:v>
                </c:pt>
                <c:pt idx="57">
                  <c:v>8.380687</c:v>
                </c:pt>
                <c:pt idx="58">
                  <c:v>8.5181179999999994</c:v>
                </c:pt>
                <c:pt idx="59">
                  <c:v>8.6123010000000004</c:v>
                </c:pt>
                <c:pt idx="60">
                  <c:v>8.7167829999999995</c:v>
                </c:pt>
                <c:pt idx="61">
                  <c:v>8.3812040000000003</c:v>
                </c:pt>
                <c:pt idx="62">
                  <c:v>8.1819050000000004</c:v>
                </c:pt>
                <c:pt idx="63">
                  <c:v>7.9232490000000002</c:v>
                </c:pt>
                <c:pt idx="64">
                  <c:v>7.9041639999999997</c:v>
                </c:pt>
                <c:pt idx="65">
                  <c:v>7.9471959999999999</c:v>
                </c:pt>
                <c:pt idx="66">
                  <c:v>7.8894019999999996</c:v>
                </c:pt>
                <c:pt idx="67">
                  <c:v>7.8474360000000001</c:v>
                </c:pt>
                <c:pt idx="68">
                  <c:v>7.7857130000000003</c:v>
                </c:pt>
                <c:pt idx="69">
                  <c:v>7.4127980000000004</c:v>
                </c:pt>
                <c:pt idx="70">
                  <c:v>7.2848680000000003</c:v>
                </c:pt>
                <c:pt idx="71">
                  <c:v>7.0028709999999998</c:v>
                </c:pt>
                <c:pt idx="72">
                  <c:v>6.7475500000000004</c:v>
                </c:pt>
                <c:pt idx="73">
                  <c:v>6.7550239999999997</c:v>
                </c:pt>
                <c:pt idx="74">
                  <c:v>6.3333880000000002</c:v>
                </c:pt>
                <c:pt idx="75">
                  <c:v>6.0710490000000004</c:v>
                </c:pt>
                <c:pt idx="76">
                  <c:v>5.6566590000000003</c:v>
                </c:pt>
                <c:pt idx="77">
                  <c:v>5.2707699999999997</c:v>
                </c:pt>
                <c:pt idx="78">
                  <c:v>5.2142780000000002</c:v>
                </c:pt>
                <c:pt idx="79">
                  <c:v>5.1161289999999999</c:v>
                </c:pt>
                <c:pt idx="80">
                  <c:v>5.1192840000000004</c:v>
                </c:pt>
                <c:pt idx="81">
                  <c:v>5.0671739999999996</c:v>
                </c:pt>
                <c:pt idx="82">
                  <c:v>4.9299840000000001</c:v>
                </c:pt>
                <c:pt idx="83">
                  <c:v>4.9362440000000003</c:v>
                </c:pt>
                <c:pt idx="84">
                  <c:v>4.8559289999999997</c:v>
                </c:pt>
                <c:pt idx="85">
                  <c:v>4.8139260000000004</c:v>
                </c:pt>
                <c:pt idx="86">
                  <c:v>4.8251860000000004</c:v>
                </c:pt>
                <c:pt idx="87">
                  <c:v>4.9331639999999997</c:v>
                </c:pt>
                <c:pt idx="88">
                  <c:v>5.2299369999999996</c:v>
                </c:pt>
                <c:pt idx="89">
                  <c:v>5.5078779999999998</c:v>
                </c:pt>
                <c:pt idx="90">
                  <c:v>5.8014380000000001</c:v>
                </c:pt>
                <c:pt idx="91">
                  <c:v>6.055021</c:v>
                </c:pt>
                <c:pt idx="92">
                  <c:v>6.1431180000000003</c:v>
                </c:pt>
                <c:pt idx="93">
                  <c:v>6.2865890000000002</c:v>
                </c:pt>
                <c:pt idx="94">
                  <c:v>6.3820240000000004</c:v>
                </c:pt>
                <c:pt idx="95">
                  <c:v>6.0433899999999996</c:v>
                </c:pt>
                <c:pt idx="96">
                  <c:v>6.0038419999999997</c:v>
                </c:pt>
                <c:pt idx="97">
                  <c:v>6.0631300000000001</c:v>
                </c:pt>
                <c:pt idx="98">
                  <c:v>5.8514419999999996</c:v>
                </c:pt>
                <c:pt idx="99">
                  <c:v>6.2449680000000001</c:v>
                </c:pt>
                <c:pt idx="100">
                  <c:v>6.1896079999999998</c:v>
                </c:pt>
                <c:pt idx="101">
                  <c:v>6.0048399999999997</c:v>
                </c:pt>
                <c:pt idx="102">
                  <c:v>6.0430630000000001</c:v>
                </c:pt>
                <c:pt idx="103">
                  <c:v>5.7934369999999999</c:v>
                </c:pt>
                <c:pt idx="104">
                  <c:v>5.7146590000000002</c:v>
                </c:pt>
                <c:pt idx="105">
                  <c:v>5.5011419999999998</c:v>
                </c:pt>
                <c:pt idx="106">
                  <c:v>5.3042059999999998</c:v>
                </c:pt>
                <c:pt idx="107">
                  <c:v>5.2014839999999998</c:v>
                </c:pt>
                <c:pt idx="108">
                  <c:v>5.0866670000000003</c:v>
                </c:pt>
                <c:pt idx="109">
                  <c:v>4.9193020000000001</c:v>
                </c:pt>
                <c:pt idx="110">
                  <c:v>4.8714899999999997</c:v>
                </c:pt>
                <c:pt idx="111">
                  <c:v>4.7515280000000004</c:v>
                </c:pt>
                <c:pt idx="112">
                  <c:v>4.7028699999999999</c:v>
                </c:pt>
                <c:pt idx="113">
                  <c:v>4.7685760000000004</c:v>
                </c:pt>
                <c:pt idx="114">
                  <c:v>4.7654579999999997</c:v>
                </c:pt>
                <c:pt idx="115">
                  <c:v>4.6787280000000004</c:v>
                </c:pt>
                <c:pt idx="116">
                  <c:v>4.5159079999999996</c:v>
                </c:pt>
                <c:pt idx="117">
                  <c:v>4.3826429999999998</c:v>
                </c:pt>
                <c:pt idx="118">
                  <c:v>4.3665690000000001</c:v>
                </c:pt>
              </c:numCache>
            </c:numRef>
          </c:xVal>
          <c:yVal>
            <c:numRef>
              <c:f>'Model 2 SD'!$C$28:$C$146</c:f>
              <c:numCache>
                <c:formatCode>General</c:formatCode>
                <c:ptCount val="119"/>
                <c:pt idx="0">
                  <c:v>-0.79033706719271013</c:v>
                </c:pt>
                <c:pt idx="1">
                  <c:v>-0.73942071364708628</c:v>
                </c:pt>
                <c:pt idx="2">
                  <c:v>-0.94253731608143543</c:v>
                </c:pt>
                <c:pt idx="3">
                  <c:v>-1.0755522150278054</c:v>
                </c:pt>
                <c:pt idx="4">
                  <c:v>-1.1223903479079382</c:v>
                </c:pt>
                <c:pt idx="5">
                  <c:v>-0.44363215820792856</c:v>
                </c:pt>
                <c:pt idx="6">
                  <c:v>0.16330141658354869</c:v>
                </c:pt>
                <c:pt idx="7">
                  <c:v>0.82488009614781266</c:v>
                </c:pt>
                <c:pt idx="8">
                  <c:v>0.98836187001765907</c:v>
                </c:pt>
                <c:pt idx="9">
                  <c:v>0.38141489656262895</c:v>
                </c:pt>
                <c:pt idx="10">
                  <c:v>0.30015300242250209</c:v>
                </c:pt>
                <c:pt idx="11">
                  <c:v>1.5024181411710025E-2</c:v>
                </c:pt>
                <c:pt idx="12">
                  <c:v>-0.20379324560604672</c:v>
                </c:pt>
                <c:pt idx="13">
                  <c:v>-0.41376124455129748</c:v>
                </c:pt>
                <c:pt idx="14">
                  <c:v>-0.59802627052498725</c:v>
                </c:pt>
                <c:pt idx="15">
                  <c:v>-0.38303343186281857</c:v>
                </c:pt>
                <c:pt idx="16">
                  <c:v>-0.20040704503942042</c:v>
                </c:pt>
                <c:pt idx="17">
                  <c:v>0.44722475570084086</c:v>
                </c:pt>
                <c:pt idx="18">
                  <c:v>0.80037562674553264</c:v>
                </c:pt>
                <c:pt idx="19">
                  <c:v>0.65861137955955229</c:v>
                </c:pt>
                <c:pt idx="20">
                  <c:v>0.81539084912409621</c:v>
                </c:pt>
                <c:pt idx="21">
                  <c:v>0.2786781722631968</c:v>
                </c:pt>
                <c:pt idx="22">
                  <c:v>0.38129264647434802</c:v>
                </c:pt>
                <c:pt idx="23">
                  <c:v>0.63176277033224437</c:v>
                </c:pt>
                <c:pt idx="24">
                  <c:v>0.81601605408626732</c:v>
                </c:pt>
                <c:pt idx="25">
                  <c:v>1.2432571444062983</c:v>
                </c:pt>
                <c:pt idx="26">
                  <c:v>1.3791820302252713</c:v>
                </c:pt>
                <c:pt idx="27">
                  <c:v>1.1612314913094348</c:v>
                </c:pt>
                <c:pt idx="28">
                  <c:v>0.99856381791328097</c:v>
                </c:pt>
                <c:pt idx="29">
                  <c:v>0.73489114036126502</c:v>
                </c:pt>
                <c:pt idx="30">
                  <c:v>0.46247736347646651</c:v>
                </c:pt>
                <c:pt idx="31">
                  <c:v>0.46044576108400648</c:v>
                </c:pt>
                <c:pt idx="32">
                  <c:v>-0.19599249264403973</c:v>
                </c:pt>
                <c:pt idx="33">
                  <c:v>-0.15490065264031827</c:v>
                </c:pt>
                <c:pt idx="34">
                  <c:v>-0.433140647334044</c:v>
                </c:pt>
                <c:pt idx="35">
                  <c:v>-0.94446341583659965</c:v>
                </c:pt>
                <c:pt idx="36">
                  <c:v>-0.47141133667823354</c:v>
                </c:pt>
                <c:pt idx="37">
                  <c:v>-0.81531315842726926</c:v>
                </c:pt>
                <c:pt idx="38">
                  <c:v>-0.66220434478253765</c:v>
                </c:pt>
                <c:pt idx="39">
                  <c:v>0.26384907749229924</c:v>
                </c:pt>
                <c:pt idx="40">
                  <c:v>0.33592745342816599</c:v>
                </c:pt>
                <c:pt idx="41">
                  <c:v>0.36500559024360157</c:v>
                </c:pt>
                <c:pt idx="42">
                  <c:v>0.64432784424683298</c:v>
                </c:pt>
                <c:pt idx="43">
                  <c:v>-0.12140630852318424</c:v>
                </c:pt>
                <c:pt idx="44">
                  <c:v>-0.7115735911893406</c:v>
                </c:pt>
                <c:pt idx="45">
                  <c:v>-0.59985338752235151</c:v>
                </c:pt>
                <c:pt idx="46">
                  <c:v>-1.0697743780662963</c:v>
                </c:pt>
                <c:pt idx="47">
                  <c:v>-0.6026377671311991</c:v>
                </c:pt>
                <c:pt idx="48">
                  <c:v>-3.8974721394492207E-2</c:v>
                </c:pt>
                <c:pt idx="49">
                  <c:v>1.8620119505868615E-2</c:v>
                </c:pt>
                <c:pt idx="50">
                  <c:v>0.7114001424514127</c:v>
                </c:pt>
                <c:pt idx="51">
                  <c:v>0.99799078524735307</c:v>
                </c:pt>
                <c:pt idx="52">
                  <c:v>1.0935944587244304</c:v>
                </c:pt>
                <c:pt idx="53">
                  <c:v>1.1446114861871646</c:v>
                </c:pt>
                <c:pt idx="54">
                  <c:v>0.93532300234299193</c:v>
                </c:pt>
                <c:pt idx="55">
                  <c:v>0.49464245602267987</c:v>
                </c:pt>
                <c:pt idx="56">
                  <c:v>0.30620848116133281</c:v>
                </c:pt>
                <c:pt idx="57">
                  <c:v>-0.18417108449964203</c:v>
                </c:pt>
                <c:pt idx="58">
                  <c:v>-0.27124556609712513</c:v>
                </c:pt>
                <c:pt idx="59">
                  <c:v>-0.34354949653715572</c:v>
                </c:pt>
                <c:pt idx="60">
                  <c:v>-0.37436789105810853</c:v>
                </c:pt>
                <c:pt idx="61">
                  <c:v>-0.14021507790164911</c:v>
                </c:pt>
                <c:pt idx="62">
                  <c:v>-0.22821234291904435</c:v>
                </c:pt>
                <c:pt idx="63">
                  <c:v>-9.5643065589774423E-2</c:v>
                </c:pt>
                <c:pt idx="64">
                  <c:v>-7.8103625459291059E-2</c:v>
                </c:pt>
                <c:pt idx="65">
                  <c:v>-0.39701798759296558</c:v>
                </c:pt>
                <c:pt idx="66">
                  <c:v>-0.40056438503780978</c:v>
                </c:pt>
                <c:pt idx="67">
                  <c:v>-0.46178479006952866</c:v>
                </c:pt>
                <c:pt idx="68">
                  <c:v>-0.71105041024112836</c:v>
                </c:pt>
                <c:pt idx="69">
                  <c:v>-0.33941904558892322</c:v>
                </c:pt>
                <c:pt idx="70">
                  <c:v>-0.47650819685972667</c:v>
                </c:pt>
                <c:pt idx="71">
                  <c:v>-0.50896896202479169</c:v>
                </c:pt>
                <c:pt idx="72">
                  <c:v>-0.62718045944684686</c:v>
                </c:pt>
                <c:pt idx="73">
                  <c:v>-1.0881319559870031</c:v>
                </c:pt>
                <c:pt idx="74">
                  <c:v>-0.8435376203393794</c:v>
                </c:pt>
                <c:pt idx="75">
                  <c:v>-0.89760227780635926</c:v>
                </c:pt>
                <c:pt idx="76">
                  <c:v>-0.49469687050725142</c:v>
                </c:pt>
                <c:pt idx="77">
                  <c:v>-0.17362751907119112</c:v>
                </c:pt>
                <c:pt idx="78">
                  <c:v>-0.26705859748392857</c:v>
                </c:pt>
                <c:pt idx="79">
                  <c:v>0.17873351399516935</c:v>
                </c:pt>
                <c:pt idx="80">
                  <c:v>8.2537164021470488E-2</c:v>
                </c:pt>
                <c:pt idx="81">
                  <c:v>5.536042384622597E-2</c:v>
                </c:pt>
                <c:pt idx="82">
                  <c:v>0.30678907296446489</c:v>
                </c:pt>
                <c:pt idx="83">
                  <c:v>-0.12638546292029496</c:v>
                </c:pt>
                <c:pt idx="84">
                  <c:v>-0.12893229383544025</c:v>
                </c:pt>
                <c:pt idx="85">
                  <c:v>-0.157583387467227</c:v>
                </c:pt>
                <c:pt idx="86">
                  <c:v>4.1910476545061748E-2</c:v>
                </c:pt>
                <c:pt idx="87">
                  <c:v>0.65252041018887041</c:v>
                </c:pt>
                <c:pt idx="88">
                  <c:v>0.72587320578288494</c:v>
                </c:pt>
                <c:pt idx="89">
                  <c:v>0.6704715010008373</c:v>
                </c:pt>
                <c:pt idx="90">
                  <c:v>0.41160850416004191</c:v>
                </c:pt>
                <c:pt idx="91">
                  <c:v>-0.13823795186085075</c:v>
                </c:pt>
                <c:pt idx="92">
                  <c:v>-0.23357446197305887</c:v>
                </c:pt>
                <c:pt idx="93">
                  <c:v>2.7384372888716868E-3</c:v>
                </c:pt>
                <c:pt idx="94">
                  <c:v>-0.12927648701242855</c:v>
                </c:pt>
                <c:pt idx="95">
                  <c:v>0.58973211522530278</c:v>
                </c:pt>
                <c:pt idx="96">
                  <c:v>0.66955354284372604</c:v>
                </c:pt>
                <c:pt idx="97">
                  <c:v>0.22418820463685663</c:v>
                </c:pt>
                <c:pt idx="98">
                  <c:v>0.52315732375986101</c:v>
                </c:pt>
                <c:pt idx="99">
                  <c:v>0.12747506930767205</c:v>
                </c:pt>
                <c:pt idx="100">
                  <c:v>-4.7138869816929052E-2</c:v>
                </c:pt>
                <c:pt idx="101">
                  <c:v>-5.9191969120513832E-2</c:v>
                </c:pt>
                <c:pt idx="102">
                  <c:v>-0.38455338214267432</c:v>
                </c:pt>
                <c:pt idx="103">
                  <c:v>-0.47858976586886381</c:v>
                </c:pt>
                <c:pt idx="104">
                  <c:v>-0.50208939254148888</c:v>
                </c:pt>
                <c:pt idx="105">
                  <c:v>-0.33760885777076233</c:v>
                </c:pt>
                <c:pt idx="106">
                  <c:v>-0.24958163674901002</c:v>
                </c:pt>
                <c:pt idx="107">
                  <c:v>-0.33779025168391463</c:v>
                </c:pt>
                <c:pt idx="108">
                  <c:v>-0.40620283860701445</c:v>
                </c:pt>
                <c:pt idx="109">
                  <c:v>-0.15866603035346838</c:v>
                </c:pt>
                <c:pt idx="110">
                  <c:v>-1.6923132346525982E-2</c:v>
                </c:pt>
                <c:pt idx="111">
                  <c:v>8.4355110169277658E-2</c:v>
                </c:pt>
                <c:pt idx="112">
                  <c:v>7.7032979785313316E-2</c:v>
                </c:pt>
                <c:pt idx="113">
                  <c:v>-0.10249702153914697</c:v>
                </c:pt>
                <c:pt idx="114">
                  <c:v>-0.13265370957990008</c:v>
                </c:pt>
                <c:pt idx="115">
                  <c:v>-3.865146731171798E-2</c:v>
                </c:pt>
                <c:pt idx="116">
                  <c:v>0.12300635561179263</c:v>
                </c:pt>
                <c:pt idx="117">
                  <c:v>0.2375147714250998</c:v>
                </c:pt>
                <c:pt idx="118">
                  <c:v>0.26472731061818955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4E-4AC2-B007-C3DE9902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61104"/>
        <c:axId val="1189561584"/>
      </c:scatterChart>
      <c:valAx>
        <c:axId val="118956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61584"/>
        <c:crosses val="autoZero"/>
        <c:crossBetween val="midCat"/>
      </c:valAx>
      <c:valAx>
        <c:axId val="1189561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611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SD'!$C$28:$C$146</c:f>
              <c:numCache>
                <c:formatCode>General</c:formatCode>
                <c:ptCount val="119"/>
                <c:pt idx="0">
                  <c:v>-0.79033706719271013</c:v>
                </c:pt>
                <c:pt idx="1">
                  <c:v>-0.73942071364708628</c:v>
                </c:pt>
                <c:pt idx="2">
                  <c:v>-0.94253731608143543</c:v>
                </c:pt>
                <c:pt idx="3">
                  <c:v>-1.0755522150278054</c:v>
                </c:pt>
                <c:pt idx="4">
                  <c:v>-1.1223903479079382</c:v>
                </c:pt>
                <c:pt idx="5">
                  <c:v>-0.44363215820792856</c:v>
                </c:pt>
                <c:pt idx="6">
                  <c:v>0.16330141658354869</c:v>
                </c:pt>
                <c:pt idx="7">
                  <c:v>0.82488009614781266</c:v>
                </c:pt>
                <c:pt idx="8">
                  <c:v>0.98836187001765907</c:v>
                </c:pt>
                <c:pt idx="9">
                  <c:v>0.38141489656262895</c:v>
                </c:pt>
                <c:pt idx="10">
                  <c:v>0.30015300242250209</c:v>
                </c:pt>
                <c:pt idx="11">
                  <c:v>1.5024181411710025E-2</c:v>
                </c:pt>
                <c:pt idx="12">
                  <c:v>-0.20379324560604672</c:v>
                </c:pt>
                <c:pt idx="13">
                  <c:v>-0.41376124455129748</c:v>
                </c:pt>
                <c:pt idx="14">
                  <c:v>-0.59802627052498725</c:v>
                </c:pt>
                <c:pt idx="15">
                  <c:v>-0.38303343186281857</c:v>
                </c:pt>
                <c:pt idx="16">
                  <c:v>-0.20040704503942042</c:v>
                </c:pt>
                <c:pt idx="17">
                  <c:v>0.44722475570084086</c:v>
                </c:pt>
                <c:pt idx="18">
                  <c:v>0.80037562674553264</c:v>
                </c:pt>
                <c:pt idx="19">
                  <c:v>0.65861137955955229</c:v>
                </c:pt>
                <c:pt idx="20">
                  <c:v>0.81539084912409621</c:v>
                </c:pt>
                <c:pt idx="21">
                  <c:v>0.2786781722631968</c:v>
                </c:pt>
                <c:pt idx="22">
                  <c:v>0.38129264647434802</c:v>
                </c:pt>
                <c:pt idx="23">
                  <c:v>0.63176277033224437</c:v>
                </c:pt>
                <c:pt idx="24">
                  <c:v>0.81601605408626732</c:v>
                </c:pt>
                <c:pt idx="25">
                  <c:v>1.2432571444062983</c:v>
                </c:pt>
                <c:pt idx="26">
                  <c:v>1.3791820302252713</c:v>
                </c:pt>
                <c:pt idx="27">
                  <c:v>1.1612314913094348</c:v>
                </c:pt>
                <c:pt idx="28">
                  <c:v>0.99856381791328097</c:v>
                </c:pt>
                <c:pt idx="29">
                  <c:v>0.73489114036126502</c:v>
                </c:pt>
                <c:pt idx="30">
                  <c:v>0.46247736347646651</c:v>
                </c:pt>
                <c:pt idx="31">
                  <c:v>0.46044576108400648</c:v>
                </c:pt>
                <c:pt idx="32">
                  <c:v>-0.19599249264403973</c:v>
                </c:pt>
                <c:pt idx="33">
                  <c:v>-0.15490065264031827</c:v>
                </c:pt>
                <c:pt idx="34">
                  <c:v>-0.433140647334044</c:v>
                </c:pt>
                <c:pt idx="35">
                  <c:v>-0.94446341583659965</c:v>
                </c:pt>
                <c:pt idx="36">
                  <c:v>-0.47141133667823354</c:v>
                </c:pt>
                <c:pt idx="37">
                  <c:v>-0.81531315842726926</c:v>
                </c:pt>
                <c:pt idx="38">
                  <c:v>-0.66220434478253765</c:v>
                </c:pt>
                <c:pt idx="39">
                  <c:v>0.26384907749229924</c:v>
                </c:pt>
                <c:pt idx="40">
                  <c:v>0.33592745342816599</c:v>
                </c:pt>
                <c:pt idx="41">
                  <c:v>0.36500559024360157</c:v>
                </c:pt>
                <c:pt idx="42">
                  <c:v>0.64432784424683298</c:v>
                </c:pt>
                <c:pt idx="43">
                  <c:v>-0.12140630852318424</c:v>
                </c:pt>
                <c:pt idx="44">
                  <c:v>-0.7115735911893406</c:v>
                </c:pt>
                <c:pt idx="45">
                  <c:v>-0.59985338752235151</c:v>
                </c:pt>
                <c:pt idx="46">
                  <c:v>-1.0697743780662963</c:v>
                </c:pt>
                <c:pt idx="47">
                  <c:v>-0.6026377671311991</c:v>
                </c:pt>
                <c:pt idx="48">
                  <c:v>-3.8974721394492207E-2</c:v>
                </c:pt>
                <c:pt idx="49">
                  <c:v>1.8620119505868615E-2</c:v>
                </c:pt>
                <c:pt idx="50">
                  <c:v>0.7114001424514127</c:v>
                </c:pt>
                <c:pt idx="51">
                  <c:v>0.99799078524735307</c:v>
                </c:pt>
                <c:pt idx="52">
                  <c:v>1.0935944587244304</c:v>
                </c:pt>
                <c:pt idx="53">
                  <c:v>1.1446114861871646</c:v>
                </c:pt>
                <c:pt idx="54">
                  <c:v>0.93532300234299193</c:v>
                </c:pt>
                <c:pt idx="55">
                  <c:v>0.49464245602267987</c:v>
                </c:pt>
                <c:pt idx="56">
                  <c:v>0.30620848116133281</c:v>
                </c:pt>
                <c:pt idx="57">
                  <c:v>-0.18417108449964203</c:v>
                </c:pt>
                <c:pt idx="58">
                  <c:v>-0.27124556609712513</c:v>
                </c:pt>
                <c:pt idx="59">
                  <c:v>-0.34354949653715572</c:v>
                </c:pt>
                <c:pt idx="60">
                  <c:v>-0.37436789105810853</c:v>
                </c:pt>
                <c:pt idx="61">
                  <c:v>-0.14021507790164911</c:v>
                </c:pt>
                <c:pt idx="62">
                  <c:v>-0.22821234291904435</c:v>
                </c:pt>
                <c:pt idx="63">
                  <c:v>-9.5643065589774423E-2</c:v>
                </c:pt>
                <c:pt idx="64">
                  <c:v>-7.8103625459291059E-2</c:v>
                </c:pt>
                <c:pt idx="65">
                  <c:v>-0.39701798759296558</c:v>
                </c:pt>
                <c:pt idx="66">
                  <c:v>-0.40056438503780978</c:v>
                </c:pt>
                <c:pt idx="67">
                  <c:v>-0.46178479006952866</c:v>
                </c:pt>
                <c:pt idx="68">
                  <c:v>-0.71105041024112836</c:v>
                </c:pt>
                <c:pt idx="69">
                  <c:v>-0.33941904558892322</c:v>
                </c:pt>
                <c:pt idx="70">
                  <c:v>-0.47650819685972667</c:v>
                </c:pt>
                <c:pt idx="71">
                  <c:v>-0.50896896202479169</c:v>
                </c:pt>
                <c:pt idx="72">
                  <c:v>-0.62718045944684686</c:v>
                </c:pt>
                <c:pt idx="73">
                  <c:v>-1.0881319559870031</c:v>
                </c:pt>
                <c:pt idx="74">
                  <c:v>-0.8435376203393794</c:v>
                </c:pt>
                <c:pt idx="75">
                  <c:v>-0.89760227780635926</c:v>
                </c:pt>
                <c:pt idx="76">
                  <c:v>-0.49469687050725142</c:v>
                </c:pt>
                <c:pt idx="77">
                  <c:v>-0.17362751907119112</c:v>
                </c:pt>
                <c:pt idx="78">
                  <c:v>-0.26705859748392857</c:v>
                </c:pt>
                <c:pt idx="79">
                  <c:v>0.17873351399516935</c:v>
                </c:pt>
                <c:pt idx="80">
                  <c:v>8.2537164021470488E-2</c:v>
                </c:pt>
                <c:pt idx="81">
                  <c:v>5.536042384622597E-2</c:v>
                </c:pt>
                <c:pt idx="82">
                  <c:v>0.30678907296446489</c:v>
                </c:pt>
                <c:pt idx="83">
                  <c:v>-0.12638546292029496</c:v>
                </c:pt>
                <c:pt idx="84">
                  <c:v>-0.12893229383544025</c:v>
                </c:pt>
                <c:pt idx="85">
                  <c:v>-0.157583387467227</c:v>
                </c:pt>
                <c:pt idx="86">
                  <c:v>4.1910476545061748E-2</c:v>
                </c:pt>
                <c:pt idx="87">
                  <c:v>0.65252041018887041</c:v>
                </c:pt>
                <c:pt idx="88">
                  <c:v>0.72587320578288494</c:v>
                </c:pt>
                <c:pt idx="89">
                  <c:v>0.6704715010008373</c:v>
                </c:pt>
                <c:pt idx="90">
                  <c:v>0.41160850416004191</c:v>
                </c:pt>
                <c:pt idx="91">
                  <c:v>-0.13823795186085075</c:v>
                </c:pt>
                <c:pt idx="92">
                  <c:v>-0.23357446197305887</c:v>
                </c:pt>
                <c:pt idx="93">
                  <c:v>2.7384372888716868E-3</c:v>
                </c:pt>
                <c:pt idx="94">
                  <c:v>-0.12927648701242855</c:v>
                </c:pt>
                <c:pt idx="95">
                  <c:v>0.58973211522530278</c:v>
                </c:pt>
                <c:pt idx="96">
                  <c:v>0.66955354284372604</c:v>
                </c:pt>
                <c:pt idx="97">
                  <c:v>0.22418820463685663</c:v>
                </c:pt>
                <c:pt idx="98">
                  <c:v>0.52315732375986101</c:v>
                </c:pt>
                <c:pt idx="99">
                  <c:v>0.12747506930767205</c:v>
                </c:pt>
                <c:pt idx="100">
                  <c:v>-4.7138869816929052E-2</c:v>
                </c:pt>
                <c:pt idx="101">
                  <c:v>-5.9191969120513832E-2</c:v>
                </c:pt>
                <c:pt idx="102">
                  <c:v>-0.38455338214267432</c:v>
                </c:pt>
                <c:pt idx="103">
                  <c:v>-0.47858976586886381</c:v>
                </c:pt>
                <c:pt idx="104">
                  <c:v>-0.50208939254148888</c:v>
                </c:pt>
                <c:pt idx="105">
                  <c:v>-0.33760885777076233</c:v>
                </c:pt>
                <c:pt idx="106">
                  <c:v>-0.24958163674901002</c:v>
                </c:pt>
                <c:pt idx="107">
                  <c:v>-0.33779025168391463</c:v>
                </c:pt>
                <c:pt idx="108">
                  <c:v>-0.40620283860701445</c:v>
                </c:pt>
                <c:pt idx="109">
                  <c:v>-0.15866603035346838</c:v>
                </c:pt>
                <c:pt idx="110">
                  <c:v>-1.6923132346525982E-2</c:v>
                </c:pt>
                <c:pt idx="111">
                  <c:v>8.4355110169277658E-2</c:v>
                </c:pt>
                <c:pt idx="112">
                  <c:v>7.7032979785313316E-2</c:v>
                </c:pt>
                <c:pt idx="113">
                  <c:v>-0.10249702153914697</c:v>
                </c:pt>
                <c:pt idx="114">
                  <c:v>-0.13265370957990008</c:v>
                </c:pt>
                <c:pt idx="115">
                  <c:v>-3.865146731171798E-2</c:v>
                </c:pt>
                <c:pt idx="116">
                  <c:v>0.12300635561179263</c:v>
                </c:pt>
                <c:pt idx="117">
                  <c:v>0.2375147714250998</c:v>
                </c:pt>
                <c:pt idx="118">
                  <c:v>0.26472731061818955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DE-4915-A51A-86D597E6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52944"/>
        <c:axId val="1189551504"/>
      </c:scatterChart>
      <c:valAx>
        <c:axId val="118955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1504"/>
        <c:crosses val="autoZero"/>
        <c:crossBetween val="midCat"/>
      </c:valAx>
      <c:valAx>
        <c:axId val="1189551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29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SanDiego!$O$6:$O$124</c:f>
              <c:numCache>
                <c:formatCode>General</c:formatCode>
                <c:ptCount val="119"/>
                <c:pt idx="0">
                  <c:v>0.98903508771929827</c:v>
                </c:pt>
                <c:pt idx="1">
                  <c:v>0.98253275109170302</c:v>
                </c:pt>
                <c:pt idx="2">
                  <c:v>0.98681318681318686</c:v>
                </c:pt>
                <c:pt idx="3">
                  <c:v>0.99115044247787631</c:v>
                </c:pt>
                <c:pt idx="4">
                  <c:v>0.99168514412416864</c:v>
                </c:pt>
                <c:pt idx="5">
                  <c:v>0.99277777777777787</c:v>
                </c:pt>
                <c:pt idx="6">
                  <c:v>0.99721603563474381</c:v>
                </c:pt>
                <c:pt idx="7">
                  <c:v>1.001674107142857</c:v>
                </c:pt>
                <c:pt idx="8">
                  <c:v>0.98378982671883741</c:v>
                </c:pt>
                <c:pt idx="9">
                  <c:v>0.96642417459429208</c:v>
                </c:pt>
                <c:pt idx="10">
                  <c:v>0.96649916247906187</c:v>
                </c:pt>
                <c:pt idx="11">
                  <c:v>0.96657381615598903</c:v>
                </c:pt>
                <c:pt idx="12">
                  <c:v>0.94886363636363624</c:v>
                </c:pt>
                <c:pt idx="13">
                  <c:v>0.93051534452808338</c:v>
                </c:pt>
                <c:pt idx="14">
                  <c:v>0.91738879260543049</c:v>
                </c:pt>
                <c:pt idx="15">
                  <c:v>0.90432276657060506</c:v>
                </c:pt>
                <c:pt idx="16">
                  <c:v>0.92694610778443121</c:v>
                </c:pt>
                <c:pt idx="17">
                  <c:v>0.9502177971375233</c:v>
                </c:pt>
                <c:pt idx="18">
                  <c:v>0.93954659949622166</c:v>
                </c:pt>
                <c:pt idx="19">
                  <c:v>0.92861695347355011</c:v>
                </c:pt>
                <c:pt idx="20">
                  <c:v>0.93410852713178294</c:v>
                </c:pt>
                <c:pt idx="21">
                  <c:v>0.93975114603798293</c:v>
                </c:pt>
                <c:pt idx="22">
                  <c:v>0.96782841823056298</c:v>
                </c:pt>
                <c:pt idx="23">
                  <c:v>0.99725463280713789</c:v>
                </c:pt>
                <c:pt idx="24">
                  <c:v>0.99723374827109257</c:v>
                </c:pt>
                <c:pt idx="25">
                  <c:v>0.99790940766550529</c:v>
                </c:pt>
                <c:pt idx="26">
                  <c:v>1.0353185595567866</c:v>
                </c:pt>
                <c:pt idx="27">
                  <c:v>1.0743289745354438</c:v>
                </c:pt>
                <c:pt idx="28">
                  <c:v>1.0575589459084604</c:v>
                </c:pt>
                <c:pt idx="29">
                  <c:v>1.0405027932960893</c:v>
                </c:pt>
                <c:pt idx="30">
                  <c:v>1.0053511705685618</c:v>
                </c:pt>
                <c:pt idx="31">
                  <c:v>0.97181294042280597</c:v>
                </c:pt>
                <c:pt idx="32">
                  <c:v>1.0295081967213113</c:v>
                </c:pt>
                <c:pt idx="33">
                  <c:v>1.0899328859060402</c:v>
                </c:pt>
                <c:pt idx="34">
                  <c:v>1.0898203592814371</c:v>
                </c:pt>
                <c:pt idx="35">
                  <c:v>1.0889914304548451</c:v>
                </c:pt>
                <c:pt idx="36">
                  <c:v>1.0885350318471338</c:v>
                </c:pt>
                <c:pt idx="37">
                  <c:v>1.0886699507389164</c:v>
                </c:pt>
                <c:pt idx="38">
                  <c:v>1.1202686202686205</c:v>
                </c:pt>
                <c:pt idx="39">
                  <c:v>1.1531476997578693</c:v>
                </c:pt>
                <c:pt idx="40">
                  <c:v>1.1503803393797543</c:v>
                </c:pt>
                <c:pt idx="41">
                  <c:v>1.1476244343891402</c:v>
                </c:pt>
                <c:pt idx="42">
                  <c:v>1.1460490463215258</c:v>
                </c:pt>
                <c:pt idx="43">
                  <c:v>1.1443569553805775</c:v>
                </c:pt>
                <c:pt idx="44">
                  <c:v>1.1068158697863684</c:v>
                </c:pt>
                <c:pt idx="45">
                  <c:v>1.0704780680138</c:v>
                </c:pt>
                <c:pt idx="46">
                  <c:v>1.0337612933903946</c:v>
                </c:pt>
                <c:pt idx="47">
                  <c:v>0.99816513761467895</c:v>
                </c:pt>
                <c:pt idx="48">
                  <c:v>1.064797794117647</c:v>
                </c:pt>
                <c:pt idx="49">
                  <c:v>1.1358195211786373</c:v>
                </c:pt>
                <c:pt idx="50">
                  <c:v>1.2033118675252992</c:v>
                </c:pt>
                <c:pt idx="51">
                  <c:v>1.2113970588235292</c:v>
                </c:pt>
                <c:pt idx="52">
                  <c:v>1.1743634009495036</c:v>
                </c:pt>
                <c:pt idx="53">
                  <c:v>1.0936359951357923</c:v>
                </c:pt>
                <c:pt idx="54">
                  <c:v>1.0420489296636086</c:v>
                </c:pt>
                <c:pt idx="55">
                  <c:v>0.97951441578148712</c:v>
                </c:pt>
                <c:pt idx="56">
                  <c:v>0.95589856670341788</c:v>
                </c:pt>
                <c:pt idx="57">
                  <c:v>0.96553002223869533</c:v>
                </c:pt>
                <c:pt idx="58">
                  <c:v>0.99449743213499631</c:v>
                </c:pt>
                <c:pt idx="59">
                  <c:v>1.0418280402788536</c:v>
                </c:pt>
                <c:pt idx="60">
                  <c:v>1.029988465974625</c:v>
                </c:pt>
                <c:pt idx="61">
                  <c:v>1.0234165067178502</c:v>
                </c:pt>
                <c:pt idx="62">
                  <c:v>0.96753965326447811</c:v>
                </c:pt>
                <c:pt idx="63">
                  <c:v>0.95873605947955387</c:v>
                </c:pt>
                <c:pt idx="64">
                  <c:v>0.97611048898842845</c:v>
                </c:pt>
                <c:pt idx="65">
                  <c:v>0.98799699924981244</c:v>
                </c:pt>
                <c:pt idx="66">
                  <c:v>1.0038124285169652</c:v>
                </c:pt>
                <c:pt idx="67">
                  <c:v>1.0244280728964716</c:v>
                </c:pt>
                <c:pt idx="68">
                  <c:v>1.0309751434034418</c:v>
                </c:pt>
                <c:pt idx="69">
                  <c:v>1.0360668185269553</c:v>
                </c:pt>
                <c:pt idx="70">
                  <c:v>1.0505127231295102</c:v>
                </c:pt>
                <c:pt idx="71">
                  <c:v>1.060560181680545</c:v>
                </c:pt>
                <c:pt idx="72">
                  <c:v>1.0849406528189911</c:v>
                </c:pt>
                <c:pt idx="73">
                  <c:v>1.0736533528765115</c:v>
                </c:pt>
                <c:pt idx="74">
                  <c:v>1.0636297903109184</c:v>
                </c:pt>
                <c:pt idx="75">
                  <c:v>1.0521056388294077</c:v>
                </c:pt>
                <c:pt idx="76">
                  <c:v>1.035897435897436</c:v>
                </c:pt>
                <c:pt idx="77">
                  <c:v>1.0375426621160408</c:v>
                </c:pt>
                <c:pt idx="78">
                  <c:v>1.0455472467709042</c:v>
                </c:pt>
                <c:pt idx="79">
                  <c:v>1.0569877883310719</c:v>
                </c:pt>
                <c:pt idx="80">
                  <c:v>1.0171617161716171</c:v>
                </c:pt>
                <c:pt idx="81">
                  <c:v>1.0072368421052633</c:v>
                </c:pt>
                <c:pt idx="82">
                  <c:v>0.99707412223667102</c:v>
                </c:pt>
                <c:pt idx="83">
                  <c:v>0.96790757381258019</c:v>
                </c:pt>
                <c:pt idx="84">
                  <c:v>0.90460739779364041</c:v>
                </c:pt>
                <c:pt idx="85">
                  <c:v>0.85205747877204441</c:v>
                </c:pt>
                <c:pt idx="86">
                  <c:v>0.86697098141506357</c:v>
                </c:pt>
                <c:pt idx="87">
                  <c:v>0.86405835543766574</c:v>
                </c:pt>
                <c:pt idx="88">
                  <c:v>0.92288378766140611</c:v>
                </c:pt>
                <c:pt idx="89">
                  <c:v>0.96205442698351862</c:v>
                </c:pt>
                <c:pt idx="90">
                  <c:v>0.9277924031590824</c:v>
                </c:pt>
                <c:pt idx="91">
                  <c:v>0.93937068303914051</c:v>
                </c:pt>
                <c:pt idx="92">
                  <c:v>0.92965410027205597</c:v>
                </c:pt>
                <c:pt idx="93">
                  <c:v>0.96334661354581663</c:v>
                </c:pt>
                <c:pt idx="94">
                  <c:v>0.96392379408188078</c:v>
                </c:pt>
                <c:pt idx="95">
                  <c:v>0.96895424836601296</c:v>
                </c:pt>
                <c:pt idx="96">
                  <c:v>1.0296822742474916</c:v>
                </c:pt>
                <c:pt idx="97">
                  <c:v>0.99586435070306034</c:v>
                </c:pt>
                <c:pt idx="98">
                  <c:v>1.0197645079899074</c:v>
                </c:pt>
                <c:pt idx="99">
                  <c:v>1.0881112984822934</c:v>
                </c:pt>
                <c:pt idx="100">
                  <c:v>1.0572472594397078</c:v>
                </c:pt>
                <c:pt idx="101">
                  <c:v>1.0863787375415284</c:v>
                </c:pt>
                <c:pt idx="102">
                  <c:v>1.0849484536082474</c:v>
                </c:pt>
                <c:pt idx="103">
                  <c:v>1.0244091437427354</c:v>
                </c:pt>
                <c:pt idx="104">
                  <c:v>1.0203533026113671</c:v>
                </c:pt>
                <c:pt idx="105">
                  <c:v>1.0263761467889909</c:v>
                </c:pt>
                <c:pt idx="106">
                  <c:v>1.0190041809198023</c:v>
                </c:pt>
                <c:pt idx="107">
                  <c:v>1.0181543116490166</c:v>
                </c:pt>
                <c:pt idx="108">
                  <c:v>1.0248400451637185</c:v>
                </c:pt>
                <c:pt idx="109">
                  <c:v>1.0361266294227187</c:v>
                </c:pt>
                <c:pt idx="110">
                  <c:v>1.0678851174934727</c:v>
                </c:pt>
                <c:pt idx="111">
                  <c:v>1.0806092124814264</c:v>
                </c:pt>
                <c:pt idx="112">
                  <c:v>1.0749173705471906</c:v>
                </c:pt>
                <c:pt idx="113">
                  <c:v>1.0657800143781451</c:v>
                </c:pt>
                <c:pt idx="114">
                  <c:v>1.0482011875654909</c:v>
                </c:pt>
                <c:pt idx="115">
                  <c:v>1.0371261601925061</c:v>
                </c:pt>
                <c:pt idx="116">
                  <c:v>1.0242569183464298</c:v>
                </c:pt>
                <c:pt idx="117">
                  <c:v>1.0323777403035412</c:v>
                </c:pt>
                <c:pt idx="118">
                  <c:v>1.0216594468510496</c:v>
                </c:pt>
              </c:numCache>
            </c:numRef>
          </c:xVal>
          <c:yVal>
            <c:numRef>
              <c:f>'Model 2 SD'!$C$28:$C$146</c:f>
              <c:numCache>
                <c:formatCode>General</c:formatCode>
                <c:ptCount val="119"/>
                <c:pt idx="0">
                  <c:v>-0.79033706719271013</c:v>
                </c:pt>
                <c:pt idx="1">
                  <c:v>-0.73942071364708628</c:v>
                </c:pt>
                <c:pt idx="2">
                  <c:v>-0.94253731608143543</c:v>
                </c:pt>
                <c:pt idx="3">
                  <c:v>-1.0755522150278054</c:v>
                </c:pt>
                <c:pt idx="4">
                  <c:v>-1.1223903479079382</c:v>
                </c:pt>
                <c:pt idx="5">
                  <c:v>-0.44363215820792856</c:v>
                </c:pt>
                <c:pt idx="6">
                  <c:v>0.16330141658354869</c:v>
                </c:pt>
                <c:pt idx="7">
                  <c:v>0.82488009614781266</c:v>
                </c:pt>
                <c:pt idx="8">
                  <c:v>0.98836187001765907</c:v>
                </c:pt>
                <c:pt idx="9">
                  <c:v>0.38141489656262895</c:v>
                </c:pt>
                <c:pt idx="10">
                  <c:v>0.30015300242250209</c:v>
                </c:pt>
                <c:pt idx="11">
                  <c:v>1.5024181411710025E-2</c:v>
                </c:pt>
                <c:pt idx="12">
                  <c:v>-0.20379324560604672</c:v>
                </c:pt>
                <c:pt idx="13">
                  <c:v>-0.41376124455129748</c:v>
                </c:pt>
                <c:pt idx="14">
                  <c:v>-0.59802627052498725</c:v>
                </c:pt>
                <c:pt idx="15">
                  <c:v>-0.38303343186281857</c:v>
                </c:pt>
                <c:pt idx="16">
                  <c:v>-0.20040704503942042</c:v>
                </c:pt>
                <c:pt idx="17">
                  <c:v>0.44722475570084086</c:v>
                </c:pt>
                <c:pt idx="18">
                  <c:v>0.80037562674553264</c:v>
                </c:pt>
                <c:pt idx="19">
                  <c:v>0.65861137955955229</c:v>
                </c:pt>
                <c:pt idx="20">
                  <c:v>0.81539084912409621</c:v>
                </c:pt>
                <c:pt idx="21">
                  <c:v>0.2786781722631968</c:v>
                </c:pt>
                <c:pt idx="22">
                  <c:v>0.38129264647434802</c:v>
                </c:pt>
                <c:pt idx="23">
                  <c:v>0.63176277033224437</c:v>
                </c:pt>
                <c:pt idx="24">
                  <c:v>0.81601605408626732</c:v>
                </c:pt>
                <c:pt idx="25">
                  <c:v>1.2432571444062983</c:v>
                </c:pt>
                <c:pt idx="26">
                  <c:v>1.3791820302252713</c:v>
                </c:pt>
                <c:pt idx="27">
                  <c:v>1.1612314913094348</c:v>
                </c:pt>
                <c:pt idx="28">
                  <c:v>0.99856381791328097</c:v>
                </c:pt>
                <c:pt idx="29">
                  <c:v>0.73489114036126502</c:v>
                </c:pt>
                <c:pt idx="30">
                  <c:v>0.46247736347646651</c:v>
                </c:pt>
                <c:pt idx="31">
                  <c:v>0.46044576108400648</c:v>
                </c:pt>
                <c:pt idx="32">
                  <c:v>-0.19599249264403973</c:v>
                </c:pt>
                <c:pt idx="33">
                  <c:v>-0.15490065264031827</c:v>
                </c:pt>
                <c:pt idx="34">
                  <c:v>-0.433140647334044</c:v>
                </c:pt>
                <c:pt idx="35">
                  <c:v>-0.94446341583659965</c:v>
                </c:pt>
                <c:pt idx="36">
                  <c:v>-0.47141133667823354</c:v>
                </c:pt>
                <c:pt idx="37">
                  <c:v>-0.81531315842726926</c:v>
                </c:pt>
                <c:pt idx="38">
                  <c:v>-0.66220434478253765</c:v>
                </c:pt>
                <c:pt idx="39">
                  <c:v>0.26384907749229924</c:v>
                </c:pt>
                <c:pt idx="40">
                  <c:v>0.33592745342816599</c:v>
                </c:pt>
                <c:pt idx="41">
                  <c:v>0.36500559024360157</c:v>
                </c:pt>
                <c:pt idx="42">
                  <c:v>0.64432784424683298</c:v>
                </c:pt>
                <c:pt idx="43">
                  <c:v>-0.12140630852318424</c:v>
                </c:pt>
                <c:pt idx="44">
                  <c:v>-0.7115735911893406</c:v>
                </c:pt>
                <c:pt idx="45">
                  <c:v>-0.59985338752235151</c:v>
                </c:pt>
                <c:pt idx="46">
                  <c:v>-1.0697743780662963</c:v>
                </c:pt>
                <c:pt idx="47">
                  <c:v>-0.6026377671311991</c:v>
                </c:pt>
                <c:pt idx="48">
                  <c:v>-3.8974721394492207E-2</c:v>
                </c:pt>
                <c:pt idx="49">
                  <c:v>1.8620119505868615E-2</c:v>
                </c:pt>
                <c:pt idx="50">
                  <c:v>0.7114001424514127</c:v>
                </c:pt>
                <c:pt idx="51">
                  <c:v>0.99799078524735307</c:v>
                </c:pt>
                <c:pt idx="52">
                  <c:v>1.0935944587244304</c:v>
                </c:pt>
                <c:pt idx="53">
                  <c:v>1.1446114861871646</c:v>
                </c:pt>
                <c:pt idx="54">
                  <c:v>0.93532300234299193</c:v>
                </c:pt>
                <c:pt idx="55">
                  <c:v>0.49464245602267987</c:v>
                </c:pt>
                <c:pt idx="56">
                  <c:v>0.30620848116133281</c:v>
                </c:pt>
                <c:pt idx="57">
                  <c:v>-0.18417108449964203</c:v>
                </c:pt>
                <c:pt idx="58">
                  <c:v>-0.27124556609712513</c:v>
                </c:pt>
                <c:pt idx="59">
                  <c:v>-0.34354949653715572</c:v>
                </c:pt>
                <c:pt idx="60">
                  <c:v>-0.37436789105810853</c:v>
                </c:pt>
                <c:pt idx="61">
                  <c:v>-0.14021507790164911</c:v>
                </c:pt>
                <c:pt idx="62">
                  <c:v>-0.22821234291904435</c:v>
                </c:pt>
                <c:pt idx="63">
                  <c:v>-9.5643065589774423E-2</c:v>
                </c:pt>
                <c:pt idx="64">
                  <c:v>-7.8103625459291059E-2</c:v>
                </c:pt>
                <c:pt idx="65">
                  <c:v>-0.39701798759296558</c:v>
                </c:pt>
                <c:pt idx="66">
                  <c:v>-0.40056438503780978</c:v>
                </c:pt>
                <c:pt idx="67">
                  <c:v>-0.46178479006952866</c:v>
                </c:pt>
                <c:pt idx="68">
                  <c:v>-0.71105041024112836</c:v>
                </c:pt>
                <c:pt idx="69">
                  <c:v>-0.33941904558892322</c:v>
                </c:pt>
                <c:pt idx="70">
                  <c:v>-0.47650819685972667</c:v>
                </c:pt>
                <c:pt idx="71">
                  <c:v>-0.50896896202479169</c:v>
                </c:pt>
                <c:pt idx="72">
                  <c:v>-0.62718045944684686</c:v>
                </c:pt>
                <c:pt idx="73">
                  <c:v>-1.0881319559870031</c:v>
                </c:pt>
                <c:pt idx="74">
                  <c:v>-0.8435376203393794</c:v>
                </c:pt>
                <c:pt idx="75">
                  <c:v>-0.89760227780635926</c:v>
                </c:pt>
                <c:pt idx="76">
                  <c:v>-0.49469687050725142</c:v>
                </c:pt>
                <c:pt idx="77">
                  <c:v>-0.17362751907119112</c:v>
                </c:pt>
                <c:pt idx="78">
                  <c:v>-0.26705859748392857</c:v>
                </c:pt>
                <c:pt idx="79">
                  <c:v>0.17873351399516935</c:v>
                </c:pt>
                <c:pt idx="80">
                  <c:v>8.2537164021470488E-2</c:v>
                </c:pt>
                <c:pt idx="81">
                  <c:v>5.536042384622597E-2</c:v>
                </c:pt>
                <c:pt idx="82">
                  <c:v>0.30678907296446489</c:v>
                </c:pt>
                <c:pt idx="83">
                  <c:v>-0.12638546292029496</c:v>
                </c:pt>
                <c:pt idx="84">
                  <c:v>-0.12893229383544025</c:v>
                </c:pt>
                <c:pt idx="85">
                  <c:v>-0.157583387467227</c:v>
                </c:pt>
                <c:pt idx="86">
                  <c:v>4.1910476545061748E-2</c:v>
                </c:pt>
                <c:pt idx="87">
                  <c:v>0.65252041018887041</c:v>
                </c:pt>
                <c:pt idx="88">
                  <c:v>0.72587320578288494</c:v>
                </c:pt>
                <c:pt idx="89">
                  <c:v>0.6704715010008373</c:v>
                </c:pt>
                <c:pt idx="90">
                  <c:v>0.41160850416004191</c:v>
                </c:pt>
                <c:pt idx="91">
                  <c:v>-0.13823795186085075</c:v>
                </c:pt>
                <c:pt idx="92">
                  <c:v>-0.23357446197305887</c:v>
                </c:pt>
                <c:pt idx="93">
                  <c:v>2.7384372888716868E-3</c:v>
                </c:pt>
                <c:pt idx="94">
                  <c:v>-0.12927648701242855</c:v>
                </c:pt>
                <c:pt idx="95">
                  <c:v>0.58973211522530278</c:v>
                </c:pt>
                <c:pt idx="96">
                  <c:v>0.66955354284372604</c:v>
                </c:pt>
                <c:pt idx="97">
                  <c:v>0.22418820463685663</c:v>
                </c:pt>
                <c:pt idx="98">
                  <c:v>0.52315732375986101</c:v>
                </c:pt>
                <c:pt idx="99">
                  <c:v>0.12747506930767205</c:v>
                </c:pt>
                <c:pt idx="100">
                  <c:v>-4.7138869816929052E-2</c:v>
                </c:pt>
                <c:pt idx="101">
                  <c:v>-5.9191969120513832E-2</c:v>
                </c:pt>
                <c:pt idx="102">
                  <c:v>-0.38455338214267432</c:v>
                </c:pt>
                <c:pt idx="103">
                  <c:v>-0.47858976586886381</c:v>
                </c:pt>
                <c:pt idx="104">
                  <c:v>-0.50208939254148888</c:v>
                </c:pt>
                <c:pt idx="105">
                  <c:v>-0.33760885777076233</c:v>
                </c:pt>
                <c:pt idx="106">
                  <c:v>-0.24958163674901002</c:v>
                </c:pt>
                <c:pt idx="107">
                  <c:v>-0.33779025168391463</c:v>
                </c:pt>
                <c:pt idx="108">
                  <c:v>-0.40620283860701445</c:v>
                </c:pt>
                <c:pt idx="109">
                  <c:v>-0.15866603035346838</c:v>
                </c:pt>
                <c:pt idx="110">
                  <c:v>-1.6923132346525982E-2</c:v>
                </c:pt>
                <c:pt idx="111">
                  <c:v>8.4355110169277658E-2</c:v>
                </c:pt>
                <c:pt idx="112">
                  <c:v>7.7032979785313316E-2</c:v>
                </c:pt>
                <c:pt idx="113">
                  <c:v>-0.10249702153914697</c:v>
                </c:pt>
                <c:pt idx="114">
                  <c:v>-0.13265370957990008</c:v>
                </c:pt>
                <c:pt idx="115">
                  <c:v>-3.865146731171798E-2</c:v>
                </c:pt>
                <c:pt idx="116">
                  <c:v>0.12300635561179263</c:v>
                </c:pt>
                <c:pt idx="117">
                  <c:v>0.2375147714250998</c:v>
                </c:pt>
                <c:pt idx="118">
                  <c:v>0.26472731061818955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FE-4051-B4D4-B8AB586B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54384"/>
        <c:axId val="1189563024"/>
      </c:scatterChart>
      <c:valAx>
        <c:axId val="118955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63024"/>
        <c:crosses val="autoZero"/>
        <c:crossBetween val="midCat"/>
      </c:valAx>
      <c:valAx>
        <c:axId val="1189563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43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SanDiego!$P$6:$P$124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SD'!$C$28:$C$146</c:f>
              <c:numCache>
                <c:formatCode>General</c:formatCode>
                <c:ptCount val="119"/>
                <c:pt idx="0">
                  <c:v>-0.79033706719271013</c:v>
                </c:pt>
                <c:pt idx="1">
                  <c:v>-0.73942071364708628</c:v>
                </c:pt>
                <c:pt idx="2">
                  <c:v>-0.94253731608143543</c:v>
                </c:pt>
                <c:pt idx="3">
                  <c:v>-1.0755522150278054</c:v>
                </c:pt>
                <c:pt idx="4">
                  <c:v>-1.1223903479079382</c:v>
                </c:pt>
                <c:pt idx="5">
                  <c:v>-0.44363215820792856</c:v>
                </c:pt>
                <c:pt idx="6">
                  <c:v>0.16330141658354869</c:v>
                </c:pt>
                <c:pt idx="7">
                  <c:v>0.82488009614781266</c:v>
                </c:pt>
                <c:pt idx="8">
                  <c:v>0.98836187001765907</c:v>
                </c:pt>
                <c:pt idx="9">
                  <c:v>0.38141489656262895</c:v>
                </c:pt>
                <c:pt idx="10">
                  <c:v>0.30015300242250209</c:v>
                </c:pt>
                <c:pt idx="11">
                  <c:v>1.5024181411710025E-2</c:v>
                </c:pt>
                <c:pt idx="12">
                  <c:v>-0.20379324560604672</c:v>
                </c:pt>
                <c:pt idx="13">
                  <c:v>-0.41376124455129748</c:v>
                </c:pt>
                <c:pt idx="14">
                  <c:v>-0.59802627052498725</c:v>
                </c:pt>
                <c:pt idx="15">
                  <c:v>-0.38303343186281857</c:v>
                </c:pt>
                <c:pt idx="16">
                  <c:v>-0.20040704503942042</c:v>
                </c:pt>
                <c:pt idx="17">
                  <c:v>0.44722475570084086</c:v>
                </c:pt>
                <c:pt idx="18">
                  <c:v>0.80037562674553264</c:v>
                </c:pt>
                <c:pt idx="19">
                  <c:v>0.65861137955955229</c:v>
                </c:pt>
                <c:pt idx="20">
                  <c:v>0.81539084912409621</c:v>
                </c:pt>
                <c:pt idx="21">
                  <c:v>0.2786781722631968</c:v>
                </c:pt>
                <c:pt idx="22">
                  <c:v>0.38129264647434802</c:v>
                </c:pt>
                <c:pt idx="23">
                  <c:v>0.63176277033224437</c:v>
                </c:pt>
                <c:pt idx="24">
                  <c:v>0.81601605408626732</c:v>
                </c:pt>
                <c:pt idx="25">
                  <c:v>1.2432571444062983</c:v>
                </c:pt>
                <c:pt idx="26">
                  <c:v>1.3791820302252713</c:v>
                </c:pt>
                <c:pt idx="27">
                  <c:v>1.1612314913094348</c:v>
                </c:pt>
                <c:pt idx="28">
                  <c:v>0.99856381791328097</c:v>
                </c:pt>
                <c:pt idx="29">
                  <c:v>0.73489114036126502</c:v>
                </c:pt>
                <c:pt idx="30">
                  <c:v>0.46247736347646651</c:v>
                </c:pt>
                <c:pt idx="31">
                  <c:v>0.46044576108400648</c:v>
                </c:pt>
                <c:pt idx="32">
                  <c:v>-0.19599249264403973</c:v>
                </c:pt>
                <c:pt idx="33">
                  <c:v>-0.15490065264031827</c:v>
                </c:pt>
                <c:pt idx="34">
                  <c:v>-0.433140647334044</c:v>
                </c:pt>
                <c:pt idx="35">
                  <c:v>-0.94446341583659965</c:v>
                </c:pt>
                <c:pt idx="36">
                  <c:v>-0.47141133667823354</c:v>
                </c:pt>
                <c:pt idx="37">
                  <c:v>-0.81531315842726926</c:v>
                </c:pt>
                <c:pt idx="38">
                  <c:v>-0.66220434478253765</c:v>
                </c:pt>
                <c:pt idx="39">
                  <c:v>0.26384907749229924</c:v>
                </c:pt>
                <c:pt idx="40">
                  <c:v>0.33592745342816599</c:v>
                </c:pt>
                <c:pt idx="41">
                  <c:v>0.36500559024360157</c:v>
                </c:pt>
                <c:pt idx="42">
                  <c:v>0.64432784424683298</c:v>
                </c:pt>
                <c:pt idx="43">
                  <c:v>-0.12140630852318424</c:v>
                </c:pt>
                <c:pt idx="44">
                  <c:v>-0.7115735911893406</c:v>
                </c:pt>
                <c:pt idx="45">
                  <c:v>-0.59985338752235151</c:v>
                </c:pt>
                <c:pt idx="46">
                  <c:v>-1.0697743780662963</c:v>
                </c:pt>
                <c:pt idx="47">
                  <c:v>-0.6026377671311991</c:v>
                </c:pt>
                <c:pt idx="48">
                  <c:v>-3.8974721394492207E-2</c:v>
                </c:pt>
                <c:pt idx="49">
                  <c:v>1.8620119505868615E-2</c:v>
                </c:pt>
                <c:pt idx="50">
                  <c:v>0.7114001424514127</c:v>
                </c:pt>
                <c:pt idx="51">
                  <c:v>0.99799078524735307</c:v>
                </c:pt>
                <c:pt idx="52">
                  <c:v>1.0935944587244304</c:v>
                </c:pt>
                <c:pt idx="53">
                  <c:v>1.1446114861871646</c:v>
                </c:pt>
                <c:pt idx="54">
                  <c:v>0.93532300234299193</c:v>
                </c:pt>
                <c:pt idx="55">
                  <c:v>0.49464245602267987</c:v>
                </c:pt>
                <c:pt idx="56">
                  <c:v>0.30620848116133281</c:v>
                </c:pt>
                <c:pt idx="57">
                  <c:v>-0.18417108449964203</c:v>
                </c:pt>
                <c:pt idx="58">
                  <c:v>-0.27124556609712513</c:v>
                </c:pt>
                <c:pt idx="59">
                  <c:v>-0.34354949653715572</c:v>
                </c:pt>
                <c:pt idx="60">
                  <c:v>-0.37436789105810853</c:v>
                </c:pt>
                <c:pt idx="61">
                  <c:v>-0.14021507790164911</c:v>
                </c:pt>
                <c:pt idx="62">
                  <c:v>-0.22821234291904435</c:v>
                </c:pt>
                <c:pt idx="63">
                  <c:v>-9.5643065589774423E-2</c:v>
                </c:pt>
                <c:pt idx="64">
                  <c:v>-7.8103625459291059E-2</c:v>
                </c:pt>
                <c:pt idx="65">
                  <c:v>-0.39701798759296558</c:v>
                </c:pt>
                <c:pt idx="66">
                  <c:v>-0.40056438503780978</c:v>
                </c:pt>
                <c:pt idx="67">
                  <c:v>-0.46178479006952866</c:v>
                </c:pt>
                <c:pt idx="68">
                  <c:v>-0.71105041024112836</c:v>
                </c:pt>
                <c:pt idx="69">
                  <c:v>-0.33941904558892322</c:v>
                </c:pt>
                <c:pt idx="70">
                  <c:v>-0.47650819685972667</c:v>
                </c:pt>
                <c:pt idx="71">
                  <c:v>-0.50896896202479169</c:v>
                </c:pt>
                <c:pt idx="72">
                  <c:v>-0.62718045944684686</c:v>
                </c:pt>
                <c:pt idx="73">
                  <c:v>-1.0881319559870031</c:v>
                </c:pt>
                <c:pt idx="74">
                  <c:v>-0.8435376203393794</c:v>
                </c:pt>
                <c:pt idx="75">
                  <c:v>-0.89760227780635926</c:v>
                </c:pt>
                <c:pt idx="76">
                  <c:v>-0.49469687050725142</c:v>
                </c:pt>
                <c:pt idx="77">
                  <c:v>-0.17362751907119112</c:v>
                </c:pt>
                <c:pt idx="78">
                  <c:v>-0.26705859748392857</c:v>
                </c:pt>
                <c:pt idx="79">
                  <c:v>0.17873351399516935</c:v>
                </c:pt>
                <c:pt idx="80">
                  <c:v>8.2537164021470488E-2</c:v>
                </c:pt>
                <c:pt idx="81">
                  <c:v>5.536042384622597E-2</c:v>
                </c:pt>
                <c:pt idx="82">
                  <c:v>0.30678907296446489</c:v>
                </c:pt>
                <c:pt idx="83">
                  <c:v>-0.12638546292029496</c:v>
                </c:pt>
                <c:pt idx="84">
                  <c:v>-0.12893229383544025</c:v>
                </c:pt>
                <c:pt idx="85">
                  <c:v>-0.157583387467227</c:v>
                </c:pt>
                <c:pt idx="86">
                  <c:v>4.1910476545061748E-2</c:v>
                </c:pt>
                <c:pt idx="87">
                  <c:v>0.65252041018887041</c:v>
                </c:pt>
                <c:pt idx="88">
                  <c:v>0.72587320578288494</c:v>
                </c:pt>
                <c:pt idx="89">
                  <c:v>0.6704715010008373</c:v>
                </c:pt>
                <c:pt idx="90">
                  <c:v>0.41160850416004191</c:v>
                </c:pt>
                <c:pt idx="91">
                  <c:v>-0.13823795186085075</c:v>
                </c:pt>
                <c:pt idx="92">
                  <c:v>-0.23357446197305887</c:v>
                </c:pt>
                <c:pt idx="93">
                  <c:v>2.7384372888716868E-3</c:v>
                </c:pt>
                <c:pt idx="94">
                  <c:v>-0.12927648701242855</c:v>
                </c:pt>
                <c:pt idx="95">
                  <c:v>0.58973211522530278</c:v>
                </c:pt>
                <c:pt idx="96">
                  <c:v>0.66955354284372604</c:v>
                </c:pt>
                <c:pt idx="97">
                  <c:v>0.22418820463685663</c:v>
                </c:pt>
                <c:pt idx="98">
                  <c:v>0.52315732375986101</c:v>
                </c:pt>
                <c:pt idx="99">
                  <c:v>0.12747506930767205</c:v>
                </c:pt>
                <c:pt idx="100">
                  <c:v>-4.7138869816929052E-2</c:v>
                </c:pt>
                <c:pt idx="101">
                  <c:v>-5.9191969120513832E-2</c:v>
                </c:pt>
                <c:pt idx="102">
                  <c:v>-0.38455338214267432</c:v>
                </c:pt>
                <c:pt idx="103">
                  <c:v>-0.47858976586886381</c:v>
                </c:pt>
                <c:pt idx="104">
                  <c:v>-0.50208939254148888</c:v>
                </c:pt>
                <c:pt idx="105">
                  <c:v>-0.33760885777076233</c:v>
                </c:pt>
                <c:pt idx="106">
                  <c:v>-0.24958163674901002</c:v>
                </c:pt>
                <c:pt idx="107">
                  <c:v>-0.33779025168391463</c:v>
                </c:pt>
                <c:pt idx="108">
                  <c:v>-0.40620283860701445</c:v>
                </c:pt>
                <c:pt idx="109">
                  <c:v>-0.15866603035346838</c:v>
                </c:pt>
                <c:pt idx="110">
                  <c:v>-1.6923132346525982E-2</c:v>
                </c:pt>
                <c:pt idx="111">
                  <c:v>8.4355110169277658E-2</c:v>
                </c:pt>
                <c:pt idx="112">
                  <c:v>7.7032979785313316E-2</c:v>
                </c:pt>
                <c:pt idx="113">
                  <c:v>-0.10249702153914697</c:v>
                </c:pt>
                <c:pt idx="114">
                  <c:v>-0.13265370957990008</c:v>
                </c:pt>
                <c:pt idx="115">
                  <c:v>-3.865146731171798E-2</c:v>
                </c:pt>
                <c:pt idx="116">
                  <c:v>0.12300635561179263</c:v>
                </c:pt>
                <c:pt idx="117">
                  <c:v>0.2375147714250998</c:v>
                </c:pt>
                <c:pt idx="118">
                  <c:v>0.26472731061818955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DC-47DF-98C9-60F02EEA1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57744"/>
        <c:axId val="1189552944"/>
      </c:scatterChart>
      <c:valAx>
        <c:axId val="118955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2944"/>
        <c:crosses val="autoZero"/>
        <c:crossBetween val="midCat"/>
      </c:valAx>
      <c:valAx>
        <c:axId val="1189552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77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SanJose!$M$6:$M$124</c:f>
              <c:numCache>
                <c:formatCode>General</c:formatCode>
                <c:ptCount val="119"/>
                <c:pt idx="0">
                  <c:v>7.5327590000000004</c:v>
                </c:pt>
                <c:pt idx="1">
                  <c:v>7.5568220000000004</c:v>
                </c:pt>
                <c:pt idx="2">
                  <c:v>7.5553679999999996</c:v>
                </c:pt>
                <c:pt idx="3">
                  <c:v>7.5991540000000004</c:v>
                </c:pt>
                <c:pt idx="4">
                  <c:v>7.6633979999999999</c:v>
                </c:pt>
                <c:pt idx="5">
                  <c:v>7.7600569999999998</c:v>
                </c:pt>
                <c:pt idx="6">
                  <c:v>7.8351420000000003</c:v>
                </c:pt>
                <c:pt idx="7">
                  <c:v>7.822133</c:v>
                </c:pt>
                <c:pt idx="8">
                  <c:v>7.7618309999999999</c:v>
                </c:pt>
                <c:pt idx="9">
                  <c:v>7.7472110000000001</c:v>
                </c:pt>
                <c:pt idx="10">
                  <c:v>7.7629289999999997</c:v>
                </c:pt>
                <c:pt idx="11">
                  <c:v>7.8069050000000004</c:v>
                </c:pt>
                <c:pt idx="12">
                  <c:v>7.8392340000000003</c:v>
                </c:pt>
                <c:pt idx="13">
                  <c:v>8.0733180000000004</c:v>
                </c:pt>
                <c:pt idx="14">
                  <c:v>8.3455759999999994</c:v>
                </c:pt>
                <c:pt idx="15">
                  <c:v>8.645702</c:v>
                </c:pt>
                <c:pt idx="16">
                  <c:v>9.1897859999999998</c:v>
                </c:pt>
                <c:pt idx="17">
                  <c:v>9.6797699999999995</c:v>
                </c:pt>
                <c:pt idx="18">
                  <c:v>10.1889</c:v>
                </c:pt>
                <c:pt idx="19">
                  <c:v>10.323549999999999</c:v>
                </c:pt>
                <c:pt idx="20">
                  <c:v>10.576610000000001</c:v>
                </c:pt>
                <c:pt idx="21">
                  <c:v>10.279960000000001</c:v>
                </c:pt>
                <c:pt idx="22">
                  <c:v>10.18262</c:v>
                </c:pt>
                <c:pt idx="23">
                  <c:v>9.9707419999999995</c:v>
                </c:pt>
                <c:pt idx="24">
                  <c:v>9.7084960000000002</c:v>
                </c:pt>
                <c:pt idx="25">
                  <c:v>9.1551639999999992</c:v>
                </c:pt>
                <c:pt idx="26">
                  <c:v>8.1541060000000005</c:v>
                </c:pt>
                <c:pt idx="27">
                  <c:v>7.8327220000000004</c:v>
                </c:pt>
                <c:pt idx="28">
                  <c:v>6.9053760000000004</c:v>
                </c:pt>
                <c:pt idx="29">
                  <c:v>7.0053429999999999</c:v>
                </c:pt>
                <c:pt idx="30">
                  <c:v>7.5893969999999999</c:v>
                </c:pt>
                <c:pt idx="31">
                  <c:v>7.7491260000000004</c:v>
                </c:pt>
                <c:pt idx="32">
                  <c:v>8.3390880000000003</c:v>
                </c:pt>
                <c:pt idx="33">
                  <c:v>8.3532060000000001</c:v>
                </c:pt>
                <c:pt idx="34">
                  <c:v>8.4471349999999994</c:v>
                </c:pt>
                <c:pt idx="35">
                  <c:v>8.7571940000000001</c:v>
                </c:pt>
                <c:pt idx="36">
                  <c:v>9.1641840000000006</c:v>
                </c:pt>
                <c:pt idx="37">
                  <c:v>9.7577040000000004</c:v>
                </c:pt>
                <c:pt idx="38">
                  <c:v>9.8415429999999997</c:v>
                </c:pt>
                <c:pt idx="39">
                  <c:v>9.5899970000000003</c:v>
                </c:pt>
                <c:pt idx="40">
                  <c:v>8.78186</c:v>
                </c:pt>
                <c:pt idx="41">
                  <c:v>8.1016429999999993</c:v>
                </c:pt>
                <c:pt idx="42">
                  <c:v>7.5051420000000002</c:v>
                </c:pt>
                <c:pt idx="43">
                  <c:v>7.1664079999999997</c:v>
                </c:pt>
                <c:pt idx="44">
                  <c:v>7.1586740000000004</c:v>
                </c:pt>
                <c:pt idx="45">
                  <c:v>7.1987360000000002</c:v>
                </c:pt>
                <c:pt idx="46">
                  <c:v>7.2553239999999999</c:v>
                </c:pt>
                <c:pt idx="47">
                  <c:v>7.4156529999999998</c:v>
                </c:pt>
                <c:pt idx="48">
                  <c:v>7.5210520000000001</c:v>
                </c:pt>
                <c:pt idx="49">
                  <c:v>7.5161660000000001</c:v>
                </c:pt>
                <c:pt idx="50">
                  <c:v>7.5280769999999997</c:v>
                </c:pt>
                <c:pt idx="51">
                  <c:v>7.5033500000000002</c:v>
                </c:pt>
                <c:pt idx="52">
                  <c:v>7.6314830000000002</c:v>
                </c:pt>
                <c:pt idx="53">
                  <c:v>7.7285250000000003</c:v>
                </c:pt>
                <c:pt idx="54">
                  <c:v>7.8349950000000002</c:v>
                </c:pt>
                <c:pt idx="55">
                  <c:v>7.8799539999999997</c:v>
                </c:pt>
                <c:pt idx="56">
                  <c:v>8.0915560000000006</c:v>
                </c:pt>
                <c:pt idx="57">
                  <c:v>8.6196450000000002</c:v>
                </c:pt>
                <c:pt idx="58">
                  <c:v>8.9193359999999995</c:v>
                </c:pt>
                <c:pt idx="59">
                  <c:v>9.4416499999999992</c:v>
                </c:pt>
                <c:pt idx="60">
                  <c:v>9.9722989999999996</c:v>
                </c:pt>
                <c:pt idx="61">
                  <c:v>9.8738799999999998</c:v>
                </c:pt>
                <c:pt idx="62">
                  <c:v>9.8854310000000005</c:v>
                </c:pt>
                <c:pt idx="63">
                  <c:v>9.8279580000000006</c:v>
                </c:pt>
                <c:pt idx="64">
                  <c:v>9.3960450000000009</c:v>
                </c:pt>
                <c:pt idx="65">
                  <c:v>9.3297070000000009</c:v>
                </c:pt>
                <c:pt idx="66">
                  <c:v>9.2657729999999994</c:v>
                </c:pt>
                <c:pt idx="67">
                  <c:v>9.1095980000000001</c:v>
                </c:pt>
                <c:pt idx="68">
                  <c:v>9.2532060000000005</c:v>
                </c:pt>
                <c:pt idx="69">
                  <c:v>9.0784640000000003</c:v>
                </c:pt>
                <c:pt idx="70">
                  <c:v>8.6459659999999996</c:v>
                </c:pt>
                <c:pt idx="71">
                  <c:v>8.2130919999999996</c:v>
                </c:pt>
                <c:pt idx="72">
                  <c:v>7.524114</c:v>
                </c:pt>
                <c:pt idx="73">
                  <c:v>7.0058340000000001</c:v>
                </c:pt>
                <c:pt idx="74">
                  <c:v>6.8000369999999997</c:v>
                </c:pt>
                <c:pt idx="75">
                  <c:v>6.9416390000000003</c:v>
                </c:pt>
                <c:pt idx="76">
                  <c:v>7.1642979999999996</c:v>
                </c:pt>
                <c:pt idx="77">
                  <c:v>7.1002609999999997</c:v>
                </c:pt>
                <c:pt idx="78">
                  <c:v>6.7659219999999998</c:v>
                </c:pt>
                <c:pt idx="79">
                  <c:v>6.3910439999999999</c:v>
                </c:pt>
                <c:pt idx="80">
                  <c:v>5.8675560000000004</c:v>
                </c:pt>
                <c:pt idx="81">
                  <c:v>5.7194950000000002</c:v>
                </c:pt>
                <c:pt idx="82">
                  <c:v>5.7040879999999996</c:v>
                </c:pt>
                <c:pt idx="83">
                  <c:v>5.4518899999999997</c:v>
                </c:pt>
                <c:pt idx="84">
                  <c:v>5.3286939999999996</c:v>
                </c:pt>
                <c:pt idx="85">
                  <c:v>5.1411509999999998</c:v>
                </c:pt>
                <c:pt idx="86">
                  <c:v>5.1923089999999998</c:v>
                </c:pt>
                <c:pt idx="87">
                  <c:v>5.4664919999999997</c:v>
                </c:pt>
                <c:pt idx="88">
                  <c:v>6.0339210000000003</c:v>
                </c:pt>
                <c:pt idx="89">
                  <c:v>6.5728140000000002</c:v>
                </c:pt>
                <c:pt idx="90">
                  <c:v>7.4134099999999998</c:v>
                </c:pt>
                <c:pt idx="91">
                  <c:v>7.7968799999999998</c:v>
                </c:pt>
                <c:pt idx="92">
                  <c:v>7.9131770000000001</c:v>
                </c:pt>
                <c:pt idx="93">
                  <c:v>8.3286259999999999</c:v>
                </c:pt>
                <c:pt idx="94">
                  <c:v>8.145429</c:v>
                </c:pt>
                <c:pt idx="95">
                  <c:v>8.1321849999999998</c:v>
                </c:pt>
                <c:pt idx="96">
                  <c:v>7.7895589999999997</c:v>
                </c:pt>
                <c:pt idx="97">
                  <c:v>7.1082400000000003</c:v>
                </c:pt>
                <c:pt idx="98">
                  <c:v>6.4654379999999998</c:v>
                </c:pt>
                <c:pt idx="99">
                  <c:v>5.8690519999999999</c:v>
                </c:pt>
                <c:pt idx="100">
                  <c:v>5.8495720000000002</c:v>
                </c:pt>
                <c:pt idx="101">
                  <c:v>5.5911119999999999</c:v>
                </c:pt>
                <c:pt idx="102">
                  <c:v>5.6054339999999998</c:v>
                </c:pt>
                <c:pt idx="103">
                  <c:v>5.5982459999999996</c:v>
                </c:pt>
                <c:pt idx="104">
                  <c:v>5.4316909999999998</c:v>
                </c:pt>
                <c:pt idx="105">
                  <c:v>5.5642009999999997</c:v>
                </c:pt>
                <c:pt idx="106">
                  <c:v>5.7061349999999997</c:v>
                </c:pt>
                <c:pt idx="107">
                  <c:v>5.7349050000000004</c:v>
                </c:pt>
                <c:pt idx="108">
                  <c:v>5.7025670000000002</c:v>
                </c:pt>
                <c:pt idx="109">
                  <c:v>5.4960469999999999</c:v>
                </c:pt>
                <c:pt idx="110">
                  <c:v>5.471571</c:v>
                </c:pt>
                <c:pt idx="111">
                  <c:v>5.4323969999999999</c:v>
                </c:pt>
                <c:pt idx="112">
                  <c:v>5.3014650000000003</c:v>
                </c:pt>
                <c:pt idx="113">
                  <c:v>5.3635510000000002</c:v>
                </c:pt>
                <c:pt idx="114">
                  <c:v>5.1388340000000001</c:v>
                </c:pt>
                <c:pt idx="115">
                  <c:v>4.9349959999999999</c:v>
                </c:pt>
                <c:pt idx="116">
                  <c:v>4.8659230000000004</c:v>
                </c:pt>
                <c:pt idx="117">
                  <c:v>4.7552269999999996</c:v>
                </c:pt>
                <c:pt idx="118">
                  <c:v>4.7117240000000002</c:v>
                </c:pt>
              </c:numCache>
            </c:numRef>
          </c:xVal>
          <c:yVal>
            <c:numRef>
              <c:f>'Model1 San Jose'!$C$27:$C$145</c:f>
              <c:numCache>
                <c:formatCode>General</c:formatCode>
                <c:ptCount val="119"/>
                <c:pt idx="0">
                  <c:v>-1.0825670100644453</c:v>
                </c:pt>
                <c:pt idx="1">
                  <c:v>-1.1511799461015713</c:v>
                </c:pt>
                <c:pt idx="2">
                  <c:v>-1.0057756197692624</c:v>
                </c:pt>
                <c:pt idx="3">
                  <c:v>-0.86541329588532623</c:v>
                </c:pt>
                <c:pt idx="4">
                  <c:v>-0.88413892527553184</c:v>
                </c:pt>
                <c:pt idx="5">
                  <c:v>-0.65717841417863632</c:v>
                </c:pt>
                <c:pt idx="6">
                  <c:v>-0.62786491806895661</c:v>
                </c:pt>
                <c:pt idx="7">
                  <c:v>-0.65214045482247407</c:v>
                </c:pt>
                <c:pt idx="8">
                  <c:v>-0.74545906561531528</c:v>
                </c:pt>
                <c:pt idx="9">
                  <c:v>-0.58171165133012792</c:v>
                </c:pt>
                <c:pt idx="10">
                  <c:v>-0.27511796745772266</c:v>
                </c:pt>
                <c:pt idx="11">
                  <c:v>0.13878560171588106</c:v>
                </c:pt>
                <c:pt idx="12">
                  <c:v>0.66135618283181508</c:v>
                </c:pt>
                <c:pt idx="13">
                  <c:v>0.87908877111371275</c:v>
                </c:pt>
                <c:pt idx="14">
                  <c:v>1.1690126827222809</c:v>
                </c:pt>
                <c:pt idx="15">
                  <c:v>1.2027135472747137</c:v>
                </c:pt>
                <c:pt idx="16">
                  <c:v>1.252886334189979</c:v>
                </c:pt>
                <c:pt idx="17">
                  <c:v>0.75530246356956354</c:v>
                </c:pt>
                <c:pt idx="18">
                  <c:v>0.64949753719024628</c:v>
                </c:pt>
                <c:pt idx="19">
                  <c:v>0.37010824536806197</c:v>
                </c:pt>
                <c:pt idx="20">
                  <c:v>0.10266511450054239</c:v>
                </c:pt>
                <c:pt idx="21">
                  <c:v>-0.22754846365753778</c:v>
                </c:pt>
                <c:pt idx="22">
                  <c:v>-1.0372112571931904</c:v>
                </c:pt>
                <c:pt idx="23">
                  <c:v>-1.2223099226606013</c:v>
                </c:pt>
                <c:pt idx="24">
                  <c:v>-2.0867500292321282</c:v>
                </c:pt>
                <c:pt idx="25">
                  <c:v>-1.9247459493014176</c:v>
                </c:pt>
                <c:pt idx="26">
                  <c:v>-0.73359206618178341</c:v>
                </c:pt>
                <c:pt idx="27">
                  <c:v>-0.40072918376144351</c:v>
                </c:pt>
                <c:pt idx="28">
                  <c:v>0.53601121949697372</c:v>
                </c:pt>
                <c:pt idx="29">
                  <c:v>0.51721651156892356</c:v>
                </c:pt>
                <c:pt idx="30">
                  <c:v>0.41722150921744472</c:v>
                </c:pt>
                <c:pt idx="31">
                  <c:v>0.80320549750225911</c:v>
                </c:pt>
                <c:pt idx="32">
                  <c:v>1.1679823836968044</c:v>
                </c:pt>
                <c:pt idx="33">
                  <c:v>1.8137734053358336</c:v>
                </c:pt>
                <c:pt idx="34">
                  <c:v>1.7844234463379287</c:v>
                </c:pt>
                <c:pt idx="35">
                  <c:v>1.4538004233943109</c:v>
                </c:pt>
                <c:pt idx="36">
                  <c:v>0.4237692032945013</c:v>
                </c:pt>
                <c:pt idx="37">
                  <c:v>-0.55129313253554635</c:v>
                </c:pt>
                <c:pt idx="38">
                  <c:v>-1.0783876492588176</c:v>
                </c:pt>
                <c:pt idx="39">
                  <c:v>-1.2058922556257192</c:v>
                </c:pt>
                <c:pt idx="40">
                  <c:v>-0.66399287721572353</c:v>
                </c:pt>
                <c:pt idx="41">
                  <c:v>-0.24020960181414797</c:v>
                </c:pt>
                <c:pt idx="42">
                  <c:v>0.19671080034879829</c:v>
                </c:pt>
                <c:pt idx="43">
                  <c:v>0.64782874596346041</c:v>
                </c:pt>
                <c:pt idx="44">
                  <c:v>0.3790431122300042</c:v>
                </c:pt>
                <c:pt idx="45">
                  <c:v>-6.5833577187385472E-2</c:v>
                </c:pt>
                <c:pt idx="46">
                  <c:v>-0.22939433765979356</c:v>
                </c:pt>
                <c:pt idx="47">
                  <c:v>-0.4597648672959691</c:v>
                </c:pt>
                <c:pt idx="48">
                  <c:v>0.13949841895852177</c:v>
                </c:pt>
                <c:pt idx="49">
                  <c:v>1.0699099833568493</c:v>
                </c:pt>
                <c:pt idx="50">
                  <c:v>1.6473151287794829</c:v>
                </c:pt>
                <c:pt idx="51">
                  <c:v>2.2228443261461637</c:v>
                </c:pt>
                <c:pt idx="52">
                  <c:v>1.4842466752245294</c:v>
                </c:pt>
                <c:pt idx="53">
                  <c:v>1.0496210665658792</c:v>
                </c:pt>
                <c:pt idx="54">
                  <c:v>0.53934235068448544</c:v>
                </c:pt>
                <c:pt idx="55">
                  <c:v>0.46626239594606744</c:v>
                </c:pt>
                <c:pt idx="56">
                  <c:v>0.76817040235070166</c:v>
                </c:pt>
                <c:pt idx="57">
                  <c:v>0.35783186997723071</c:v>
                </c:pt>
                <c:pt idx="58">
                  <c:v>0.77121792543405832</c:v>
                </c:pt>
                <c:pt idx="59">
                  <c:v>0.9187793464796048</c:v>
                </c:pt>
                <c:pt idx="60">
                  <c:v>0.31198754872377954</c:v>
                </c:pt>
                <c:pt idx="61">
                  <c:v>0.40530912878657155</c:v>
                </c:pt>
                <c:pt idx="62">
                  <c:v>5.4550590411764688E-2</c:v>
                </c:pt>
                <c:pt idx="63">
                  <c:v>-0.15006500331523931</c:v>
                </c:pt>
                <c:pt idx="64">
                  <c:v>0.52170744260749125</c:v>
                </c:pt>
                <c:pt idx="65">
                  <c:v>0.27917202500134408</c:v>
                </c:pt>
                <c:pt idx="66">
                  <c:v>0.28279279105989019</c:v>
                </c:pt>
                <c:pt idx="67">
                  <c:v>0.21536882196924179</c:v>
                </c:pt>
                <c:pt idx="68">
                  <c:v>-0.7699166324840041</c:v>
                </c:pt>
                <c:pt idx="69">
                  <c:v>-0.98124875744799489</c:v>
                </c:pt>
                <c:pt idx="70">
                  <c:v>-0.9970613020478325</c:v>
                </c:pt>
                <c:pt idx="71">
                  <c:v>-0.71699341460125421</c:v>
                </c:pt>
                <c:pt idx="72">
                  <c:v>-5.7081288330517843E-2</c:v>
                </c:pt>
                <c:pt idx="73">
                  <c:v>0.1134248736218737</c:v>
                </c:pt>
                <c:pt idx="74">
                  <c:v>1.5059194765303374E-3</c:v>
                </c:pt>
                <c:pt idx="75">
                  <c:v>-0.30032613390889384</c:v>
                </c:pt>
                <c:pt idx="76">
                  <c:v>-0.7673953944257077</c:v>
                </c:pt>
                <c:pt idx="77">
                  <c:v>-1.1317429274704853</c:v>
                </c:pt>
                <c:pt idx="78">
                  <c:v>-1.0621013510345341</c:v>
                </c:pt>
                <c:pt idx="79">
                  <c:v>-1.1005551127908832</c:v>
                </c:pt>
                <c:pt idx="80">
                  <c:v>-0.84678955955401491</c:v>
                </c:pt>
                <c:pt idx="81">
                  <c:v>-0.95038537117709776</c:v>
                </c:pt>
                <c:pt idx="82">
                  <c:v>-0.8348445393659496</c:v>
                </c:pt>
                <c:pt idx="83">
                  <c:v>-0.28931117259701278</c:v>
                </c:pt>
                <c:pt idx="84">
                  <c:v>0.34798389583478073</c:v>
                </c:pt>
                <c:pt idx="85">
                  <c:v>0.56589169125433081</c:v>
                </c:pt>
                <c:pt idx="86">
                  <c:v>1.1386711994446754</c:v>
                </c:pt>
                <c:pt idx="87">
                  <c:v>1.3898968253405535</c:v>
                </c:pt>
                <c:pt idx="88">
                  <c:v>1.0722938749442816</c:v>
                </c:pt>
                <c:pt idx="89">
                  <c:v>1.3475958811056303</c:v>
                </c:pt>
                <c:pt idx="90">
                  <c:v>1.0329602111491818</c:v>
                </c:pt>
                <c:pt idx="91">
                  <c:v>0.77028961957526221</c:v>
                </c:pt>
                <c:pt idx="92">
                  <c:v>0.19956325234556438</c:v>
                </c:pt>
                <c:pt idx="93">
                  <c:v>-0.5319648206531209</c:v>
                </c:pt>
                <c:pt idx="94">
                  <c:v>-0.79427945804679201</c:v>
                </c:pt>
                <c:pt idx="95">
                  <c:v>-1.2155793648431565</c:v>
                </c:pt>
                <c:pt idx="96">
                  <c:v>-0.9579316610590336</c:v>
                </c:pt>
                <c:pt idx="97">
                  <c:v>-0.61690762463417403</c:v>
                </c:pt>
                <c:pt idx="98">
                  <c:v>-3.482415778767578E-2</c:v>
                </c:pt>
                <c:pt idx="99">
                  <c:v>0.28837799825252031</c:v>
                </c:pt>
                <c:pt idx="100">
                  <c:v>1.1713170585953669E-2</c:v>
                </c:pt>
                <c:pt idx="101">
                  <c:v>0.19085470115751502</c:v>
                </c:pt>
                <c:pt idx="102">
                  <c:v>-2.2593580213367659E-2</c:v>
                </c:pt>
                <c:pt idx="103">
                  <c:v>-1.9926686006507488E-2</c:v>
                </c:pt>
                <c:pt idx="104">
                  <c:v>4.3993103320225657E-2</c:v>
                </c:pt>
                <c:pt idx="105">
                  <c:v>-0.25788110118674545</c:v>
                </c:pt>
                <c:pt idx="106">
                  <c:v>-0.2455377600759947</c:v>
                </c:pt>
                <c:pt idx="107">
                  <c:v>-0.28659056717793874</c:v>
                </c:pt>
                <c:pt idx="108">
                  <c:v>-0.19402660351538614</c:v>
                </c:pt>
                <c:pt idx="109">
                  <c:v>3.0969446892171071E-2</c:v>
                </c:pt>
                <c:pt idx="110">
                  <c:v>-0.18811438475844344</c:v>
                </c:pt>
                <c:pt idx="111">
                  <c:v>-0.2009512877266646</c:v>
                </c:pt>
                <c:pt idx="112">
                  <c:v>-0.14296315098203216</c:v>
                </c:pt>
                <c:pt idx="113">
                  <c:v>-0.24711359190182591</c:v>
                </c:pt>
                <c:pt idx="114">
                  <c:v>-0.21662124216578516</c:v>
                </c:pt>
                <c:pt idx="115">
                  <c:v>-0.28625424014309608</c:v>
                </c:pt>
                <c:pt idx="116">
                  <c:v>-0.43468215061570881</c:v>
                </c:pt>
                <c:pt idx="117">
                  <c:v>-0.43303055014999803</c:v>
                </c:pt>
                <c:pt idx="118">
                  <c:v>-0.43452225828357527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DC-4660-BC3B-E63BDC7DE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952"/>
        <c:axId val="1027264352"/>
      </c:scatterChart>
      <c:valAx>
        <c:axId val="10272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4352"/>
        <c:crosses val="autoZero"/>
        <c:crossBetween val="midCat"/>
      </c:valAx>
      <c:valAx>
        <c:axId val="1027264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'Model1 San Jose'!$C$27:$C$145</c:f>
              <c:numCache>
                <c:formatCode>General</c:formatCode>
                <c:ptCount val="119"/>
                <c:pt idx="0">
                  <c:v>-1.0825670100644453</c:v>
                </c:pt>
                <c:pt idx="1">
                  <c:v>-1.1511799461015713</c:v>
                </c:pt>
                <c:pt idx="2">
                  <c:v>-1.0057756197692624</c:v>
                </c:pt>
                <c:pt idx="3">
                  <c:v>-0.86541329588532623</c:v>
                </c:pt>
                <c:pt idx="4">
                  <c:v>-0.88413892527553184</c:v>
                </c:pt>
                <c:pt idx="5">
                  <c:v>-0.65717841417863632</c:v>
                </c:pt>
                <c:pt idx="6">
                  <c:v>-0.62786491806895661</c:v>
                </c:pt>
                <c:pt idx="7">
                  <c:v>-0.65214045482247407</c:v>
                </c:pt>
                <c:pt idx="8">
                  <c:v>-0.74545906561531528</c:v>
                </c:pt>
                <c:pt idx="9">
                  <c:v>-0.58171165133012792</c:v>
                </c:pt>
                <c:pt idx="10">
                  <c:v>-0.27511796745772266</c:v>
                </c:pt>
                <c:pt idx="11">
                  <c:v>0.13878560171588106</c:v>
                </c:pt>
                <c:pt idx="12">
                  <c:v>0.66135618283181508</c:v>
                </c:pt>
                <c:pt idx="13">
                  <c:v>0.87908877111371275</c:v>
                </c:pt>
                <c:pt idx="14">
                  <c:v>1.1690126827222809</c:v>
                </c:pt>
                <c:pt idx="15">
                  <c:v>1.2027135472747137</c:v>
                </c:pt>
                <c:pt idx="16">
                  <c:v>1.252886334189979</c:v>
                </c:pt>
                <c:pt idx="17">
                  <c:v>0.75530246356956354</c:v>
                </c:pt>
                <c:pt idx="18">
                  <c:v>0.64949753719024628</c:v>
                </c:pt>
                <c:pt idx="19">
                  <c:v>0.37010824536806197</c:v>
                </c:pt>
                <c:pt idx="20">
                  <c:v>0.10266511450054239</c:v>
                </c:pt>
                <c:pt idx="21">
                  <c:v>-0.22754846365753778</c:v>
                </c:pt>
                <c:pt idx="22">
                  <c:v>-1.0372112571931904</c:v>
                </c:pt>
                <c:pt idx="23">
                  <c:v>-1.2223099226606013</c:v>
                </c:pt>
                <c:pt idx="24">
                  <c:v>-2.0867500292321282</c:v>
                </c:pt>
                <c:pt idx="25">
                  <c:v>-1.9247459493014176</c:v>
                </c:pt>
                <c:pt idx="26">
                  <c:v>-0.73359206618178341</c:v>
                </c:pt>
                <c:pt idx="27">
                  <c:v>-0.40072918376144351</c:v>
                </c:pt>
                <c:pt idx="28">
                  <c:v>0.53601121949697372</c:v>
                </c:pt>
                <c:pt idx="29">
                  <c:v>0.51721651156892356</c:v>
                </c:pt>
                <c:pt idx="30">
                  <c:v>0.41722150921744472</c:v>
                </c:pt>
                <c:pt idx="31">
                  <c:v>0.80320549750225911</c:v>
                </c:pt>
                <c:pt idx="32">
                  <c:v>1.1679823836968044</c:v>
                </c:pt>
                <c:pt idx="33">
                  <c:v>1.8137734053358336</c:v>
                </c:pt>
                <c:pt idx="34">
                  <c:v>1.7844234463379287</c:v>
                </c:pt>
                <c:pt idx="35">
                  <c:v>1.4538004233943109</c:v>
                </c:pt>
                <c:pt idx="36">
                  <c:v>0.4237692032945013</c:v>
                </c:pt>
                <c:pt idx="37">
                  <c:v>-0.55129313253554635</c:v>
                </c:pt>
                <c:pt idx="38">
                  <c:v>-1.0783876492588176</c:v>
                </c:pt>
                <c:pt idx="39">
                  <c:v>-1.2058922556257192</c:v>
                </c:pt>
                <c:pt idx="40">
                  <c:v>-0.66399287721572353</c:v>
                </c:pt>
                <c:pt idx="41">
                  <c:v>-0.24020960181414797</c:v>
                </c:pt>
                <c:pt idx="42">
                  <c:v>0.19671080034879829</c:v>
                </c:pt>
                <c:pt idx="43">
                  <c:v>0.64782874596346041</c:v>
                </c:pt>
                <c:pt idx="44">
                  <c:v>0.3790431122300042</c:v>
                </c:pt>
                <c:pt idx="45">
                  <c:v>-6.5833577187385472E-2</c:v>
                </c:pt>
                <c:pt idx="46">
                  <c:v>-0.22939433765979356</c:v>
                </c:pt>
                <c:pt idx="47">
                  <c:v>-0.4597648672959691</c:v>
                </c:pt>
                <c:pt idx="48">
                  <c:v>0.13949841895852177</c:v>
                </c:pt>
                <c:pt idx="49">
                  <c:v>1.0699099833568493</c:v>
                </c:pt>
                <c:pt idx="50">
                  <c:v>1.6473151287794829</c:v>
                </c:pt>
                <c:pt idx="51">
                  <c:v>2.2228443261461637</c:v>
                </c:pt>
                <c:pt idx="52">
                  <c:v>1.4842466752245294</c:v>
                </c:pt>
                <c:pt idx="53">
                  <c:v>1.0496210665658792</c:v>
                </c:pt>
                <c:pt idx="54">
                  <c:v>0.53934235068448544</c:v>
                </c:pt>
                <c:pt idx="55">
                  <c:v>0.46626239594606744</c:v>
                </c:pt>
                <c:pt idx="56">
                  <c:v>0.76817040235070166</c:v>
                </c:pt>
                <c:pt idx="57">
                  <c:v>0.35783186997723071</c:v>
                </c:pt>
                <c:pt idx="58">
                  <c:v>0.77121792543405832</c:v>
                </c:pt>
                <c:pt idx="59">
                  <c:v>0.9187793464796048</c:v>
                </c:pt>
                <c:pt idx="60">
                  <c:v>0.31198754872377954</c:v>
                </c:pt>
                <c:pt idx="61">
                  <c:v>0.40530912878657155</c:v>
                </c:pt>
                <c:pt idx="62">
                  <c:v>5.4550590411764688E-2</c:v>
                </c:pt>
                <c:pt idx="63">
                  <c:v>-0.15006500331523931</c:v>
                </c:pt>
                <c:pt idx="64">
                  <c:v>0.52170744260749125</c:v>
                </c:pt>
                <c:pt idx="65">
                  <c:v>0.27917202500134408</c:v>
                </c:pt>
                <c:pt idx="66">
                  <c:v>0.28279279105989019</c:v>
                </c:pt>
                <c:pt idx="67">
                  <c:v>0.21536882196924179</c:v>
                </c:pt>
                <c:pt idx="68">
                  <c:v>-0.7699166324840041</c:v>
                </c:pt>
                <c:pt idx="69">
                  <c:v>-0.98124875744799489</c:v>
                </c:pt>
                <c:pt idx="70">
                  <c:v>-0.9970613020478325</c:v>
                </c:pt>
                <c:pt idx="71">
                  <c:v>-0.71699341460125421</c:v>
                </c:pt>
                <c:pt idx="72">
                  <c:v>-5.7081288330517843E-2</c:v>
                </c:pt>
                <c:pt idx="73">
                  <c:v>0.1134248736218737</c:v>
                </c:pt>
                <c:pt idx="74">
                  <c:v>1.5059194765303374E-3</c:v>
                </c:pt>
                <c:pt idx="75">
                  <c:v>-0.30032613390889384</c:v>
                </c:pt>
                <c:pt idx="76">
                  <c:v>-0.7673953944257077</c:v>
                </c:pt>
                <c:pt idx="77">
                  <c:v>-1.1317429274704853</c:v>
                </c:pt>
                <c:pt idx="78">
                  <c:v>-1.0621013510345341</c:v>
                </c:pt>
                <c:pt idx="79">
                  <c:v>-1.1005551127908832</c:v>
                </c:pt>
                <c:pt idx="80">
                  <c:v>-0.84678955955401491</c:v>
                </c:pt>
                <c:pt idx="81">
                  <c:v>-0.95038537117709776</c:v>
                </c:pt>
                <c:pt idx="82">
                  <c:v>-0.8348445393659496</c:v>
                </c:pt>
                <c:pt idx="83">
                  <c:v>-0.28931117259701278</c:v>
                </c:pt>
                <c:pt idx="84">
                  <c:v>0.34798389583478073</c:v>
                </c:pt>
                <c:pt idx="85">
                  <c:v>0.56589169125433081</c:v>
                </c:pt>
                <c:pt idx="86">
                  <c:v>1.1386711994446754</c:v>
                </c:pt>
                <c:pt idx="87">
                  <c:v>1.3898968253405535</c:v>
                </c:pt>
                <c:pt idx="88">
                  <c:v>1.0722938749442816</c:v>
                </c:pt>
                <c:pt idx="89">
                  <c:v>1.3475958811056303</c:v>
                </c:pt>
                <c:pt idx="90">
                  <c:v>1.0329602111491818</c:v>
                </c:pt>
                <c:pt idx="91">
                  <c:v>0.77028961957526221</c:v>
                </c:pt>
                <c:pt idx="92">
                  <c:v>0.19956325234556438</c:v>
                </c:pt>
                <c:pt idx="93">
                  <c:v>-0.5319648206531209</c:v>
                </c:pt>
                <c:pt idx="94">
                  <c:v>-0.79427945804679201</c:v>
                </c:pt>
                <c:pt idx="95">
                  <c:v>-1.2155793648431565</c:v>
                </c:pt>
                <c:pt idx="96">
                  <c:v>-0.9579316610590336</c:v>
                </c:pt>
                <c:pt idx="97">
                  <c:v>-0.61690762463417403</c:v>
                </c:pt>
                <c:pt idx="98">
                  <c:v>-3.482415778767578E-2</c:v>
                </c:pt>
                <c:pt idx="99">
                  <c:v>0.28837799825252031</c:v>
                </c:pt>
                <c:pt idx="100">
                  <c:v>1.1713170585953669E-2</c:v>
                </c:pt>
                <c:pt idx="101">
                  <c:v>0.19085470115751502</c:v>
                </c:pt>
                <c:pt idx="102">
                  <c:v>-2.2593580213367659E-2</c:v>
                </c:pt>
                <c:pt idx="103">
                  <c:v>-1.9926686006507488E-2</c:v>
                </c:pt>
                <c:pt idx="104">
                  <c:v>4.3993103320225657E-2</c:v>
                </c:pt>
                <c:pt idx="105">
                  <c:v>-0.25788110118674545</c:v>
                </c:pt>
                <c:pt idx="106">
                  <c:v>-0.2455377600759947</c:v>
                </c:pt>
                <c:pt idx="107">
                  <c:v>-0.28659056717793874</c:v>
                </c:pt>
                <c:pt idx="108">
                  <c:v>-0.19402660351538614</c:v>
                </c:pt>
                <c:pt idx="109">
                  <c:v>3.0969446892171071E-2</c:v>
                </c:pt>
                <c:pt idx="110">
                  <c:v>-0.18811438475844344</c:v>
                </c:pt>
                <c:pt idx="111">
                  <c:v>-0.2009512877266646</c:v>
                </c:pt>
                <c:pt idx="112">
                  <c:v>-0.14296315098203216</c:v>
                </c:pt>
                <c:pt idx="113">
                  <c:v>-0.24711359190182591</c:v>
                </c:pt>
                <c:pt idx="114">
                  <c:v>-0.21662124216578516</c:v>
                </c:pt>
                <c:pt idx="115">
                  <c:v>-0.28625424014309608</c:v>
                </c:pt>
                <c:pt idx="116">
                  <c:v>-0.43468215061570881</c:v>
                </c:pt>
                <c:pt idx="117">
                  <c:v>-0.43303055014999803</c:v>
                </c:pt>
                <c:pt idx="118">
                  <c:v>-0.43452225828357527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B-4BEF-B242-5C898B9F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952"/>
        <c:axId val="1027263392"/>
      </c:scatterChart>
      <c:valAx>
        <c:axId val="10272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3392"/>
        <c:crosses val="autoZero"/>
        <c:crossBetween val="midCat"/>
      </c:valAx>
      <c:valAx>
        <c:axId val="1027263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SanJose!$O$6:$O$124</c:f>
              <c:numCache>
                <c:formatCode>General</c:formatCode>
                <c:ptCount val="119"/>
                <c:pt idx="0">
                  <c:v>0.95854628052243041</c:v>
                </c:pt>
                <c:pt idx="1">
                  <c:v>0.95777906304222094</c:v>
                </c:pt>
                <c:pt idx="2">
                  <c:v>0.9953623188405798</c:v>
                </c:pt>
                <c:pt idx="3">
                  <c:v>1.0348634514816966</c:v>
                </c:pt>
                <c:pt idx="4">
                  <c:v>1.0799763033175356</c:v>
                </c:pt>
                <c:pt idx="5">
                  <c:v>1.1268115942028987</c:v>
                </c:pt>
                <c:pt idx="6">
                  <c:v>1.085032032615026</c:v>
                </c:pt>
                <c:pt idx="7">
                  <c:v>1.0449185850645706</c:v>
                </c:pt>
                <c:pt idx="8">
                  <c:v>1.0438837081733408</c:v>
                </c:pt>
                <c:pt idx="9">
                  <c:v>1.0428724544480172</c:v>
                </c:pt>
                <c:pt idx="10">
                  <c:v>1.0579710144927537</c:v>
                </c:pt>
                <c:pt idx="11">
                  <c:v>1.0725416442772704</c:v>
                </c:pt>
                <c:pt idx="12">
                  <c:v>1.0373095112979505</c:v>
                </c:pt>
                <c:pt idx="13">
                  <c:v>1.0025693730729703</c:v>
                </c:pt>
                <c:pt idx="14">
                  <c:v>0.96499238964992384</c:v>
                </c:pt>
                <c:pt idx="15">
                  <c:v>0.9288577154308616</c:v>
                </c:pt>
                <c:pt idx="16">
                  <c:v>0.9513677811550153</c:v>
                </c:pt>
                <c:pt idx="17">
                  <c:v>0.97539723218862118</c:v>
                </c:pt>
                <c:pt idx="18">
                  <c:v>0.98633017875920093</c:v>
                </c:pt>
                <c:pt idx="19">
                  <c:v>0.9983818770226538</c:v>
                </c:pt>
                <c:pt idx="20">
                  <c:v>0.99414270500532487</c:v>
                </c:pt>
                <c:pt idx="21">
                  <c:v>0.98949027850761939</c:v>
                </c:pt>
                <c:pt idx="22">
                  <c:v>0.99786780383795293</c:v>
                </c:pt>
                <c:pt idx="23">
                  <c:v>1.0048622366288493</c:v>
                </c:pt>
                <c:pt idx="24">
                  <c:v>1.0241028387787894</c:v>
                </c:pt>
                <c:pt idx="25">
                  <c:v>1.0435475305363782</c:v>
                </c:pt>
                <c:pt idx="26">
                  <c:v>1.0865384615384617</c:v>
                </c:pt>
                <c:pt idx="27">
                  <c:v>1.1322580645161289</c:v>
                </c:pt>
                <c:pt idx="28">
                  <c:v>1.0559623430962344</c:v>
                </c:pt>
                <c:pt idx="29">
                  <c:v>0.98473282442748111</c:v>
                </c:pt>
                <c:pt idx="30">
                  <c:v>0.99557522123893805</c:v>
                </c:pt>
                <c:pt idx="31">
                  <c:v>1.0052231718898388</c:v>
                </c:pt>
                <c:pt idx="32">
                  <c:v>1.0871718672610202</c:v>
                </c:pt>
                <c:pt idx="33">
                  <c:v>1.1762273901808786</c:v>
                </c:pt>
                <c:pt idx="34">
                  <c:v>1.162962962962963</c:v>
                </c:pt>
                <c:pt idx="35">
                  <c:v>1.1511572980632971</c:v>
                </c:pt>
                <c:pt idx="36">
                  <c:v>1.1685649202733486</c:v>
                </c:pt>
                <c:pt idx="37">
                  <c:v>1.1867311072056239</c:v>
                </c:pt>
                <c:pt idx="38">
                  <c:v>1.1800424628450106</c:v>
                </c:pt>
                <c:pt idx="39">
                  <c:v>1.1731637258924907</c:v>
                </c:pt>
                <c:pt idx="40">
                  <c:v>1.1805068226120858</c:v>
                </c:pt>
                <c:pt idx="41">
                  <c:v>1.1869677897075157</c:v>
                </c:pt>
                <c:pt idx="42">
                  <c:v>1.1712846347607053</c:v>
                </c:pt>
                <c:pt idx="43">
                  <c:v>1.15564882826163</c:v>
                </c:pt>
                <c:pt idx="44">
                  <c:v>1.0733157199471599</c:v>
                </c:pt>
                <c:pt idx="45">
                  <c:v>0.99688084840923263</c:v>
                </c:pt>
                <c:pt idx="46">
                  <c:v>0.9840245775729648</c:v>
                </c:pt>
                <c:pt idx="47">
                  <c:v>0.97154963680387418</c:v>
                </c:pt>
                <c:pt idx="48">
                  <c:v>1.1569230769230769</c:v>
                </c:pt>
                <c:pt idx="49">
                  <c:v>1.3785982478097623</c:v>
                </c:pt>
                <c:pt idx="50">
                  <c:v>1.4942241648454573</c:v>
                </c:pt>
                <c:pt idx="51">
                  <c:v>1.6196261682242989</c:v>
                </c:pt>
                <c:pt idx="52">
                  <c:v>1.3109042553191488</c:v>
                </c:pt>
                <c:pt idx="53">
                  <c:v>1.0608261461643214</c:v>
                </c:pt>
                <c:pt idx="54">
                  <c:v>0.81216046803175923</c:v>
                </c:pt>
                <c:pt idx="55">
                  <c:v>0.62165801115599151</c:v>
                </c:pt>
                <c:pt idx="56">
                  <c:v>0.61533779671332922</c:v>
                </c:pt>
                <c:pt idx="57">
                  <c:v>0.60868635002139493</c:v>
                </c:pt>
                <c:pt idx="58">
                  <c:v>0.7015693336763571</c:v>
                </c:pt>
                <c:pt idx="59">
                  <c:v>0.8214727722772277</c:v>
                </c:pt>
                <c:pt idx="60">
                  <c:v>0.8460270359380152</c:v>
                </c:pt>
                <c:pt idx="61">
                  <c:v>0.85131810193321611</c:v>
                </c:pt>
                <c:pt idx="62">
                  <c:v>0.82178217821782185</c:v>
                </c:pt>
                <c:pt idx="63">
                  <c:v>0.80338983050847446</c:v>
                </c:pt>
                <c:pt idx="64">
                  <c:v>0.86749805144193304</c:v>
                </c:pt>
                <c:pt idx="65">
                  <c:v>0.88893476465730814</c:v>
                </c:pt>
                <c:pt idx="66">
                  <c:v>0.98215082552431954</c:v>
                </c:pt>
                <c:pt idx="67">
                  <c:v>1.0548523206751055</c:v>
                </c:pt>
                <c:pt idx="68">
                  <c:v>1.0008984725965857</c:v>
                </c:pt>
                <c:pt idx="69">
                  <c:v>1.0515559684161635</c:v>
                </c:pt>
                <c:pt idx="70">
                  <c:v>1.0445252158109948</c:v>
                </c:pt>
                <c:pt idx="71">
                  <c:v>1.0413333333333332</c:v>
                </c:pt>
                <c:pt idx="72">
                  <c:v>1.0700179533213643</c:v>
                </c:pt>
                <c:pt idx="73">
                  <c:v>1.1015901060070672</c:v>
                </c:pt>
                <c:pt idx="74">
                  <c:v>1.1191822531535451</c:v>
                </c:pt>
                <c:pt idx="75">
                  <c:v>1.1399914639351258</c:v>
                </c:pt>
                <c:pt idx="76">
                  <c:v>1.1963087248322148</c:v>
                </c:pt>
                <c:pt idx="77">
                  <c:v>1.13672814755413</c:v>
                </c:pt>
                <c:pt idx="78">
                  <c:v>1.0994947532063739</c:v>
                </c:pt>
                <c:pt idx="79">
                  <c:v>1.0617746162485959</c:v>
                </c:pt>
                <c:pt idx="80">
                  <c:v>1.0375175315568022</c:v>
                </c:pt>
                <c:pt idx="81">
                  <c:v>1.0582010582010581</c:v>
                </c:pt>
                <c:pt idx="82">
                  <c:v>1.0731707317073171</c:v>
                </c:pt>
                <c:pt idx="83">
                  <c:v>1.0581805359661496</c:v>
                </c:pt>
                <c:pt idx="84">
                  <c:v>1.0152078404866509</c:v>
                </c:pt>
                <c:pt idx="85">
                  <c:v>0.94200000000000006</c:v>
                </c:pt>
                <c:pt idx="86">
                  <c:v>0.88801054018445325</c:v>
                </c:pt>
                <c:pt idx="87">
                  <c:v>0.88737087637454171</c:v>
                </c:pt>
                <c:pt idx="88">
                  <c:v>0.87083888149134492</c:v>
                </c:pt>
                <c:pt idx="89">
                  <c:v>0.89455060155697097</c:v>
                </c:pt>
                <c:pt idx="90">
                  <c:v>0.9258160237388724</c:v>
                </c:pt>
                <c:pt idx="91">
                  <c:v>0.92076605332331962</c:v>
                </c:pt>
                <c:pt idx="92">
                  <c:v>0.922782874617737</c:v>
                </c:pt>
                <c:pt idx="93">
                  <c:v>0.95094936708860756</c:v>
                </c:pt>
                <c:pt idx="94">
                  <c:v>0.96514423076923073</c:v>
                </c:pt>
                <c:pt idx="95">
                  <c:v>0.98246329526916809</c:v>
                </c:pt>
                <c:pt idx="96">
                  <c:v>1.0099420049710024</c:v>
                </c:pt>
                <c:pt idx="97">
                  <c:v>1.0611480865224627</c:v>
                </c:pt>
                <c:pt idx="98">
                  <c:v>1.1116645911166461</c:v>
                </c:pt>
                <c:pt idx="99">
                  <c:v>1.1212121212121213</c:v>
                </c:pt>
                <c:pt idx="100">
                  <c:v>1.1070549630844955</c:v>
                </c:pt>
                <c:pt idx="101">
                  <c:v>1.0831046648373186</c:v>
                </c:pt>
                <c:pt idx="102">
                  <c:v>1.0436893203883495</c:v>
                </c:pt>
                <c:pt idx="103">
                  <c:v>1.0381340244353943</c:v>
                </c:pt>
                <c:pt idx="104">
                  <c:v>1.0422378658762506</c:v>
                </c:pt>
                <c:pt idx="105">
                  <c:v>1.0220774520448788</c:v>
                </c:pt>
                <c:pt idx="106">
                  <c:v>1.0447227191413238</c:v>
                </c:pt>
                <c:pt idx="107">
                  <c:v>1.0288873038516406</c:v>
                </c:pt>
                <c:pt idx="108">
                  <c:v>1.0629221471738357</c:v>
                </c:pt>
                <c:pt idx="109">
                  <c:v>1.0959631728045327</c:v>
                </c:pt>
                <c:pt idx="110">
                  <c:v>1.0989726027397262</c:v>
                </c:pt>
                <c:pt idx="111">
                  <c:v>1.1466204506065856</c:v>
                </c:pt>
                <c:pt idx="112">
                  <c:v>1.1391304347826088</c:v>
                </c:pt>
                <c:pt idx="113">
                  <c:v>1.1363489499192245</c:v>
                </c:pt>
                <c:pt idx="114">
                  <c:v>1.1062636335306948</c:v>
                </c:pt>
                <c:pt idx="115">
                  <c:v>1.086759371221282</c:v>
                </c:pt>
                <c:pt idx="116">
                  <c:v>1.0725190839694656</c:v>
                </c:pt>
                <c:pt idx="117">
                  <c:v>1.0398066533977821</c:v>
                </c:pt>
                <c:pt idx="118">
                  <c:v>1.028169014084507</c:v>
                </c:pt>
              </c:numCache>
            </c:numRef>
          </c:xVal>
          <c:yVal>
            <c:numRef>
              <c:f>'Model1 San Jose'!$C$27:$C$145</c:f>
              <c:numCache>
                <c:formatCode>General</c:formatCode>
                <c:ptCount val="119"/>
                <c:pt idx="0">
                  <c:v>-1.0825670100644453</c:v>
                </c:pt>
                <c:pt idx="1">
                  <c:v>-1.1511799461015713</c:v>
                </c:pt>
                <c:pt idx="2">
                  <c:v>-1.0057756197692624</c:v>
                </c:pt>
                <c:pt idx="3">
                  <c:v>-0.86541329588532623</c:v>
                </c:pt>
                <c:pt idx="4">
                  <c:v>-0.88413892527553184</c:v>
                </c:pt>
                <c:pt idx="5">
                  <c:v>-0.65717841417863632</c:v>
                </c:pt>
                <c:pt idx="6">
                  <c:v>-0.62786491806895661</c:v>
                </c:pt>
                <c:pt idx="7">
                  <c:v>-0.65214045482247407</c:v>
                </c:pt>
                <c:pt idx="8">
                  <c:v>-0.74545906561531528</c:v>
                </c:pt>
                <c:pt idx="9">
                  <c:v>-0.58171165133012792</c:v>
                </c:pt>
                <c:pt idx="10">
                  <c:v>-0.27511796745772266</c:v>
                </c:pt>
                <c:pt idx="11">
                  <c:v>0.13878560171588106</c:v>
                </c:pt>
                <c:pt idx="12">
                  <c:v>0.66135618283181508</c:v>
                </c:pt>
                <c:pt idx="13">
                  <c:v>0.87908877111371275</c:v>
                </c:pt>
                <c:pt idx="14">
                  <c:v>1.1690126827222809</c:v>
                </c:pt>
                <c:pt idx="15">
                  <c:v>1.2027135472747137</c:v>
                </c:pt>
                <c:pt idx="16">
                  <c:v>1.252886334189979</c:v>
                </c:pt>
                <c:pt idx="17">
                  <c:v>0.75530246356956354</c:v>
                </c:pt>
                <c:pt idx="18">
                  <c:v>0.64949753719024628</c:v>
                </c:pt>
                <c:pt idx="19">
                  <c:v>0.37010824536806197</c:v>
                </c:pt>
                <c:pt idx="20">
                  <c:v>0.10266511450054239</c:v>
                </c:pt>
                <c:pt idx="21">
                  <c:v>-0.22754846365753778</c:v>
                </c:pt>
                <c:pt idx="22">
                  <c:v>-1.0372112571931904</c:v>
                </c:pt>
                <c:pt idx="23">
                  <c:v>-1.2223099226606013</c:v>
                </c:pt>
                <c:pt idx="24">
                  <c:v>-2.0867500292321282</c:v>
                </c:pt>
                <c:pt idx="25">
                  <c:v>-1.9247459493014176</c:v>
                </c:pt>
                <c:pt idx="26">
                  <c:v>-0.73359206618178341</c:v>
                </c:pt>
                <c:pt idx="27">
                  <c:v>-0.40072918376144351</c:v>
                </c:pt>
                <c:pt idx="28">
                  <c:v>0.53601121949697372</c:v>
                </c:pt>
                <c:pt idx="29">
                  <c:v>0.51721651156892356</c:v>
                </c:pt>
                <c:pt idx="30">
                  <c:v>0.41722150921744472</c:v>
                </c:pt>
                <c:pt idx="31">
                  <c:v>0.80320549750225911</c:v>
                </c:pt>
                <c:pt idx="32">
                  <c:v>1.1679823836968044</c:v>
                </c:pt>
                <c:pt idx="33">
                  <c:v>1.8137734053358336</c:v>
                </c:pt>
                <c:pt idx="34">
                  <c:v>1.7844234463379287</c:v>
                </c:pt>
                <c:pt idx="35">
                  <c:v>1.4538004233943109</c:v>
                </c:pt>
                <c:pt idx="36">
                  <c:v>0.4237692032945013</c:v>
                </c:pt>
                <c:pt idx="37">
                  <c:v>-0.55129313253554635</c:v>
                </c:pt>
                <c:pt idx="38">
                  <c:v>-1.0783876492588176</c:v>
                </c:pt>
                <c:pt idx="39">
                  <c:v>-1.2058922556257192</c:v>
                </c:pt>
                <c:pt idx="40">
                  <c:v>-0.66399287721572353</c:v>
                </c:pt>
                <c:pt idx="41">
                  <c:v>-0.24020960181414797</c:v>
                </c:pt>
                <c:pt idx="42">
                  <c:v>0.19671080034879829</c:v>
                </c:pt>
                <c:pt idx="43">
                  <c:v>0.64782874596346041</c:v>
                </c:pt>
                <c:pt idx="44">
                  <c:v>0.3790431122300042</c:v>
                </c:pt>
                <c:pt idx="45">
                  <c:v>-6.5833577187385472E-2</c:v>
                </c:pt>
                <c:pt idx="46">
                  <c:v>-0.22939433765979356</c:v>
                </c:pt>
                <c:pt idx="47">
                  <c:v>-0.4597648672959691</c:v>
                </c:pt>
                <c:pt idx="48">
                  <c:v>0.13949841895852177</c:v>
                </c:pt>
                <c:pt idx="49">
                  <c:v>1.0699099833568493</c:v>
                </c:pt>
                <c:pt idx="50">
                  <c:v>1.6473151287794829</c:v>
                </c:pt>
                <c:pt idx="51">
                  <c:v>2.2228443261461637</c:v>
                </c:pt>
                <c:pt idx="52">
                  <c:v>1.4842466752245294</c:v>
                </c:pt>
                <c:pt idx="53">
                  <c:v>1.0496210665658792</c:v>
                </c:pt>
                <c:pt idx="54">
                  <c:v>0.53934235068448544</c:v>
                </c:pt>
                <c:pt idx="55">
                  <c:v>0.46626239594606744</c:v>
                </c:pt>
                <c:pt idx="56">
                  <c:v>0.76817040235070166</c:v>
                </c:pt>
                <c:pt idx="57">
                  <c:v>0.35783186997723071</c:v>
                </c:pt>
                <c:pt idx="58">
                  <c:v>0.77121792543405832</c:v>
                </c:pt>
                <c:pt idx="59">
                  <c:v>0.9187793464796048</c:v>
                </c:pt>
                <c:pt idx="60">
                  <c:v>0.31198754872377954</c:v>
                </c:pt>
                <c:pt idx="61">
                  <c:v>0.40530912878657155</c:v>
                </c:pt>
                <c:pt idx="62">
                  <c:v>5.4550590411764688E-2</c:v>
                </c:pt>
                <c:pt idx="63">
                  <c:v>-0.15006500331523931</c:v>
                </c:pt>
                <c:pt idx="64">
                  <c:v>0.52170744260749125</c:v>
                </c:pt>
                <c:pt idx="65">
                  <c:v>0.27917202500134408</c:v>
                </c:pt>
                <c:pt idx="66">
                  <c:v>0.28279279105989019</c:v>
                </c:pt>
                <c:pt idx="67">
                  <c:v>0.21536882196924179</c:v>
                </c:pt>
                <c:pt idx="68">
                  <c:v>-0.7699166324840041</c:v>
                </c:pt>
                <c:pt idx="69">
                  <c:v>-0.98124875744799489</c:v>
                </c:pt>
                <c:pt idx="70">
                  <c:v>-0.9970613020478325</c:v>
                </c:pt>
                <c:pt idx="71">
                  <c:v>-0.71699341460125421</c:v>
                </c:pt>
                <c:pt idx="72">
                  <c:v>-5.7081288330517843E-2</c:v>
                </c:pt>
                <c:pt idx="73">
                  <c:v>0.1134248736218737</c:v>
                </c:pt>
                <c:pt idx="74">
                  <c:v>1.5059194765303374E-3</c:v>
                </c:pt>
                <c:pt idx="75">
                  <c:v>-0.30032613390889384</c:v>
                </c:pt>
                <c:pt idx="76">
                  <c:v>-0.7673953944257077</c:v>
                </c:pt>
                <c:pt idx="77">
                  <c:v>-1.1317429274704853</c:v>
                </c:pt>
                <c:pt idx="78">
                  <c:v>-1.0621013510345341</c:v>
                </c:pt>
                <c:pt idx="79">
                  <c:v>-1.1005551127908832</c:v>
                </c:pt>
                <c:pt idx="80">
                  <c:v>-0.84678955955401491</c:v>
                </c:pt>
                <c:pt idx="81">
                  <c:v>-0.95038537117709776</c:v>
                </c:pt>
                <c:pt idx="82">
                  <c:v>-0.8348445393659496</c:v>
                </c:pt>
                <c:pt idx="83">
                  <c:v>-0.28931117259701278</c:v>
                </c:pt>
                <c:pt idx="84">
                  <c:v>0.34798389583478073</c:v>
                </c:pt>
                <c:pt idx="85">
                  <c:v>0.56589169125433081</c:v>
                </c:pt>
                <c:pt idx="86">
                  <c:v>1.1386711994446754</c:v>
                </c:pt>
                <c:pt idx="87">
                  <c:v>1.3898968253405535</c:v>
                </c:pt>
                <c:pt idx="88">
                  <c:v>1.0722938749442816</c:v>
                </c:pt>
                <c:pt idx="89">
                  <c:v>1.3475958811056303</c:v>
                </c:pt>
                <c:pt idx="90">
                  <c:v>1.0329602111491818</c:v>
                </c:pt>
                <c:pt idx="91">
                  <c:v>0.77028961957526221</c:v>
                </c:pt>
                <c:pt idx="92">
                  <c:v>0.19956325234556438</c:v>
                </c:pt>
                <c:pt idx="93">
                  <c:v>-0.5319648206531209</c:v>
                </c:pt>
                <c:pt idx="94">
                  <c:v>-0.79427945804679201</c:v>
                </c:pt>
                <c:pt idx="95">
                  <c:v>-1.2155793648431565</c:v>
                </c:pt>
                <c:pt idx="96">
                  <c:v>-0.9579316610590336</c:v>
                </c:pt>
                <c:pt idx="97">
                  <c:v>-0.61690762463417403</c:v>
                </c:pt>
                <c:pt idx="98">
                  <c:v>-3.482415778767578E-2</c:v>
                </c:pt>
                <c:pt idx="99">
                  <c:v>0.28837799825252031</c:v>
                </c:pt>
                <c:pt idx="100">
                  <c:v>1.1713170585953669E-2</c:v>
                </c:pt>
                <c:pt idx="101">
                  <c:v>0.19085470115751502</c:v>
                </c:pt>
                <c:pt idx="102">
                  <c:v>-2.2593580213367659E-2</c:v>
                </c:pt>
                <c:pt idx="103">
                  <c:v>-1.9926686006507488E-2</c:v>
                </c:pt>
                <c:pt idx="104">
                  <c:v>4.3993103320225657E-2</c:v>
                </c:pt>
                <c:pt idx="105">
                  <c:v>-0.25788110118674545</c:v>
                </c:pt>
                <c:pt idx="106">
                  <c:v>-0.2455377600759947</c:v>
                </c:pt>
                <c:pt idx="107">
                  <c:v>-0.28659056717793874</c:v>
                </c:pt>
                <c:pt idx="108">
                  <c:v>-0.19402660351538614</c:v>
                </c:pt>
                <c:pt idx="109">
                  <c:v>3.0969446892171071E-2</c:v>
                </c:pt>
                <c:pt idx="110">
                  <c:v>-0.18811438475844344</c:v>
                </c:pt>
                <c:pt idx="111">
                  <c:v>-0.2009512877266646</c:v>
                </c:pt>
                <c:pt idx="112">
                  <c:v>-0.14296315098203216</c:v>
                </c:pt>
                <c:pt idx="113">
                  <c:v>-0.24711359190182591</c:v>
                </c:pt>
                <c:pt idx="114">
                  <c:v>-0.21662124216578516</c:v>
                </c:pt>
                <c:pt idx="115">
                  <c:v>-0.28625424014309608</c:v>
                </c:pt>
                <c:pt idx="116">
                  <c:v>-0.43468215061570881</c:v>
                </c:pt>
                <c:pt idx="117">
                  <c:v>-0.43303055014999803</c:v>
                </c:pt>
                <c:pt idx="118">
                  <c:v>-0.43452225828357527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59-424D-B00D-E12B6E6D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952"/>
        <c:axId val="1027267712"/>
      </c:scatterChart>
      <c:valAx>
        <c:axId val="10272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7712"/>
        <c:crosses val="autoZero"/>
        <c:crossBetween val="midCat"/>
      </c:valAx>
      <c:valAx>
        <c:axId val="1027267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SanJose!$M$6:$M$124</c:f>
              <c:numCache>
                <c:formatCode>General</c:formatCode>
                <c:ptCount val="119"/>
                <c:pt idx="0">
                  <c:v>7.5327590000000004</c:v>
                </c:pt>
                <c:pt idx="1">
                  <c:v>7.5568220000000004</c:v>
                </c:pt>
                <c:pt idx="2">
                  <c:v>7.5553679999999996</c:v>
                </c:pt>
                <c:pt idx="3">
                  <c:v>7.5991540000000004</c:v>
                </c:pt>
                <c:pt idx="4">
                  <c:v>7.6633979999999999</c:v>
                </c:pt>
                <c:pt idx="5">
                  <c:v>7.7600569999999998</c:v>
                </c:pt>
                <c:pt idx="6">
                  <c:v>7.8351420000000003</c:v>
                </c:pt>
                <c:pt idx="7">
                  <c:v>7.822133</c:v>
                </c:pt>
                <c:pt idx="8">
                  <c:v>7.7618309999999999</c:v>
                </c:pt>
                <c:pt idx="9">
                  <c:v>7.7472110000000001</c:v>
                </c:pt>
                <c:pt idx="10">
                  <c:v>7.7629289999999997</c:v>
                </c:pt>
                <c:pt idx="11">
                  <c:v>7.8069050000000004</c:v>
                </c:pt>
                <c:pt idx="12">
                  <c:v>7.8392340000000003</c:v>
                </c:pt>
                <c:pt idx="13">
                  <c:v>8.0733180000000004</c:v>
                </c:pt>
                <c:pt idx="14">
                  <c:v>8.3455759999999994</c:v>
                </c:pt>
                <c:pt idx="15">
                  <c:v>8.645702</c:v>
                </c:pt>
                <c:pt idx="16">
                  <c:v>9.1897859999999998</c:v>
                </c:pt>
                <c:pt idx="17">
                  <c:v>9.6797699999999995</c:v>
                </c:pt>
                <c:pt idx="18">
                  <c:v>10.1889</c:v>
                </c:pt>
                <c:pt idx="19">
                  <c:v>10.323549999999999</c:v>
                </c:pt>
                <c:pt idx="20">
                  <c:v>10.576610000000001</c:v>
                </c:pt>
                <c:pt idx="21">
                  <c:v>10.279960000000001</c:v>
                </c:pt>
                <c:pt idx="22">
                  <c:v>10.18262</c:v>
                </c:pt>
                <c:pt idx="23">
                  <c:v>9.9707419999999995</c:v>
                </c:pt>
                <c:pt idx="24">
                  <c:v>9.7084960000000002</c:v>
                </c:pt>
                <c:pt idx="25">
                  <c:v>9.1551639999999992</c:v>
                </c:pt>
                <c:pt idx="26">
                  <c:v>8.1541060000000005</c:v>
                </c:pt>
                <c:pt idx="27">
                  <c:v>7.8327220000000004</c:v>
                </c:pt>
                <c:pt idx="28">
                  <c:v>6.9053760000000004</c:v>
                </c:pt>
                <c:pt idx="29">
                  <c:v>7.0053429999999999</c:v>
                </c:pt>
                <c:pt idx="30">
                  <c:v>7.5893969999999999</c:v>
                </c:pt>
                <c:pt idx="31">
                  <c:v>7.7491260000000004</c:v>
                </c:pt>
                <c:pt idx="32">
                  <c:v>8.3390880000000003</c:v>
                </c:pt>
                <c:pt idx="33">
                  <c:v>8.3532060000000001</c:v>
                </c:pt>
                <c:pt idx="34">
                  <c:v>8.4471349999999994</c:v>
                </c:pt>
                <c:pt idx="35">
                  <c:v>8.7571940000000001</c:v>
                </c:pt>
                <c:pt idx="36">
                  <c:v>9.1641840000000006</c:v>
                </c:pt>
                <c:pt idx="37">
                  <c:v>9.7577040000000004</c:v>
                </c:pt>
                <c:pt idx="38">
                  <c:v>9.8415429999999997</c:v>
                </c:pt>
                <c:pt idx="39">
                  <c:v>9.5899970000000003</c:v>
                </c:pt>
                <c:pt idx="40">
                  <c:v>8.78186</c:v>
                </c:pt>
                <c:pt idx="41">
                  <c:v>8.1016429999999993</c:v>
                </c:pt>
                <c:pt idx="42">
                  <c:v>7.5051420000000002</c:v>
                </c:pt>
                <c:pt idx="43">
                  <c:v>7.1664079999999997</c:v>
                </c:pt>
                <c:pt idx="44">
                  <c:v>7.1586740000000004</c:v>
                </c:pt>
                <c:pt idx="45">
                  <c:v>7.1987360000000002</c:v>
                </c:pt>
                <c:pt idx="46">
                  <c:v>7.2553239999999999</c:v>
                </c:pt>
                <c:pt idx="47">
                  <c:v>7.4156529999999998</c:v>
                </c:pt>
                <c:pt idx="48">
                  <c:v>7.5210520000000001</c:v>
                </c:pt>
                <c:pt idx="49">
                  <c:v>7.5161660000000001</c:v>
                </c:pt>
                <c:pt idx="50">
                  <c:v>7.5280769999999997</c:v>
                </c:pt>
                <c:pt idx="51">
                  <c:v>7.5033500000000002</c:v>
                </c:pt>
                <c:pt idx="52">
                  <c:v>7.6314830000000002</c:v>
                </c:pt>
                <c:pt idx="53">
                  <c:v>7.7285250000000003</c:v>
                </c:pt>
                <c:pt idx="54">
                  <c:v>7.8349950000000002</c:v>
                </c:pt>
                <c:pt idx="55">
                  <c:v>7.8799539999999997</c:v>
                </c:pt>
                <c:pt idx="56">
                  <c:v>8.0915560000000006</c:v>
                </c:pt>
                <c:pt idx="57">
                  <c:v>8.6196450000000002</c:v>
                </c:pt>
                <c:pt idx="58">
                  <c:v>8.9193359999999995</c:v>
                </c:pt>
                <c:pt idx="59">
                  <c:v>9.4416499999999992</c:v>
                </c:pt>
                <c:pt idx="60">
                  <c:v>9.9722989999999996</c:v>
                </c:pt>
                <c:pt idx="61">
                  <c:v>9.8738799999999998</c:v>
                </c:pt>
                <c:pt idx="62">
                  <c:v>9.8854310000000005</c:v>
                </c:pt>
                <c:pt idx="63">
                  <c:v>9.8279580000000006</c:v>
                </c:pt>
                <c:pt idx="64">
                  <c:v>9.3960450000000009</c:v>
                </c:pt>
                <c:pt idx="65">
                  <c:v>9.3297070000000009</c:v>
                </c:pt>
                <c:pt idx="66">
                  <c:v>9.2657729999999994</c:v>
                </c:pt>
                <c:pt idx="67">
                  <c:v>9.1095980000000001</c:v>
                </c:pt>
                <c:pt idx="68">
                  <c:v>9.2532060000000005</c:v>
                </c:pt>
                <c:pt idx="69">
                  <c:v>9.0784640000000003</c:v>
                </c:pt>
                <c:pt idx="70">
                  <c:v>8.6459659999999996</c:v>
                </c:pt>
                <c:pt idx="71">
                  <c:v>8.2130919999999996</c:v>
                </c:pt>
                <c:pt idx="72">
                  <c:v>7.524114</c:v>
                </c:pt>
                <c:pt idx="73">
                  <c:v>7.0058340000000001</c:v>
                </c:pt>
                <c:pt idx="74">
                  <c:v>6.8000369999999997</c:v>
                </c:pt>
                <c:pt idx="75">
                  <c:v>6.9416390000000003</c:v>
                </c:pt>
                <c:pt idx="76">
                  <c:v>7.1642979999999996</c:v>
                </c:pt>
                <c:pt idx="77">
                  <c:v>7.1002609999999997</c:v>
                </c:pt>
                <c:pt idx="78">
                  <c:v>6.7659219999999998</c:v>
                </c:pt>
                <c:pt idx="79">
                  <c:v>6.3910439999999999</c:v>
                </c:pt>
                <c:pt idx="80">
                  <c:v>5.8675560000000004</c:v>
                </c:pt>
                <c:pt idx="81">
                  <c:v>5.7194950000000002</c:v>
                </c:pt>
                <c:pt idx="82">
                  <c:v>5.7040879999999996</c:v>
                </c:pt>
                <c:pt idx="83">
                  <c:v>5.4518899999999997</c:v>
                </c:pt>
                <c:pt idx="84">
                  <c:v>5.3286939999999996</c:v>
                </c:pt>
                <c:pt idx="85">
                  <c:v>5.1411509999999998</c:v>
                </c:pt>
                <c:pt idx="86">
                  <c:v>5.1923089999999998</c:v>
                </c:pt>
                <c:pt idx="87">
                  <c:v>5.4664919999999997</c:v>
                </c:pt>
                <c:pt idx="88">
                  <c:v>6.0339210000000003</c:v>
                </c:pt>
                <c:pt idx="89">
                  <c:v>6.5728140000000002</c:v>
                </c:pt>
                <c:pt idx="90">
                  <c:v>7.4134099999999998</c:v>
                </c:pt>
                <c:pt idx="91">
                  <c:v>7.7968799999999998</c:v>
                </c:pt>
                <c:pt idx="92">
                  <c:v>7.9131770000000001</c:v>
                </c:pt>
                <c:pt idx="93">
                  <c:v>8.3286259999999999</c:v>
                </c:pt>
                <c:pt idx="94">
                  <c:v>8.145429</c:v>
                </c:pt>
                <c:pt idx="95">
                  <c:v>8.1321849999999998</c:v>
                </c:pt>
                <c:pt idx="96">
                  <c:v>7.7895589999999997</c:v>
                </c:pt>
                <c:pt idx="97">
                  <c:v>7.1082400000000003</c:v>
                </c:pt>
                <c:pt idx="98">
                  <c:v>6.4654379999999998</c:v>
                </c:pt>
                <c:pt idx="99">
                  <c:v>5.8690519999999999</c:v>
                </c:pt>
                <c:pt idx="100">
                  <c:v>5.8495720000000002</c:v>
                </c:pt>
                <c:pt idx="101">
                  <c:v>5.5911119999999999</c:v>
                </c:pt>
                <c:pt idx="102">
                  <c:v>5.6054339999999998</c:v>
                </c:pt>
                <c:pt idx="103">
                  <c:v>5.5982459999999996</c:v>
                </c:pt>
                <c:pt idx="104">
                  <c:v>5.4316909999999998</c:v>
                </c:pt>
                <c:pt idx="105">
                  <c:v>5.5642009999999997</c:v>
                </c:pt>
                <c:pt idx="106">
                  <c:v>5.7061349999999997</c:v>
                </c:pt>
                <c:pt idx="107">
                  <c:v>5.7349050000000004</c:v>
                </c:pt>
                <c:pt idx="108">
                  <c:v>5.7025670000000002</c:v>
                </c:pt>
                <c:pt idx="109">
                  <c:v>5.4960469999999999</c:v>
                </c:pt>
                <c:pt idx="110">
                  <c:v>5.471571</c:v>
                </c:pt>
                <c:pt idx="111">
                  <c:v>5.4323969999999999</c:v>
                </c:pt>
                <c:pt idx="112">
                  <c:v>5.3014650000000003</c:v>
                </c:pt>
                <c:pt idx="113">
                  <c:v>5.3635510000000002</c:v>
                </c:pt>
                <c:pt idx="114">
                  <c:v>5.1388340000000001</c:v>
                </c:pt>
                <c:pt idx="115">
                  <c:v>4.9349959999999999</c:v>
                </c:pt>
                <c:pt idx="116">
                  <c:v>4.8659230000000004</c:v>
                </c:pt>
                <c:pt idx="117">
                  <c:v>4.7552269999999996</c:v>
                </c:pt>
                <c:pt idx="118">
                  <c:v>4.7117240000000002</c:v>
                </c:pt>
              </c:numCache>
            </c:numRef>
          </c:xVal>
          <c:yVal>
            <c:numRef>
              <c:f>'Model 2 San Jose'!$C$28:$C$146</c:f>
              <c:numCache>
                <c:formatCode>General</c:formatCode>
                <c:ptCount val="119"/>
                <c:pt idx="0">
                  <c:v>-1.0639938628844776</c:v>
                </c:pt>
                <c:pt idx="1">
                  <c:v>-1.1673733678019964</c:v>
                </c:pt>
                <c:pt idx="2">
                  <c:v>-1.0132509092601767</c:v>
                </c:pt>
                <c:pt idx="3">
                  <c:v>-0.8395566823760392</c:v>
                </c:pt>
                <c:pt idx="4">
                  <c:v>-0.81712328798583034</c:v>
                </c:pt>
                <c:pt idx="5">
                  <c:v>-0.47423082609989109</c:v>
                </c:pt>
                <c:pt idx="6">
                  <c:v>-0.47521741278489671</c:v>
                </c:pt>
                <c:pt idx="7">
                  <c:v>-0.49067797762609544</c:v>
                </c:pt>
                <c:pt idx="8">
                  <c:v>-0.50538924623673953</c:v>
                </c:pt>
                <c:pt idx="9">
                  <c:v>-0.48475149639889281</c:v>
                </c:pt>
                <c:pt idx="10">
                  <c:v>4.8453530330636596E-3</c:v>
                </c:pt>
                <c:pt idx="11">
                  <c:v>0.57396882731391585</c:v>
                </c:pt>
                <c:pt idx="12">
                  <c:v>0.93703632603390652</c:v>
                </c:pt>
                <c:pt idx="13">
                  <c:v>1.073123354425972</c:v>
                </c:pt>
                <c:pt idx="14">
                  <c:v>1.190514519104962</c:v>
                </c:pt>
                <c:pt idx="15">
                  <c:v>1.1039073986758172</c:v>
                </c:pt>
                <c:pt idx="16">
                  <c:v>1.1326944655971882</c:v>
                </c:pt>
                <c:pt idx="17">
                  <c:v>0.65418930951745402</c:v>
                </c:pt>
                <c:pt idx="18">
                  <c:v>0.59756834511131274</c:v>
                </c:pt>
                <c:pt idx="19">
                  <c:v>0.31416781382601577</c:v>
                </c:pt>
                <c:pt idx="20">
                  <c:v>9.0902162653243579E-2</c:v>
                </c:pt>
                <c:pt idx="21">
                  <c:v>-0.22432956087397926</c:v>
                </c:pt>
                <c:pt idx="22">
                  <c:v>-1.0661376452794986</c:v>
                </c:pt>
                <c:pt idx="23">
                  <c:v>-1.2598716350501249</c:v>
                </c:pt>
                <c:pt idx="24">
                  <c:v>-2.2054286707642738</c:v>
                </c:pt>
                <c:pt idx="25">
                  <c:v>-2.1468473148266725</c:v>
                </c:pt>
                <c:pt idx="26">
                  <c:v>-0.88193433545768052</c:v>
                </c:pt>
                <c:pt idx="27">
                  <c:v>-0.64226368776932574</c:v>
                </c:pt>
                <c:pt idx="28">
                  <c:v>0.39355441617688669</c:v>
                </c:pt>
                <c:pt idx="29">
                  <c:v>0.50346665799023427</c:v>
                </c:pt>
                <c:pt idx="30">
                  <c:v>0.33248023244185632</c:v>
                </c:pt>
                <c:pt idx="31">
                  <c:v>0.73963979943038716</c:v>
                </c:pt>
                <c:pt idx="32">
                  <c:v>1.1097868181675654</c:v>
                </c:pt>
                <c:pt idx="33">
                  <c:v>1.6841463809376975</c:v>
                </c:pt>
                <c:pt idx="34">
                  <c:v>1.6661675881503921</c:v>
                </c:pt>
                <c:pt idx="35">
                  <c:v>1.4301295672556726</c:v>
                </c:pt>
                <c:pt idx="36">
                  <c:v>0.32119008805419647</c:v>
                </c:pt>
                <c:pt idx="37">
                  <c:v>-0.79741605860881037</c:v>
                </c:pt>
                <c:pt idx="38">
                  <c:v>-1.30447412149661</c:v>
                </c:pt>
                <c:pt idx="39">
                  <c:v>-1.4670509813789652</c:v>
                </c:pt>
                <c:pt idx="40">
                  <c:v>-0.97341063117458848</c:v>
                </c:pt>
                <c:pt idx="41">
                  <c:v>-0.52489853330217073</c:v>
                </c:pt>
                <c:pt idx="42">
                  <c:v>-4.7175340342237249E-2</c:v>
                </c:pt>
                <c:pt idx="43">
                  <c:v>0.43803631845559199</c:v>
                </c:pt>
                <c:pt idx="44">
                  <c:v>0.19313838784015669</c:v>
                </c:pt>
                <c:pt idx="45">
                  <c:v>-0.19402029392806064</c:v>
                </c:pt>
                <c:pt idx="46">
                  <c:v>-0.33587633166178676</c:v>
                </c:pt>
                <c:pt idx="47">
                  <c:v>-0.53217097731469654</c:v>
                </c:pt>
                <c:pt idx="48">
                  <c:v>0.12370726490161932</c:v>
                </c:pt>
                <c:pt idx="49">
                  <c:v>1.0335579696086752</c:v>
                </c:pt>
                <c:pt idx="50">
                  <c:v>1.6411123069312952</c:v>
                </c:pt>
                <c:pt idx="51">
                  <c:v>2.2082970386887215</c:v>
                </c:pt>
                <c:pt idx="52">
                  <c:v>1.5690631918506774</c:v>
                </c:pt>
                <c:pt idx="53">
                  <c:v>1.1547669516083179</c:v>
                </c:pt>
                <c:pt idx="54">
                  <c:v>0.59472550696229654</c:v>
                </c:pt>
                <c:pt idx="55">
                  <c:v>0.42612959144944185</c:v>
                </c:pt>
                <c:pt idx="56">
                  <c:v>0.58001012562710486</c:v>
                </c:pt>
                <c:pt idx="57">
                  <c:v>0.18016842594778737</c:v>
                </c:pt>
                <c:pt idx="58">
                  <c:v>0.68212591882645413</c:v>
                </c:pt>
                <c:pt idx="59">
                  <c:v>0.94812686916655586</c:v>
                </c:pt>
                <c:pt idx="60">
                  <c:v>0.4757706783513882</c:v>
                </c:pt>
                <c:pt idx="61">
                  <c:v>0.40481170548697598</c:v>
                </c:pt>
                <c:pt idx="62">
                  <c:v>5.5623548855091798E-2</c:v>
                </c:pt>
                <c:pt idx="63">
                  <c:v>-0.18998172241504285</c:v>
                </c:pt>
                <c:pt idx="64">
                  <c:v>0.45730570544039217</c:v>
                </c:pt>
                <c:pt idx="65">
                  <c:v>0.35289813190136243</c:v>
                </c:pt>
                <c:pt idx="66">
                  <c:v>0.33744079143907335</c:v>
                </c:pt>
                <c:pt idx="67">
                  <c:v>0.40146124397860561</c:v>
                </c:pt>
                <c:pt idx="68">
                  <c:v>-0.65018881898459302</c:v>
                </c:pt>
                <c:pt idx="69">
                  <c:v>-0.88160546794388139</c:v>
                </c:pt>
                <c:pt idx="70">
                  <c:v>-0.72336125832486786</c:v>
                </c:pt>
                <c:pt idx="71">
                  <c:v>-0.48644549670749804</c:v>
                </c:pt>
                <c:pt idx="72">
                  <c:v>0.17066172931304013</c:v>
                </c:pt>
                <c:pt idx="73">
                  <c:v>0.34735112751238972</c:v>
                </c:pt>
                <c:pt idx="74">
                  <c:v>0.13480201421560878</c:v>
                </c:pt>
                <c:pt idx="75">
                  <c:v>-0.41757379140841611</c:v>
                </c:pt>
                <c:pt idx="76">
                  <c:v>-0.81330945199651694</c:v>
                </c:pt>
                <c:pt idx="77">
                  <c:v>-1.1314950967100739</c:v>
                </c:pt>
                <c:pt idx="78">
                  <c:v>-1.1030009250164694</c:v>
                </c:pt>
                <c:pt idx="79">
                  <c:v>-0.77087303345113778</c:v>
                </c:pt>
                <c:pt idx="80">
                  <c:v>-0.44117706476355334</c:v>
                </c:pt>
                <c:pt idx="81">
                  <c:v>-0.53064644357757818</c:v>
                </c:pt>
                <c:pt idx="82">
                  <c:v>-0.23576629759640788</c:v>
                </c:pt>
                <c:pt idx="83">
                  <c:v>-0.34015091984845736</c:v>
                </c:pt>
                <c:pt idx="84">
                  <c:v>3.0277526068447358E-3</c:v>
                </c:pt>
                <c:pt idx="85">
                  <c:v>4.9642307838943189E-2</c:v>
                </c:pt>
                <c:pt idx="86">
                  <c:v>0.49130203978379772</c:v>
                </c:pt>
                <c:pt idx="87">
                  <c:v>1.3385304742799438</c:v>
                </c:pt>
                <c:pt idx="88">
                  <c:v>1.1660121781839541</c:v>
                </c:pt>
                <c:pt idx="89">
                  <c:v>1.3365099165898187</c:v>
                </c:pt>
                <c:pt idx="90">
                  <c:v>0.94931846155845534</c:v>
                </c:pt>
                <c:pt idx="91">
                  <c:v>0.68200655126824472</c:v>
                </c:pt>
                <c:pt idx="92">
                  <c:v>0.24288690485107889</c:v>
                </c:pt>
                <c:pt idx="93">
                  <c:v>-0.24976957407637279</c:v>
                </c:pt>
                <c:pt idx="94">
                  <c:v>-0.38347547904817869</c:v>
                </c:pt>
                <c:pt idx="95">
                  <c:v>-0.852331545330415</c:v>
                </c:pt>
                <c:pt idx="96">
                  <c:v>-0.69576255712872914</c:v>
                </c:pt>
                <c:pt idx="97">
                  <c:v>-0.52393764870056625</c:v>
                </c:pt>
                <c:pt idx="98">
                  <c:v>2.8362896384202863E-2</c:v>
                </c:pt>
                <c:pt idx="99">
                  <c:v>0.39266224306203412</c:v>
                </c:pt>
                <c:pt idx="100">
                  <c:v>6.9696103449699898E-2</c:v>
                </c:pt>
                <c:pt idx="101">
                  <c:v>0.19156152395686998</c:v>
                </c:pt>
                <c:pt idx="102">
                  <c:v>-4.9830109601032291E-2</c:v>
                </c:pt>
                <c:pt idx="103">
                  <c:v>-0.10587401970865873</c:v>
                </c:pt>
                <c:pt idx="104">
                  <c:v>3.2134917722359546E-5</c:v>
                </c:pt>
                <c:pt idx="105">
                  <c:v>-0.16299107326438378</c:v>
                </c:pt>
                <c:pt idx="106">
                  <c:v>-0.20360708555976803</c:v>
                </c:pt>
                <c:pt idx="107">
                  <c:v>-0.345250714030227</c:v>
                </c:pt>
                <c:pt idx="108">
                  <c:v>-0.48225986389465803</c:v>
                </c:pt>
                <c:pt idx="109">
                  <c:v>-0.2482158179051881</c:v>
                </c:pt>
                <c:pt idx="110">
                  <c:v>-0.44873293185762275</c:v>
                </c:pt>
                <c:pt idx="111">
                  <c:v>-0.42272812740060495</c:v>
                </c:pt>
                <c:pt idx="112">
                  <c:v>-0.22749629618292921</c:v>
                </c:pt>
                <c:pt idx="113">
                  <c:v>-0.29670042327245305</c:v>
                </c:pt>
                <c:pt idx="114">
                  <c:v>-0.23437734698635992</c:v>
                </c:pt>
                <c:pt idx="115">
                  <c:v>-0.21567035138740565</c:v>
                </c:pt>
                <c:pt idx="116">
                  <c:v>-0.23335291735948349</c:v>
                </c:pt>
                <c:pt idx="117">
                  <c:v>-0.34336177484068209</c:v>
                </c:pt>
                <c:pt idx="118">
                  <c:v>-0.32995082202419823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29-4FD8-9973-E79B03BF8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49104"/>
        <c:axId val="1189549584"/>
      </c:scatterChart>
      <c:valAx>
        <c:axId val="118954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49584"/>
        <c:crosses val="autoZero"/>
        <c:crossBetween val="midCat"/>
      </c:valAx>
      <c:valAx>
        <c:axId val="1189549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491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SanJose!$N$6:$N$124</c:f>
              <c:numCache>
                <c:formatCode>General</c:formatCode>
                <c:ptCount val="119"/>
                <c:pt idx="0">
                  <c:v>8.4109677419354902</c:v>
                </c:pt>
                <c:pt idx="1">
                  <c:v>8.9128571428571401</c:v>
                </c:pt>
                <c:pt idx="2">
                  <c:v>9.1035937499999999</c:v>
                </c:pt>
                <c:pt idx="3">
                  <c:v>8.9570491803278696</c:v>
                </c:pt>
                <c:pt idx="4">
                  <c:v>9.2116393442623004</c:v>
                </c:pt>
                <c:pt idx="5">
                  <c:v>8.7579687499999999</c:v>
                </c:pt>
                <c:pt idx="6">
                  <c:v>8.1074603174603208</c:v>
                </c:pt>
                <c:pt idx="7">
                  <c:v>7.9070967741935503</c:v>
                </c:pt>
                <c:pt idx="8">
                  <c:v>8.4238709677419301</c:v>
                </c:pt>
                <c:pt idx="9">
                  <c:v>8.6741269841269801</c:v>
                </c:pt>
                <c:pt idx="10">
                  <c:v>8.7012698412698395</c:v>
                </c:pt>
                <c:pt idx="11">
                  <c:v>8.4059677419354895</c:v>
                </c:pt>
                <c:pt idx="12">
                  <c:v>8.0231666666666595</c:v>
                </c:pt>
                <c:pt idx="13">
                  <c:v>8.1254687499999996</c:v>
                </c:pt>
                <c:pt idx="14">
                  <c:v>7.95</c:v>
                </c:pt>
                <c:pt idx="15">
                  <c:v>7.3449999999999998</c:v>
                </c:pt>
                <c:pt idx="16">
                  <c:v>7.3069354838709701</c:v>
                </c:pt>
                <c:pt idx="17">
                  <c:v>7.3760317460317504</c:v>
                </c:pt>
                <c:pt idx="18">
                  <c:v>6.6187500000000004</c:v>
                </c:pt>
                <c:pt idx="19">
                  <c:v>6.7403225806451603</c:v>
                </c:pt>
                <c:pt idx="20">
                  <c:v>6.25819672131147</c:v>
                </c:pt>
                <c:pt idx="21">
                  <c:v>5.9880952380952399</c:v>
                </c:pt>
                <c:pt idx="22">
                  <c:v>5.6153124999999999</c:v>
                </c:pt>
                <c:pt idx="23">
                  <c:v>5.6159677419354797</c:v>
                </c:pt>
                <c:pt idx="24">
                  <c:v>6.09032258064516</c:v>
                </c:pt>
                <c:pt idx="25">
                  <c:v>7.0895161290322601</c:v>
                </c:pt>
                <c:pt idx="26">
                  <c:v>7.3279687500000001</c:v>
                </c:pt>
                <c:pt idx="27">
                  <c:v>7.8372131147540998</c:v>
                </c:pt>
                <c:pt idx="28">
                  <c:v>7.47129032258065</c:v>
                </c:pt>
                <c:pt idx="29">
                  <c:v>6.6001587301587303</c:v>
                </c:pt>
                <c:pt idx="30">
                  <c:v>6.3292063492063502</c:v>
                </c:pt>
                <c:pt idx="31">
                  <c:v>5.8985483870967697</c:v>
                </c:pt>
                <c:pt idx="32">
                  <c:v>5.9104838709677399</c:v>
                </c:pt>
                <c:pt idx="33">
                  <c:v>6.7140624999999998</c:v>
                </c:pt>
                <c:pt idx="34">
                  <c:v>6.7759375000000004</c:v>
                </c:pt>
                <c:pt idx="35">
                  <c:v>6.3541935483870997</c:v>
                </c:pt>
                <c:pt idx="36">
                  <c:v>6.5670000000000002</c:v>
                </c:pt>
                <c:pt idx="37">
                  <c:v>6.6996874999999996</c:v>
                </c:pt>
                <c:pt idx="38">
                  <c:v>6.2421875</c:v>
                </c:pt>
                <c:pt idx="39">
                  <c:v>5.9062903225806496</c:v>
                </c:pt>
                <c:pt idx="40">
                  <c:v>5.5909836065573799</c:v>
                </c:pt>
                <c:pt idx="41">
                  <c:v>5.5930158730158697</c:v>
                </c:pt>
                <c:pt idx="42">
                  <c:v>5.2073437499999997</c:v>
                </c:pt>
                <c:pt idx="43">
                  <c:v>4.6619354838709697</c:v>
                </c:pt>
                <c:pt idx="44">
                  <c:v>5.0008196721311498</c:v>
                </c:pt>
                <c:pt idx="45">
                  <c:v>5.5412499999999998</c:v>
                </c:pt>
                <c:pt idx="46">
                  <c:v>5.8829687499999999</c:v>
                </c:pt>
                <c:pt idx="47">
                  <c:v>6.14483870967742</c:v>
                </c:pt>
                <c:pt idx="48">
                  <c:v>6.4684126984126999</c:v>
                </c:pt>
                <c:pt idx="49">
                  <c:v>6.1849206349206298</c:v>
                </c:pt>
                <c:pt idx="50">
                  <c:v>5.8898412698412699</c:v>
                </c:pt>
                <c:pt idx="51">
                  <c:v>5.5706451612903196</c:v>
                </c:pt>
                <c:pt idx="52">
                  <c:v>5.0441935483871001</c:v>
                </c:pt>
                <c:pt idx="53">
                  <c:v>5.2761904761904797</c:v>
                </c:pt>
                <c:pt idx="54">
                  <c:v>4.9957377049180298</c:v>
                </c:pt>
                <c:pt idx="55">
                  <c:v>4.7620967741935498</c:v>
                </c:pt>
                <c:pt idx="56">
                  <c:v>5.0791666666666702</c:v>
                </c:pt>
                <c:pt idx="57">
                  <c:v>5.1060937500000003</c:v>
                </c:pt>
                <c:pt idx="58">
                  <c:v>4.2723437500000001</c:v>
                </c:pt>
                <c:pt idx="59">
                  <c:v>4.0048387096774203</c:v>
                </c:pt>
                <c:pt idx="60">
                  <c:v>3.92</c:v>
                </c:pt>
                <c:pt idx="61">
                  <c:v>3.6206349206349202</c:v>
                </c:pt>
                <c:pt idx="62">
                  <c:v>4.2276562499999999</c:v>
                </c:pt>
                <c:pt idx="63">
                  <c:v>4.2851612903225798</c:v>
                </c:pt>
                <c:pt idx="64">
                  <c:v>4.01</c:v>
                </c:pt>
                <c:pt idx="65">
                  <c:v>4.5970967741935498</c:v>
                </c:pt>
                <c:pt idx="66">
                  <c:v>4.3014062500000003</c:v>
                </c:pt>
                <c:pt idx="67">
                  <c:v>4.1758064516128997</c:v>
                </c:pt>
                <c:pt idx="68">
                  <c:v>4.3036065573770497</c:v>
                </c:pt>
                <c:pt idx="69">
                  <c:v>4.1585937499999996</c:v>
                </c:pt>
                <c:pt idx="70">
                  <c:v>4.2151562499999997</c:v>
                </c:pt>
                <c:pt idx="71">
                  <c:v>4.4881967213114802</c:v>
                </c:pt>
                <c:pt idx="72">
                  <c:v>4.5770967741935502</c:v>
                </c:pt>
                <c:pt idx="73">
                  <c:v>5.0726984126984096</c:v>
                </c:pt>
                <c:pt idx="74">
                  <c:v>4.8934920634920704</c:v>
                </c:pt>
                <c:pt idx="75">
                  <c:v>4.6306451612903201</c:v>
                </c:pt>
                <c:pt idx="76">
                  <c:v>4.6790322580645203</c:v>
                </c:pt>
                <c:pt idx="77">
                  <c:v>4.8460937499999996</c:v>
                </c:pt>
                <c:pt idx="78">
                  <c:v>4.7384126984127004</c:v>
                </c:pt>
                <c:pt idx="79">
                  <c:v>4.26661290322581</c:v>
                </c:pt>
                <c:pt idx="80">
                  <c:v>3.6652459016393402</c:v>
                </c:pt>
                <c:pt idx="81">
                  <c:v>3.8815624999999998</c:v>
                </c:pt>
                <c:pt idx="82">
                  <c:v>3.8621875000000001</c:v>
                </c:pt>
                <c:pt idx="83">
                  <c:v>3.2346774193548402</c:v>
                </c:pt>
                <c:pt idx="84">
                  <c:v>2.7362295081967201</c:v>
                </c:pt>
                <c:pt idx="85">
                  <c:v>3.3207936507936502</c:v>
                </c:pt>
                <c:pt idx="86">
                  <c:v>3.5178124999999998</c:v>
                </c:pt>
                <c:pt idx="87">
                  <c:v>3.46403225806452</c:v>
                </c:pt>
                <c:pt idx="88">
                  <c:v>3.71786885245902</c:v>
                </c:pt>
                <c:pt idx="89">
                  <c:v>3.4925000000000002</c:v>
                </c:pt>
                <c:pt idx="90">
                  <c:v>2.7845312500000001</c:v>
                </c:pt>
                <c:pt idx="91">
                  <c:v>2.87838709677419</c:v>
                </c:pt>
                <c:pt idx="92">
                  <c:v>3.4574193548387102</c:v>
                </c:pt>
                <c:pt idx="93">
                  <c:v>3.2014285714285702</c:v>
                </c:pt>
                <c:pt idx="94">
                  <c:v>2.4142187499999999</c:v>
                </c:pt>
                <c:pt idx="95">
                  <c:v>2.0467213114754101</c:v>
                </c:pt>
                <c:pt idx="96">
                  <c:v>2.04</c:v>
                </c:pt>
                <c:pt idx="97">
                  <c:v>1.8257812499999999</c:v>
                </c:pt>
                <c:pt idx="98">
                  <c:v>1.6412698412698401</c:v>
                </c:pt>
                <c:pt idx="99">
                  <c:v>1.70704918032787</c:v>
                </c:pt>
                <c:pt idx="100">
                  <c:v>1.9510000000000001</c:v>
                </c:pt>
                <c:pt idx="101">
                  <c:v>1.9862500000000001</c:v>
                </c:pt>
                <c:pt idx="102">
                  <c:v>2.7065625</c:v>
                </c:pt>
                <c:pt idx="103">
                  <c:v>2.7441935483870998</c:v>
                </c:pt>
                <c:pt idx="104">
                  <c:v>2.7654098360655701</c:v>
                </c:pt>
                <c:pt idx="105">
                  <c:v>2.6209523809523798</c:v>
                </c:pt>
                <c:pt idx="106">
                  <c:v>2.49953125</c:v>
                </c:pt>
                <c:pt idx="107">
                  <c:v>2.2759677419354798</c:v>
                </c:pt>
                <c:pt idx="108">
                  <c:v>1.9688524590163901</c:v>
                </c:pt>
                <c:pt idx="109">
                  <c:v>2.1643750000000002</c:v>
                </c:pt>
                <c:pt idx="110">
                  <c:v>2.223125</c:v>
                </c:pt>
                <c:pt idx="111">
                  <c:v>2.1904838709677401</c:v>
                </c:pt>
                <c:pt idx="112">
                  <c:v>1.9142619999999999</c:v>
                </c:pt>
                <c:pt idx="113">
                  <c:v>1.750156</c:v>
                </c:pt>
                <c:pt idx="114">
                  <c:v>1.5643750000000001</c:v>
                </c:pt>
                <c:pt idx="115">
                  <c:v>2.1386889999999998</c:v>
                </c:pt>
                <c:pt idx="116">
                  <c:v>2.4466130000000001</c:v>
                </c:pt>
                <c:pt idx="117">
                  <c:v>2.2609520000000001</c:v>
                </c:pt>
                <c:pt idx="118">
                  <c:v>2.2414290000000001</c:v>
                </c:pt>
              </c:numCache>
            </c:numRef>
          </c:xVal>
          <c:yVal>
            <c:numRef>
              <c:f>'Model 2 San Jose'!$C$28:$C$146</c:f>
              <c:numCache>
                <c:formatCode>General</c:formatCode>
                <c:ptCount val="119"/>
                <c:pt idx="0">
                  <c:v>-1.0639938628844776</c:v>
                </c:pt>
                <c:pt idx="1">
                  <c:v>-1.1673733678019964</c:v>
                </c:pt>
                <c:pt idx="2">
                  <c:v>-1.0132509092601767</c:v>
                </c:pt>
                <c:pt idx="3">
                  <c:v>-0.8395566823760392</c:v>
                </c:pt>
                <c:pt idx="4">
                  <c:v>-0.81712328798583034</c:v>
                </c:pt>
                <c:pt idx="5">
                  <c:v>-0.47423082609989109</c:v>
                </c:pt>
                <c:pt idx="6">
                  <c:v>-0.47521741278489671</c:v>
                </c:pt>
                <c:pt idx="7">
                  <c:v>-0.49067797762609544</c:v>
                </c:pt>
                <c:pt idx="8">
                  <c:v>-0.50538924623673953</c:v>
                </c:pt>
                <c:pt idx="9">
                  <c:v>-0.48475149639889281</c:v>
                </c:pt>
                <c:pt idx="10">
                  <c:v>4.8453530330636596E-3</c:v>
                </c:pt>
                <c:pt idx="11">
                  <c:v>0.57396882731391585</c:v>
                </c:pt>
                <c:pt idx="12">
                  <c:v>0.93703632603390652</c:v>
                </c:pt>
                <c:pt idx="13">
                  <c:v>1.073123354425972</c:v>
                </c:pt>
                <c:pt idx="14">
                  <c:v>1.190514519104962</c:v>
                </c:pt>
                <c:pt idx="15">
                  <c:v>1.1039073986758172</c:v>
                </c:pt>
                <c:pt idx="16">
                  <c:v>1.1326944655971882</c:v>
                </c:pt>
                <c:pt idx="17">
                  <c:v>0.65418930951745402</c:v>
                </c:pt>
                <c:pt idx="18">
                  <c:v>0.59756834511131274</c:v>
                </c:pt>
                <c:pt idx="19">
                  <c:v>0.31416781382601577</c:v>
                </c:pt>
                <c:pt idx="20">
                  <c:v>9.0902162653243579E-2</c:v>
                </c:pt>
                <c:pt idx="21">
                  <c:v>-0.22432956087397926</c:v>
                </c:pt>
                <c:pt idx="22">
                  <c:v>-1.0661376452794986</c:v>
                </c:pt>
                <c:pt idx="23">
                  <c:v>-1.2598716350501249</c:v>
                </c:pt>
                <c:pt idx="24">
                  <c:v>-2.2054286707642738</c:v>
                </c:pt>
                <c:pt idx="25">
                  <c:v>-2.1468473148266725</c:v>
                </c:pt>
                <c:pt idx="26">
                  <c:v>-0.88193433545768052</c:v>
                </c:pt>
                <c:pt idx="27">
                  <c:v>-0.64226368776932574</c:v>
                </c:pt>
                <c:pt idx="28">
                  <c:v>0.39355441617688669</c:v>
                </c:pt>
                <c:pt idx="29">
                  <c:v>0.50346665799023427</c:v>
                </c:pt>
                <c:pt idx="30">
                  <c:v>0.33248023244185632</c:v>
                </c:pt>
                <c:pt idx="31">
                  <c:v>0.73963979943038716</c:v>
                </c:pt>
                <c:pt idx="32">
                  <c:v>1.1097868181675654</c:v>
                </c:pt>
                <c:pt idx="33">
                  <c:v>1.6841463809376975</c:v>
                </c:pt>
                <c:pt idx="34">
                  <c:v>1.6661675881503921</c:v>
                </c:pt>
                <c:pt idx="35">
                  <c:v>1.4301295672556726</c:v>
                </c:pt>
                <c:pt idx="36">
                  <c:v>0.32119008805419647</c:v>
                </c:pt>
                <c:pt idx="37">
                  <c:v>-0.79741605860881037</c:v>
                </c:pt>
                <c:pt idx="38">
                  <c:v>-1.30447412149661</c:v>
                </c:pt>
                <c:pt idx="39">
                  <c:v>-1.4670509813789652</c:v>
                </c:pt>
                <c:pt idx="40">
                  <c:v>-0.97341063117458848</c:v>
                </c:pt>
                <c:pt idx="41">
                  <c:v>-0.52489853330217073</c:v>
                </c:pt>
                <c:pt idx="42">
                  <c:v>-4.7175340342237249E-2</c:v>
                </c:pt>
                <c:pt idx="43">
                  <c:v>0.43803631845559199</c:v>
                </c:pt>
                <c:pt idx="44">
                  <c:v>0.19313838784015669</c:v>
                </c:pt>
                <c:pt idx="45">
                  <c:v>-0.19402029392806064</c:v>
                </c:pt>
                <c:pt idx="46">
                  <c:v>-0.33587633166178676</c:v>
                </c:pt>
                <c:pt idx="47">
                  <c:v>-0.53217097731469654</c:v>
                </c:pt>
                <c:pt idx="48">
                  <c:v>0.12370726490161932</c:v>
                </c:pt>
                <c:pt idx="49">
                  <c:v>1.0335579696086752</c:v>
                </c:pt>
                <c:pt idx="50">
                  <c:v>1.6411123069312952</c:v>
                </c:pt>
                <c:pt idx="51">
                  <c:v>2.2082970386887215</c:v>
                </c:pt>
                <c:pt idx="52">
                  <c:v>1.5690631918506774</c:v>
                </c:pt>
                <c:pt idx="53">
                  <c:v>1.1547669516083179</c:v>
                </c:pt>
                <c:pt idx="54">
                  <c:v>0.59472550696229654</c:v>
                </c:pt>
                <c:pt idx="55">
                  <c:v>0.42612959144944185</c:v>
                </c:pt>
                <c:pt idx="56">
                  <c:v>0.58001012562710486</c:v>
                </c:pt>
                <c:pt idx="57">
                  <c:v>0.18016842594778737</c:v>
                </c:pt>
                <c:pt idx="58">
                  <c:v>0.68212591882645413</c:v>
                </c:pt>
                <c:pt idx="59">
                  <c:v>0.94812686916655586</c:v>
                </c:pt>
                <c:pt idx="60">
                  <c:v>0.4757706783513882</c:v>
                </c:pt>
                <c:pt idx="61">
                  <c:v>0.40481170548697598</c:v>
                </c:pt>
                <c:pt idx="62">
                  <c:v>5.5623548855091798E-2</c:v>
                </c:pt>
                <c:pt idx="63">
                  <c:v>-0.18998172241504285</c:v>
                </c:pt>
                <c:pt idx="64">
                  <c:v>0.45730570544039217</c:v>
                </c:pt>
                <c:pt idx="65">
                  <c:v>0.35289813190136243</c:v>
                </c:pt>
                <c:pt idx="66">
                  <c:v>0.33744079143907335</c:v>
                </c:pt>
                <c:pt idx="67">
                  <c:v>0.40146124397860561</c:v>
                </c:pt>
                <c:pt idx="68">
                  <c:v>-0.65018881898459302</c:v>
                </c:pt>
                <c:pt idx="69">
                  <c:v>-0.88160546794388139</c:v>
                </c:pt>
                <c:pt idx="70">
                  <c:v>-0.72336125832486786</c:v>
                </c:pt>
                <c:pt idx="71">
                  <c:v>-0.48644549670749804</c:v>
                </c:pt>
                <c:pt idx="72">
                  <c:v>0.17066172931304013</c:v>
                </c:pt>
                <c:pt idx="73">
                  <c:v>0.34735112751238972</c:v>
                </c:pt>
                <c:pt idx="74">
                  <c:v>0.13480201421560878</c:v>
                </c:pt>
                <c:pt idx="75">
                  <c:v>-0.41757379140841611</c:v>
                </c:pt>
                <c:pt idx="76">
                  <c:v>-0.81330945199651694</c:v>
                </c:pt>
                <c:pt idx="77">
                  <c:v>-1.1314950967100739</c:v>
                </c:pt>
                <c:pt idx="78">
                  <c:v>-1.1030009250164694</c:v>
                </c:pt>
                <c:pt idx="79">
                  <c:v>-0.77087303345113778</c:v>
                </c:pt>
                <c:pt idx="80">
                  <c:v>-0.44117706476355334</c:v>
                </c:pt>
                <c:pt idx="81">
                  <c:v>-0.53064644357757818</c:v>
                </c:pt>
                <c:pt idx="82">
                  <c:v>-0.23576629759640788</c:v>
                </c:pt>
                <c:pt idx="83">
                  <c:v>-0.34015091984845736</c:v>
                </c:pt>
                <c:pt idx="84">
                  <c:v>3.0277526068447358E-3</c:v>
                </c:pt>
                <c:pt idx="85">
                  <c:v>4.9642307838943189E-2</c:v>
                </c:pt>
                <c:pt idx="86">
                  <c:v>0.49130203978379772</c:v>
                </c:pt>
                <c:pt idx="87">
                  <c:v>1.3385304742799438</c:v>
                </c:pt>
                <c:pt idx="88">
                  <c:v>1.1660121781839541</c:v>
                </c:pt>
                <c:pt idx="89">
                  <c:v>1.3365099165898187</c:v>
                </c:pt>
                <c:pt idx="90">
                  <c:v>0.94931846155845534</c:v>
                </c:pt>
                <c:pt idx="91">
                  <c:v>0.68200655126824472</c:v>
                </c:pt>
                <c:pt idx="92">
                  <c:v>0.24288690485107889</c:v>
                </c:pt>
                <c:pt idx="93">
                  <c:v>-0.24976957407637279</c:v>
                </c:pt>
                <c:pt idx="94">
                  <c:v>-0.38347547904817869</c:v>
                </c:pt>
                <c:pt idx="95">
                  <c:v>-0.852331545330415</c:v>
                </c:pt>
                <c:pt idx="96">
                  <c:v>-0.69576255712872914</c:v>
                </c:pt>
                <c:pt idx="97">
                  <c:v>-0.52393764870056625</c:v>
                </c:pt>
                <c:pt idx="98">
                  <c:v>2.8362896384202863E-2</c:v>
                </c:pt>
                <c:pt idx="99">
                  <c:v>0.39266224306203412</c:v>
                </c:pt>
                <c:pt idx="100">
                  <c:v>6.9696103449699898E-2</c:v>
                </c:pt>
                <c:pt idx="101">
                  <c:v>0.19156152395686998</c:v>
                </c:pt>
                <c:pt idx="102">
                  <c:v>-4.9830109601032291E-2</c:v>
                </c:pt>
                <c:pt idx="103">
                  <c:v>-0.10587401970865873</c:v>
                </c:pt>
                <c:pt idx="104">
                  <c:v>3.2134917722359546E-5</c:v>
                </c:pt>
                <c:pt idx="105">
                  <c:v>-0.16299107326438378</c:v>
                </c:pt>
                <c:pt idx="106">
                  <c:v>-0.20360708555976803</c:v>
                </c:pt>
                <c:pt idx="107">
                  <c:v>-0.345250714030227</c:v>
                </c:pt>
                <c:pt idx="108">
                  <c:v>-0.48225986389465803</c:v>
                </c:pt>
                <c:pt idx="109">
                  <c:v>-0.2482158179051881</c:v>
                </c:pt>
                <c:pt idx="110">
                  <c:v>-0.44873293185762275</c:v>
                </c:pt>
                <c:pt idx="111">
                  <c:v>-0.42272812740060495</c:v>
                </c:pt>
                <c:pt idx="112">
                  <c:v>-0.22749629618292921</c:v>
                </c:pt>
                <c:pt idx="113">
                  <c:v>-0.29670042327245305</c:v>
                </c:pt>
                <c:pt idx="114">
                  <c:v>-0.23437734698635992</c:v>
                </c:pt>
                <c:pt idx="115">
                  <c:v>-0.21567035138740565</c:v>
                </c:pt>
                <c:pt idx="116">
                  <c:v>-0.23335291735948349</c:v>
                </c:pt>
                <c:pt idx="117">
                  <c:v>-0.34336177484068209</c:v>
                </c:pt>
                <c:pt idx="118">
                  <c:v>-0.32995082202419823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E7-4F22-8925-980B5149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57744"/>
        <c:axId val="1189550064"/>
      </c:scatterChart>
      <c:valAx>
        <c:axId val="118955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0064"/>
        <c:crosses val="autoZero"/>
        <c:crossBetween val="midCat"/>
      </c:valAx>
      <c:valAx>
        <c:axId val="118955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77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SanJose!$O$6:$O$124</c:f>
              <c:numCache>
                <c:formatCode>General</c:formatCode>
                <c:ptCount val="119"/>
                <c:pt idx="0">
                  <c:v>0.95854628052243041</c:v>
                </c:pt>
                <c:pt idx="1">
                  <c:v>0.95777906304222094</c:v>
                </c:pt>
                <c:pt idx="2">
                  <c:v>0.9953623188405798</c:v>
                </c:pt>
                <c:pt idx="3">
                  <c:v>1.0348634514816966</c:v>
                </c:pt>
                <c:pt idx="4">
                  <c:v>1.0799763033175356</c:v>
                </c:pt>
                <c:pt idx="5">
                  <c:v>1.1268115942028987</c:v>
                </c:pt>
                <c:pt idx="6">
                  <c:v>1.085032032615026</c:v>
                </c:pt>
                <c:pt idx="7">
                  <c:v>1.0449185850645706</c:v>
                </c:pt>
                <c:pt idx="8">
                  <c:v>1.0438837081733408</c:v>
                </c:pt>
                <c:pt idx="9">
                  <c:v>1.0428724544480172</c:v>
                </c:pt>
                <c:pt idx="10">
                  <c:v>1.0579710144927537</c:v>
                </c:pt>
                <c:pt idx="11">
                  <c:v>1.0725416442772704</c:v>
                </c:pt>
                <c:pt idx="12">
                  <c:v>1.0373095112979505</c:v>
                </c:pt>
                <c:pt idx="13">
                  <c:v>1.0025693730729703</c:v>
                </c:pt>
                <c:pt idx="14">
                  <c:v>0.96499238964992384</c:v>
                </c:pt>
                <c:pt idx="15">
                  <c:v>0.9288577154308616</c:v>
                </c:pt>
                <c:pt idx="16">
                  <c:v>0.9513677811550153</c:v>
                </c:pt>
                <c:pt idx="17">
                  <c:v>0.97539723218862118</c:v>
                </c:pt>
                <c:pt idx="18">
                  <c:v>0.98633017875920093</c:v>
                </c:pt>
                <c:pt idx="19">
                  <c:v>0.9983818770226538</c:v>
                </c:pt>
                <c:pt idx="20">
                  <c:v>0.99414270500532487</c:v>
                </c:pt>
                <c:pt idx="21">
                  <c:v>0.98949027850761939</c:v>
                </c:pt>
                <c:pt idx="22">
                  <c:v>0.99786780383795293</c:v>
                </c:pt>
                <c:pt idx="23">
                  <c:v>1.0048622366288493</c:v>
                </c:pt>
                <c:pt idx="24">
                  <c:v>1.0241028387787894</c:v>
                </c:pt>
                <c:pt idx="25">
                  <c:v>1.0435475305363782</c:v>
                </c:pt>
                <c:pt idx="26">
                  <c:v>1.0865384615384617</c:v>
                </c:pt>
                <c:pt idx="27">
                  <c:v>1.1322580645161289</c:v>
                </c:pt>
                <c:pt idx="28">
                  <c:v>1.0559623430962344</c:v>
                </c:pt>
                <c:pt idx="29">
                  <c:v>0.98473282442748111</c:v>
                </c:pt>
                <c:pt idx="30">
                  <c:v>0.99557522123893805</c:v>
                </c:pt>
                <c:pt idx="31">
                  <c:v>1.0052231718898388</c:v>
                </c:pt>
                <c:pt idx="32">
                  <c:v>1.0871718672610202</c:v>
                </c:pt>
                <c:pt idx="33">
                  <c:v>1.1762273901808786</c:v>
                </c:pt>
                <c:pt idx="34">
                  <c:v>1.162962962962963</c:v>
                </c:pt>
                <c:pt idx="35">
                  <c:v>1.1511572980632971</c:v>
                </c:pt>
                <c:pt idx="36">
                  <c:v>1.1685649202733486</c:v>
                </c:pt>
                <c:pt idx="37">
                  <c:v>1.1867311072056239</c:v>
                </c:pt>
                <c:pt idx="38">
                  <c:v>1.1800424628450106</c:v>
                </c:pt>
                <c:pt idx="39">
                  <c:v>1.1731637258924907</c:v>
                </c:pt>
                <c:pt idx="40">
                  <c:v>1.1805068226120858</c:v>
                </c:pt>
                <c:pt idx="41">
                  <c:v>1.1869677897075157</c:v>
                </c:pt>
                <c:pt idx="42">
                  <c:v>1.1712846347607053</c:v>
                </c:pt>
                <c:pt idx="43">
                  <c:v>1.15564882826163</c:v>
                </c:pt>
                <c:pt idx="44">
                  <c:v>1.0733157199471599</c:v>
                </c:pt>
                <c:pt idx="45">
                  <c:v>0.99688084840923263</c:v>
                </c:pt>
                <c:pt idx="46">
                  <c:v>0.9840245775729648</c:v>
                </c:pt>
                <c:pt idx="47">
                  <c:v>0.97154963680387418</c:v>
                </c:pt>
                <c:pt idx="48">
                  <c:v>1.1569230769230769</c:v>
                </c:pt>
                <c:pt idx="49">
                  <c:v>1.3785982478097623</c:v>
                </c:pt>
                <c:pt idx="50">
                  <c:v>1.4942241648454573</c:v>
                </c:pt>
                <c:pt idx="51">
                  <c:v>1.6196261682242989</c:v>
                </c:pt>
                <c:pt idx="52">
                  <c:v>1.3109042553191488</c:v>
                </c:pt>
                <c:pt idx="53">
                  <c:v>1.0608261461643214</c:v>
                </c:pt>
                <c:pt idx="54">
                  <c:v>0.81216046803175923</c:v>
                </c:pt>
                <c:pt idx="55">
                  <c:v>0.62165801115599151</c:v>
                </c:pt>
                <c:pt idx="56">
                  <c:v>0.61533779671332922</c:v>
                </c:pt>
                <c:pt idx="57">
                  <c:v>0.60868635002139493</c:v>
                </c:pt>
                <c:pt idx="58">
                  <c:v>0.7015693336763571</c:v>
                </c:pt>
                <c:pt idx="59">
                  <c:v>0.8214727722772277</c:v>
                </c:pt>
                <c:pt idx="60">
                  <c:v>0.8460270359380152</c:v>
                </c:pt>
                <c:pt idx="61">
                  <c:v>0.85131810193321611</c:v>
                </c:pt>
                <c:pt idx="62">
                  <c:v>0.82178217821782185</c:v>
                </c:pt>
                <c:pt idx="63">
                  <c:v>0.80338983050847446</c:v>
                </c:pt>
                <c:pt idx="64">
                  <c:v>0.86749805144193304</c:v>
                </c:pt>
                <c:pt idx="65">
                  <c:v>0.88893476465730814</c:v>
                </c:pt>
                <c:pt idx="66">
                  <c:v>0.98215082552431954</c:v>
                </c:pt>
                <c:pt idx="67">
                  <c:v>1.0548523206751055</c:v>
                </c:pt>
                <c:pt idx="68">
                  <c:v>1.0008984725965857</c:v>
                </c:pt>
                <c:pt idx="69">
                  <c:v>1.0515559684161635</c:v>
                </c:pt>
                <c:pt idx="70">
                  <c:v>1.0445252158109948</c:v>
                </c:pt>
                <c:pt idx="71">
                  <c:v>1.0413333333333332</c:v>
                </c:pt>
                <c:pt idx="72">
                  <c:v>1.0700179533213643</c:v>
                </c:pt>
                <c:pt idx="73">
                  <c:v>1.1015901060070672</c:v>
                </c:pt>
                <c:pt idx="74">
                  <c:v>1.1191822531535451</c:v>
                </c:pt>
                <c:pt idx="75">
                  <c:v>1.1399914639351258</c:v>
                </c:pt>
                <c:pt idx="76">
                  <c:v>1.1963087248322148</c:v>
                </c:pt>
                <c:pt idx="77">
                  <c:v>1.13672814755413</c:v>
                </c:pt>
                <c:pt idx="78">
                  <c:v>1.0994947532063739</c:v>
                </c:pt>
                <c:pt idx="79">
                  <c:v>1.0617746162485959</c:v>
                </c:pt>
                <c:pt idx="80">
                  <c:v>1.0375175315568022</c:v>
                </c:pt>
                <c:pt idx="81">
                  <c:v>1.0582010582010581</c:v>
                </c:pt>
                <c:pt idx="82">
                  <c:v>1.0731707317073171</c:v>
                </c:pt>
                <c:pt idx="83">
                  <c:v>1.0581805359661496</c:v>
                </c:pt>
                <c:pt idx="84">
                  <c:v>1.0152078404866509</c:v>
                </c:pt>
                <c:pt idx="85">
                  <c:v>0.94200000000000006</c:v>
                </c:pt>
                <c:pt idx="86">
                  <c:v>0.88801054018445325</c:v>
                </c:pt>
                <c:pt idx="87">
                  <c:v>0.88737087637454171</c:v>
                </c:pt>
                <c:pt idx="88">
                  <c:v>0.87083888149134492</c:v>
                </c:pt>
                <c:pt idx="89">
                  <c:v>0.89455060155697097</c:v>
                </c:pt>
                <c:pt idx="90">
                  <c:v>0.9258160237388724</c:v>
                </c:pt>
                <c:pt idx="91">
                  <c:v>0.92076605332331962</c:v>
                </c:pt>
                <c:pt idx="92">
                  <c:v>0.922782874617737</c:v>
                </c:pt>
                <c:pt idx="93">
                  <c:v>0.95094936708860756</c:v>
                </c:pt>
                <c:pt idx="94">
                  <c:v>0.96514423076923073</c:v>
                </c:pt>
                <c:pt idx="95">
                  <c:v>0.98246329526916809</c:v>
                </c:pt>
                <c:pt idx="96">
                  <c:v>1.0099420049710024</c:v>
                </c:pt>
                <c:pt idx="97">
                  <c:v>1.0611480865224627</c:v>
                </c:pt>
                <c:pt idx="98">
                  <c:v>1.1116645911166461</c:v>
                </c:pt>
                <c:pt idx="99">
                  <c:v>1.1212121212121213</c:v>
                </c:pt>
                <c:pt idx="100">
                  <c:v>1.1070549630844955</c:v>
                </c:pt>
                <c:pt idx="101">
                  <c:v>1.0831046648373186</c:v>
                </c:pt>
                <c:pt idx="102">
                  <c:v>1.0436893203883495</c:v>
                </c:pt>
                <c:pt idx="103">
                  <c:v>1.0381340244353943</c:v>
                </c:pt>
                <c:pt idx="104">
                  <c:v>1.0422378658762506</c:v>
                </c:pt>
                <c:pt idx="105">
                  <c:v>1.0220774520448788</c:v>
                </c:pt>
                <c:pt idx="106">
                  <c:v>1.0447227191413238</c:v>
                </c:pt>
                <c:pt idx="107">
                  <c:v>1.0288873038516406</c:v>
                </c:pt>
                <c:pt idx="108">
                  <c:v>1.0629221471738357</c:v>
                </c:pt>
                <c:pt idx="109">
                  <c:v>1.0959631728045327</c:v>
                </c:pt>
                <c:pt idx="110">
                  <c:v>1.0989726027397262</c:v>
                </c:pt>
                <c:pt idx="111">
                  <c:v>1.1466204506065856</c:v>
                </c:pt>
                <c:pt idx="112">
                  <c:v>1.1391304347826088</c:v>
                </c:pt>
                <c:pt idx="113">
                  <c:v>1.1363489499192245</c:v>
                </c:pt>
                <c:pt idx="114">
                  <c:v>1.1062636335306948</c:v>
                </c:pt>
                <c:pt idx="115">
                  <c:v>1.086759371221282</c:v>
                </c:pt>
                <c:pt idx="116">
                  <c:v>1.0725190839694656</c:v>
                </c:pt>
                <c:pt idx="117">
                  <c:v>1.0398066533977821</c:v>
                </c:pt>
                <c:pt idx="118">
                  <c:v>1.028169014084507</c:v>
                </c:pt>
              </c:numCache>
            </c:numRef>
          </c:xVal>
          <c:yVal>
            <c:numRef>
              <c:f>'Model 2 San Jose'!$C$28:$C$146</c:f>
              <c:numCache>
                <c:formatCode>General</c:formatCode>
                <c:ptCount val="119"/>
                <c:pt idx="0">
                  <c:v>-1.0639938628844776</c:v>
                </c:pt>
                <c:pt idx="1">
                  <c:v>-1.1673733678019964</c:v>
                </c:pt>
                <c:pt idx="2">
                  <c:v>-1.0132509092601767</c:v>
                </c:pt>
                <c:pt idx="3">
                  <c:v>-0.8395566823760392</c:v>
                </c:pt>
                <c:pt idx="4">
                  <c:v>-0.81712328798583034</c:v>
                </c:pt>
                <c:pt idx="5">
                  <c:v>-0.47423082609989109</c:v>
                </c:pt>
                <c:pt idx="6">
                  <c:v>-0.47521741278489671</c:v>
                </c:pt>
                <c:pt idx="7">
                  <c:v>-0.49067797762609544</c:v>
                </c:pt>
                <c:pt idx="8">
                  <c:v>-0.50538924623673953</c:v>
                </c:pt>
                <c:pt idx="9">
                  <c:v>-0.48475149639889281</c:v>
                </c:pt>
                <c:pt idx="10">
                  <c:v>4.8453530330636596E-3</c:v>
                </c:pt>
                <c:pt idx="11">
                  <c:v>0.57396882731391585</c:v>
                </c:pt>
                <c:pt idx="12">
                  <c:v>0.93703632603390652</c:v>
                </c:pt>
                <c:pt idx="13">
                  <c:v>1.073123354425972</c:v>
                </c:pt>
                <c:pt idx="14">
                  <c:v>1.190514519104962</c:v>
                </c:pt>
                <c:pt idx="15">
                  <c:v>1.1039073986758172</c:v>
                </c:pt>
                <c:pt idx="16">
                  <c:v>1.1326944655971882</c:v>
                </c:pt>
                <c:pt idx="17">
                  <c:v>0.65418930951745402</c:v>
                </c:pt>
                <c:pt idx="18">
                  <c:v>0.59756834511131274</c:v>
                </c:pt>
                <c:pt idx="19">
                  <c:v>0.31416781382601577</c:v>
                </c:pt>
                <c:pt idx="20">
                  <c:v>9.0902162653243579E-2</c:v>
                </c:pt>
                <c:pt idx="21">
                  <c:v>-0.22432956087397926</c:v>
                </c:pt>
                <c:pt idx="22">
                  <c:v>-1.0661376452794986</c:v>
                </c:pt>
                <c:pt idx="23">
                  <c:v>-1.2598716350501249</c:v>
                </c:pt>
                <c:pt idx="24">
                  <c:v>-2.2054286707642738</c:v>
                </c:pt>
                <c:pt idx="25">
                  <c:v>-2.1468473148266725</c:v>
                </c:pt>
                <c:pt idx="26">
                  <c:v>-0.88193433545768052</c:v>
                </c:pt>
                <c:pt idx="27">
                  <c:v>-0.64226368776932574</c:v>
                </c:pt>
                <c:pt idx="28">
                  <c:v>0.39355441617688669</c:v>
                </c:pt>
                <c:pt idx="29">
                  <c:v>0.50346665799023427</c:v>
                </c:pt>
                <c:pt idx="30">
                  <c:v>0.33248023244185632</c:v>
                </c:pt>
                <c:pt idx="31">
                  <c:v>0.73963979943038716</c:v>
                </c:pt>
                <c:pt idx="32">
                  <c:v>1.1097868181675654</c:v>
                </c:pt>
                <c:pt idx="33">
                  <c:v>1.6841463809376975</c:v>
                </c:pt>
                <c:pt idx="34">
                  <c:v>1.6661675881503921</c:v>
                </c:pt>
                <c:pt idx="35">
                  <c:v>1.4301295672556726</c:v>
                </c:pt>
                <c:pt idx="36">
                  <c:v>0.32119008805419647</c:v>
                </c:pt>
                <c:pt idx="37">
                  <c:v>-0.79741605860881037</c:v>
                </c:pt>
                <c:pt idx="38">
                  <c:v>-1.30447412149661</c:v>
                </c:pt>
                <c:pt idx="39">
                  <c:v>-1.4670509813789652</c:v>
                </c:pt>
                <c:pt idx="40">
                  <c:v>-0.97341063117458848</c:v>
                </c:pt>
                <c:pt idx="41">
                  <c:v>-0.52489853330217073</c:v>
                </c:pt>
                <c:pt idx="42">
                  <c:v>-4.7175340342237249E-2</c:v>
                </c:pt>
                <c:pt idx="43">
                  <c:v>0.43803631845559199</c:v>
                </c:pt>
                <c:pt idx="44">
                  <c:v>0.19313838784015669</c:v>
                </c:pt>
                <c:pt idx="45">
                  <c:v>-0.19402029392806064</c:v>
                </c:pt>
                <c:pt idx="46">
                  <c:v>-0.33587633166178676</c:v>
                </c:pt>
                <c:pt idx="47">
                  <c:v>-0.53217097731469654</c:v>
                </c:pt>
                <c:pt idx="48">
                  <c:v>0.12370726490161932</c:v>
                </c:pt>
                <c:pt idx="49">
                  <c:v>1.0335579696086752</c:v>
                </c:pt>
                <c:pt idx="50">
                  <c:v>1.6411123069312952</c:v>
                </c:pt>
                <c:pt idx="51">
                  <c:v>2.2082970386887215</c:v>
                </c:pt>
                <c:pt idx="52">
                  <c:v>1.5690631918506774</c:v>
                </c:pt>
                <c:pt idx="53">
                  <c:v>1.1547669516083179</c:v>
                </c:pt>
                <c:pt idx="54">
                  <c:v>0.59472550696229654</c:v>
                </c:pt>
                <c:pt idx="55">
                  <c:v>0.42612959144944185</c:v>
                </c:pt>
                <c:pt idx="56">
                  <c:v>0.58001012562710486</c:v>
                </c:pt>
                <c:pt idx="57">
                  <c:v>0.18016842594778737</c:v>
                </c:pt>
                <c:pt idx="58">
                  <c:v>0.68212591882645413</c:v>
                </c:pt>
                <c:pt idx="59">
                  <c:v>0.94812686916655586</c:v>
                </c:pt>
                <c:pt idx="60">
                  <c:v>0.4757706783513882</c:v>
                </c:pt>
                <c:pt idx="61">
                  <c:v>0.40481170548697598</c:v>
                </c:pt>
                <c:pt idx="62">
                  <c:v>5.5623548855091798E-2</c:v>
                </c:pt>
                <c:pt idx="63">
                  <c:v>-0.18998172241504285</c:v>
                </c:pt>
                <c:pt idx="64">
                  <c:v>0.45730570544039217</c:v>
                </c:pt>
                <c:pt idx="65">
                  <c:v>0.35289813190136243</c:v>
                </c:pt>
                <c:pt idx="66">
                  <c:v>0.33744079143907335</c:v>
                </c:pt>
                <c:pt idx="67">
                  <c:v>0.40146124397860561</c:v>
                </c:pt>
                <c:pt idx="68">
                  <c:v>-0.65018881898459302</c:v>
                </c:pt>
                <c:pt idx="69">
                  <c:v>-0.88160546794388139</c:v>
                </c:pt>
                <c:pt idx="70">
                  <c:v>-0.72336125832486786</c:v>
                </c:pt>
                <c:pt idx="71">
                  <c:v>-0.48644549670749804</c:v>
                </c:pt>
                <c:pt idx="72">
                  <c:v>0.17066172931304013</c:v>
                </c:pt>
                <c:pt idx="73">
                  <c:v>0.34735112751238972</c:v>
                </c:pt>
                <c:pt idx="74">
                  <c:v>0.13480201421560878</c:v>
                </c:pt>
                <c:pt idx="75">
                  <c:v>-0.41757379140841611</c:v>
                </c:pt>
                <c:pt idx="76">
                  <c:v>-0.81330945199651694</c:v>
                </c:pt>
                <c:pt idx="77">
                  <c:v>-1.1314950967100739</c:v>
                </c:pt>
                <c:pt idx="78">
                  <c:v>-1.1030009250164694</c:v>
                </c:pt>
                <c:pt idx="79">
                  <c:v>-0.77087303345113778</c:v>
                </c:pt>
                <c:pt idx="80">
                  <c:v>-0.44117706476355334</c:v>
                </c:pt>
                <c:pt idx="81">
                  <c:v>-0.53064644357757818</c:v>
                </c:pt>
                <c:pt idx="82">
                  <c:v>-0.23576629759640788</c:v>
                </c:pt>
                <c:pt idx="83">
                  <c:v>-0.34015091984845736</c:v>
                </c:pt>
                <c:pt idx="84">
                  <c:v>3.0277526068447358E-3</c:v>
                </c:pt>
                <c:pt idx="85">
                  <c:v>4.9642307838943189E-2</c:v>
                </c:pt>
                <c:pt idx="86">
                  <c:v>0.49130203978379772</c:v>
                </c:pt>
                <c:pt idx="87">
                  <c:v>1.3385304742799438</c:v>
                </c:pt>
                <c:pt idx="88">
                  <c:v>1.1660121781839541</c:v>
                </c:pt>
                <c:pt idx="89">
                  <c:v>1.3365099165898187</c:v>
                </c:pt>
                <c:pt idx="90">
                  <c:v>0.94931846155845534</c:v>
                </c:pt>
                <c:pt idx="91">
                  <c:v>0.68200655126824472</c:v>
                </c:pt>
                <c:pt idx="92">
                  <c:v>0.24288690485107889</c:v>
                </c:pt>
                <c:pt idx="93">
                  <c:v>-0.24976957407637279</c:v>
                </c:pt>
                <c:pt idx="94">
                  <c:v>-0.38347547904817869</c:v>
                </c:pt>
                <c:pt idx="95">
                  <c:v>-0.852331545330415</c:v>
                </c:pt>
                <c:pt idx="96">
                  <c:v>-0.69576255712872914</c:v>
                </c:pt>
                <c:pt idx="97">
                  <c:v>-0.52393764870056625</c:v>
                </c:pt>
                <c:pt idx="98">
                  <c:v>2.8362896384202863E-2</c:v>
                </c:pt>
                <c:pt idx="99">
                  <c:v>0.39266224306203412</c:v>
                </c:pt>
                <c:pt idx="100">
                  <c:v>6.9696103449699898E-2</c:v>
                </c:pt>
                <c:pt idx="101">
                  <c:v>0.19156152395686998</c:v>
                </c:pt>
                <c:pt idx="102">
                  <c:v>-4.9830109601032291E-2</c:v>
                </c:pt>
                <c:pt idx="103">
                  <c:v>-0.10587401970865873</c:v>
                </c:pt>
                <c:pt idx="104">
                  <c:v>3.2134917722359546E-5</c:v>
                </c:pt>
                <c:pt idx="105">
                  <c:v>-0.16299107326438378</c:v>
                </c:pt>
                <c:pt idx="106">
                  <c:v>-0.20360708555976803</c:v>
                </c:pt>
                <c:pt idx="107">
                  <c:v>-0.345250714030227</c:v>
                </c:pt>
                <c:pt idx="108">
                  <c:v>-0.48225986389465803</c:v>
                </c:pt>
                <c:pt idx="109">
                  <c:v>-0.2482158179051881</c:v>
                </c:pt>
                <c:pt idx="110">
                  <c:v>-0.44873293185762275</c:v>
                </c:pt>
                <c:pt idx="111">
                  <c:v>-0.42272812740060495</c:v>
                </c:pt>
                <c:pt idx="112">
                  <c:v>-0.22749629618292921</c:v>
                </c:pt>
                <c:pt idx="113">
                  <c:v>-0.29670042327245305</c:v>
                </c:pt>
                <c:pt idx="114">
                  <c:v>-0.23437734698635992</c:v>
                </c:pt>
                <c:pt idx="115">
                  <c:v>-0.21567035138740565</c:v>
                </c:pt>
                <c:pt idx="116">
                  <c:v>-0.23335291735948349</c:v>
                </c:pt>
                <c:pt idx="117">
                  <c:v>-0.34336177484068209</c:v>
                </c:pt>
                <c:pt idx="118">
                  <c:v>-0.32995082202419823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C1-4E74-8615-D4D0A7E9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57744"/>
        <c:axId val="1189560144"/>
      </c:scatterChart>
      <c:valAx>
        <c:axId val="118955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60144"/>
        <c:crosses val="autoZero"/>
        <c:crossBetween val="midCat"/>
      </c:valAx>
      <c:valAx>
        <c:axId val="1189560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95577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SanJose!$P$6:$P$124</c:f>
              <c:numCache>
                <c:formatCode>General</c:formatCode>
                <c:ptCount val="119"/>
                <c:pt idx="0">
                  <c:v>1.039654144305304</c:v>
                </c:pt>
                <c:pt idx="1">
                  <c:v>1.0397995283018866</c:v>
                </c:pt>
                <c:pt idx="2">
                  <c:v>1.041423570595096</c:v>
                </c:pt>
                <c:pt idx="3">
                  <c:v>1.0430635838150319</c:v>
                </c:pt>
                <c:pt idx="4">
                  <c:v>1.0467450530542073</c:v>
                </c:pt>
                <c:pt idx="5">
                  <c:v>1.0516019279841167</c:v>
                </c:pt>
                <c:pt idx="6">
                  <c:v>1.0470588235294118</c:v>
                </c:pt>
                <c:pt idx="7">
                  <c:v>1.0462732058742061</c:v>
                </c:pt>
                <c:pt idx="8">
                  <c:v>1.0523287671232819</c:v>
                </c:pt>
                <c:pt idx="9">
                  <c:v>1.0458344567268836</c:v>
                </c:pt>
                <c:pt idx="10">
                  <c:v>1.0556447298020304</c:v>
                </c:pt>
                <c:pt idx="11">
                  <c:v>1.0627648305084743</c:v>
                </c:pt>
                <c:pt idx="12">
                  <c:v>1.0525904712314555</c:v>
                </c:pt>
                <c:pt idx="13">
                  <c:v>1.0484660995101855</c:v>
                </c:pt>
                <c:pt idx="14">
                  <c:v>1.0385200202736975</c:v>
                </c:pt>
                <c:pt idx="15">
                  <c:v>1.0296536257164166</c:v>
                </c:pt>
                <c:pt idx="16">
                  <c:v>1.0289389067524115</c:v>
                </c:pt>
                <c:pt idx="17">
                  <c:v>1.0307351856405162</c:v>
                </c:pt>
                <c:pt idx="18">
                  <c:v>1.0307467057101025</c:v>
                </c:pt>
                <c:pt idx="19">
                  <c:v>1.0312197483059051</c:v>
                </c:pt>
                <c:pt idx="20">
                  <c:v>1.0317307692307691</c:v>
                </c:pt>
                <c:pt idx="21">
                  <c:v>1.0312500000000024</c:v>
                </c:pt>
                <c:pt idx="22">
                  <c:v>1.0281723484848506</c:v>
                </c:pt>
                <c:pt idx="23">
                  <c:v>1.0276930298052149</c:v>
                </c:pt>
                <c:pt idx="24">
                  <c:v>1.0253960857409108</c:v>
                </c:pt>
                <c:pt idx="25">
                  <c:v>1.0238260467268077</c:v>
                </c:pt>
                <c:pt idx="26">
                  <c:v>1.0285516923785378</c:v>
                </c:pt>
                <c:pt idx="27">
                  <c:v>1.0260333409454212</c:v>
                </c:pt>
                <c:pt idx="28">
                  <c:v>1.0284026357646012</c:v>
                </c:pt>
                <c:pt idx="29">
                  <c:v>1.0309534568459129</c:v>
                </c:pt>
                <c:pt idx="30">
                  <c:v>1.0266398029997783</c:v>
                </c:pt>
                <c:pt idx="31">
                  <c:v>1.0262630758958358</c:v>
                </c:pt>
                <c:pt idx="32">
                  <c:v>1.0278391515687142</c:v>
                </c:pt>
                <c:pt idx="33">
                  <c:v>1.0282708744247206</c:v>
                </c:pt>
                <c:pt idx="34">
                  <c:v>1.0290013083296969</c:v>
                </c:pt>
                <c:pt idx="35">
                  <c:v>1.0323140316634158</c:v>
                </c:pt>
                <c:pt idx="36">
                  <c:v>1.0294496990541659</c:v>
                </c:pt>
                <c:pt idx="37">
                  <c:v>1.0230179028132993</c:v>
                </c:pt>
                <c:pt idx="38">
                  <c:v>1.0222504767959313</c:v>
                </c:pt>
                <c:pt idx="39">
                  <c:v>1.01890756302521</c:v>
                </c:pt>
                <c:pt idx="40">
                  <c:v>1.0148256420964732</c:v>
                </c:pt>
                <c:pt idx="41">
                  <c:v>1.0158333333333311</c:v>
                </c:pt>
                <c:pt idx="42">
                  <c:v>1.0159618573797697</c:v>
                </c:pt>
                <c:pt idx="43">
                  <c:v>1.0152577319587588</c:v>
                </c:pt>
                <c:pt idx="44">
                  <c:v>1.0168724279835371</c:v>
                </c:pt>
                <c:pt idx="45">
                  <c:v>1.0211238720262552</c:v>
                </c:pt>
                <c:pt idx="46">
                  <c:v>1.023464599061414</c:v>
                </c:pt>
                <c:pt idx="47">
                  <c:v>1.0261982128350933</c:v>
                </c:pt>
                <c:pt idx="48">
                  <c:v>1.0325779036827216</c:v>
                </c:pt>
                <c:pt idx="49">
                  <c:v>1.0329383410323316</c:v>
                </c:pt>
                <c:pt idx="50">
                  <c:v>1.0346889952153111</c:v>
                </c:pt>
                <c:pt idx="51">
                  <c:v>1.0344349891153772</c:v>
                </c:pt>
                <c:pt idx="52">
                  <c:v>1.0340975896531452</c:v>
                </c:pt>
                <c:pt idx="53">
                  <c:v>1.0332490764145441</c:v>
                </c:pt>
                <c:pt idx="54">
                  <c:v>1.0267822736030809</c:v>
                </c:pt>
                <c:pt idx="55">
                  <c:v>1.0187488042854429</c:v>
                </c:pt>
                <c:pt idx="56">
                  <c:v>1.0123176046996418</c:v>
                </c:pt>
                <c:pt idx="57">
                  <c:v>1.0131727512231878</c:v>
                </c:pt>
                <c:pt idx="58">
                  <c:v>1.0157628072809157</c:v>
                </c:pt>
                <c:pt idx="59">
                  <c:v>1.0225352112676056</c:v>
                </c:pt>
                <c:pt idx="60">
                  <c:v>1.0297641332834142</c:v>
                </c:pt>
                <c:pt idx="61">
                  <c:v>1.0200594353640415</c:v>
                </c:pt>
                <c:pt idx="62">
                  <c:v>1.0221688527618695</c:v>
                </c:pt>
                <c:pt idx="63">
                  <c:v>1.0200183654729091</c:v>
                </c:pt>
                <c:pt idx="64">
                  <c:v>1.0181785129976348</c:v>
                </c:pt>
                <c:pt idx="65">
                  <c:v>1.0278587035688274</c:v>
                </c:pt>
                <c:pt idx="66">
                  <c:v>1.0267485993132153</c:v>
                </c:pt>
                <c:pt idx="67">
                  <c:v>1.033849477853801</c:v>
                </c:pt>
                <c:pt idx="68">
                  <c:v>1.0303517229066257</c:v>
                </c:pt>
                <c:pt idx="69">
                  <c:v>1.0292294065544729</c:v>
                </c:pt>
                <c:pt idx="70">
                  <c:v>1.0381975004400616</c:v>
                </c:pt>
                <c:pt idx="71">
                  <c:v>1.0367467781260866</c:v>
                </c:pt>
                <c:pt idx="72">
                  <c:v>1.0369086813377231</c:v>
                </c:pt>
                <c:pt idx="73">
                  <c:v>1.0392426850258174</c:v>
                </c:pt>
                <c:pt idx="74">
                  <c:v>1.0334011529331995</c:v>
                </c:pt>
                <c:pt idx="75">
                  <c:v>1.0196539559885773</c:v>
                </c:pt>
                <c:pt idx="76">
                  <c:v>1.0243165106951855</c:v>
                </c:pt>
                <c:pt idx="77">
                  <c:v>1.0266528651871465</c:v>
                </c:pt>
                <c:pt idx="78">
                  <c:v>1.0234897456931895</c:v>
                </c:pt>
                <c:pt idx="79">
                  <c:v>1.0403113673805635</c:v>
                </c:pt>
                <c:pt idx="80">
                  <c:v>1.0413703542371266</c:v>
                </c:pt>
                <c:pt idx="81">
                  <c:v>1.0431042131464641</c:v>
                </c:pt>
                <c:pt idx="82">
                  <c:v>1.0525250193566382</c:v>
                </c:pt>
                <c:pt idx="83">
                  <c:v>1.0159580280267122</c:v>
                </c:pt>
                <c:pt idx="84">
                  <c:v>0.99815763211861341</c:v>
                </c:pt>
                <c:pt idx="85">
                  <c:v>0.99057859956418914</c:v>
                </c:pt>
                <c:pt idx="86">
                  <c:v>0.98393043986822692</c:v>
                </c:pt>
                <c:pt idx="87">
                  <c:v>1.0148765638005677</c:v>
                </c:pt>
                <c:pt idx="88">
                  <c:v>1.0235257002854961</c:v>
                </c:pt>
                <c:pt idx="89">
                  <c:v>1.0177527356636222</c:v>
                </c:pt>
                <c:pt idx="90">
                  <c:v>1.0120288159100463</c:v>
                </c:pt>
                <c:pt idx="91">
                  <c:v>1.0122978390084321</c:v>
                </c:pt>
                <c:pt idx="92">
                  <c:v>1.0214821766479294</c:v>
                </c:pt>
                <c:pt idx="93">
                  <c:v>1.0334610641026427</c:v>
                </c:pt>
                <c:pt idx="94">
                  <c:v>1.0371595113512817</c:v>
                </c:pt>
                <c:pt idx="95">
                  <c:v>1.0334472771079204</c:v>
                </c:pt>
                <c:pt idx="96">
                  <c:v>1.0282932336132067</c:v>
                </c:pt>
                <c:pt idx="97">
                  <c:v>1.0188791830252129</c:v>
                </c:pt>
                <c:pt idx="98">
                  <c:v>1.0168485971054315</c:v>
                </c:pt>
                <c:pt idx="99">
                  <c:v>1.0190356783167094</c:v>
                </c:pt>
                <c:pt idx="100">
                  <c:v>1.0174020187509658</c:v>
                </c:pt>
                <c:pt idx="101">
                  <c:v>1.0141472326142442</c:v>
                </c:pt>
                <c:pt idx="102">
                  <c:v>1.0150495342432377</c:v>
                </c:pt>
                <c:pt idx="103">
                  <c:v>1.0120730491508556</c:v>
                </c:pt>
                <c:pt idx="104">
                  <c:v>1.0142990796357587</c:v>
                </c:pt>
                <c:pt idx="105">
                  <c:v>1.0208034361151199</c:v>
                </c:pt>
                <c:pt idx="106">
                  <c:v>1.0179097013859109</c:v>
                </c:pt>
                <c:pt idx="107">
                  <c:v>1.0116400564849477</c:v>
                </c:pt>
                <c:pt idx="108">
                  <c:v>0.99887106836826933</c:v>
                </c:pt>
                <c:pt idx="109">
                  <c:v>1.0003701009123074</c:v>
                </c:pt>
                <c:pt idx="110">
                  <c:v>1.0015861096100007</c:v>
                </c:pt>
                <c:pt idx="111">
                  <c:v>1.0040046998234062</c:v>
                </c:pt>
                <c:pt idx="112">
                  <c:v>1.0099183502935267</c:v>
                </c:pt>
                <c:pt idx="113">
                  <c:v>1.0111003263560643</c:v>
                </c:pt>
                <c:pt idx="114">
                  <c:v>1.011571475618898</c:v>
                </c:pt>
                <c:pt idx="115">
                  <c:v>1.0180697985034581</c:v>
                </c:pt>
                <c:pt idx="116">
                  <c:v>1.0258713054014512</c:v>
                </c:pt>
                <c:pt idx="117">
                  <c:v>1.018905882402046</c:v>
                </c:pt>
                <c:pt idx="118">
                  <c:v>1.019449393340742</c:v>
                </c:pt>
              </c:numCache>
            </c:numRef>
          </c:xVal>
          <c:yVal>
            <c:numRef>
              <c:f>'Model 2 San Jose'!$C$28:$C$146</c:f>
              <c:numCache>
                <c:formatCode>General</c:formatCode>
                <c:ptCount val="119"/>
                <c:pt idx="0">
                  <c:v>-1.0639938628844776</c:v>
                </c:pt>
                <c:pt idx="1">
                  <c:v>-1.1673733678019964</c:v>
                </c:pt>
                <c:pt idx="2">
                  <c:v>-1.0132509092601767</c:v>
                </c:pt>
                <c:pt idx="3">
                  <c:v>-0.8395566823760392</c:v>
                </c:pt>
                <c:pt idx="4">
                  <c:v>-0.81712328798583034</c:v>
                </c:pt>
                <c:pt idx="5">
                  <c:v>-0.47423082609989109</c:v>
                </c:pt>
                <c:pt idx="6">
                  <c:v>-0.47521741278489671</c:v>
                </c:pt>
                <c:pt idx="7">
                  <c:v>-0.49067797762609544</c:v>
                </c:pt>
                <c:pt idx="8">
                  <c:v>-0.50538924623673953</c:v>
                </c:pt>
                <c:pt idx="9">
                  <c:v>-0.48475149639889281</c:v>
                </c:pt>
                <c:pt idx="10">
                  <c:v>4.8453530330636596E-3</c:v>
                </c:pt>
                <c:pt idx="11">
                  <c:v>0.57396882731391585</c:v>
                </c:pt>
                <c:pt idx="12">
                  <c:v>0.93703632603390652</c:v>
                </c:pt>
                <c:pt idx="13">
                  <c:v>1.073123354425972</c:v>
                </c:pt>
                <c:pt idx="14">
                  <c:v>1.190514519104962</c:v>
                </c:pt>
                <c:pt idx="15">
                  <c:v>1.1039073986758172</c:v>
                </c:pt>
                <c:pt idx="16">
                  <c:v>1.1326944655971882</c:v>
                </c:pt>
                <c:pt idx="17">
                  <c:v>0.65418930951745402</c:v>
                </c:pt>
                <c:pt idx="18">
                  <c:v>0.59756834511131274</c:v>
                </c:pt>
                <c:pt idx="19">
                  <c:v>0.31416781382601577</c:v>
                </c:pt>
                <c:pt idx="20">
                  <c:v>9.0902162653243579E-2</c:v>
                </c:pt>
                <c:pt idx="21">
                  <c:v>-0.22432956087397926</c:v>
                </c:pt>
                <c:pt idx="22">
                  <c:v>-1.0661376452794986</c:v>
                </c:pt>
                <c:pt idx="23">
                  <c:v>-1.2598716350501249</c:v>
                </c:pt>
                <c:pt idx="24">
                  <c:v>-2.2054286707642738</c:v>
                </c:pt>
                <c:pt idx="25">
                  <c:v>-2.1468473148266725</c:v>
                </c:pt>
                <c:pt idx="26">
                  <c:v>-0.88193433545768052</c:v>
                </c:pt>
                <c:pt idx="27">
                  <c:v>-0.64226368776932574</c:v>
                </c:pt>
                <c:pt idx="28">
                  <c:v>0.39355441617688669</c:v>
                </c:pt>
                <c:pt idx="29">
                  <c:v>0.50346665799023427</c:v>
                </c:pt>
                <c:pt idx="30">
                  <c:v>0.33248023244185632</c:v>
                </c:pt>
                <c:pt idx="31">
                  <c:v>0.73963979943038716</c:v>
                </c:pt>
                <c:pt idx="32">
                  <c:v>1.1097868181675654</c:v>
                </c:pt>
                <c:pt idx="33">
                  <c:v>1.6841463809376975</c:v>
                </c:pt>
                <c:pt idx="34">
                  <c:v>1.6661675881503921</c:v>
                </c:pt>
                <c:pt idx="35">
                  <c:v>1.4301295672556726</c:v>
                </c:pt>
                <c:pt idx="36">
                  <c:v>0.32119008805419647</c:v>
                </c:pt>
                <c:pt idx="37">
                  <c:v>-0.79741605860881037</c:v>
                </c:pt>
                <c:pt idx="38">
                  <c:v>-1.30447412149661</c:v>
                </c:pt>
                <c:pt idx="39">
                  <c:v>-1.4670509813789652</c:v>
                </c:pt>
                <c:pt idx="40">
                  <c:v>-0.97341063117458848</c:v>
                </c:pt>
                <c:pt idx="41">
                  <c:v>-0.52489853330217073</c:v>
                </c:pt>
                <c:pt idx="42">
                  <c:v>-4.7175340342237249E-2</c:v>
                </c:pt>
                <c:pt idx="43">
                  <c:v>0.43803631845559199</c:v>
                </c:pt>
                <c:pt idx="44">
                  <c:v>0.19313838784015669</c:v>
                </c:pt>
                <c:pt idx="45">
                  <c:v>-0.19402029392806064</c:v>
                </c:pt>
                <c:pt idx="46">
                  <c:v>-0.33587633166178676</c:v>
                </c:pt>
                <c:pt idx="47">
                  <c:v>-0.53217097731469654</c:v>
                </c:pt>
                <c:pt idx="48">
                  <c:v>0.12370726490161932</c:v>
                </c:pt>
                <c:pt idx="49">
                  <c:v>1.0335579696086752</c:v>
                </c:pt>
                <c:pt idx="50">
                  <c:v>1.6411123069312952</c:v>
                </c:pt>
                <c:pt idx="51">
                  <c:v>2.2082970386887215</c:v>
                </c:pt>
                <c:pt idx="52">
                  <c:v>1.5690631918506774</c:v>
                </c:pt>
                <c:pt idx="53">
                  <c:v>1.1547669516083179</c:v>
                </c:pt>
                <c:pt idx="54">
                  <c:v>0.59472550696229654</c:v>
                </c:pt>
                <c:pt idx="55">
                  <c:v>0.42612959144944185</c:v>
                </c:pt>
                <c:pt idx="56">
                  <c:v>0.58001012562710486</c:v>
                </c:pt>
                <c:pt idx="57">
                  <c:v>0.18016842594778737</c:v>
                </c:pt>
                <c:pt idx="58">
                  <c:v>0.68212591882645413</c:v>
                </c:pt>
                <c:pt idx="59">
                  <c:v>0.94812686916655586</c:v>
                </c:pt>
                <c:pt idx="60">
                  <c:v>0.4757706783513882</c:v>
                </c:pt>
                <c:pt idx="61">
                  <c:v>0.40481170548697598</c:v>
                </c:pt>
                <c:pt idx="62">
                  <c:v>5.5623548855091798E-2</c:v>
                </c:pt>
                <c:pt idx="63">
                  <c:v>-0.18998172241504285</c:v>
                </c:pt>
                <c:pt idx="64">
                  <c:v>0.45730570544039217</c:v>
                </c:pt>
                <c:pt idx="65">
                  <c:v>0.35289813190136243</c:v>
                </c:pt>
                <c:pt idx="66">
                  <c:v>0.33744079143907335</c:v>
                </c:pt>
                <c:pt idx="67">
                  <c:v>0.40146124397860561</c:v>
                </c:pt>
                <c:pt idx="68">
                  <c:v>-0.65018881898459302</c:v>
                </c:pt>
                <c:pt idx="69">
                  <c:v>-0.88160546794388139</c:v>
                </c:pt>
                <c:pt idx="70">
                  <c:v>-0.72336125832486786</c:v>
                </c:pt>
                <c:pt idx="71">
                  <c:v>-0.48644549670749804</c:v>
                </c:pt>
                <c:pt idx="72">
                  <c:v>0.17066172931304013</c:v>
                </c:pt>
                <c:pt idx="73">
                  <c:v>0.34735112751238972</c:v>
                </c:pt>
                <c:pt idx="74">
                  <c:v>0.13480201421560878</c:v>
                </c:pt>
                <c:pt idx="75">
                  <c:v>-0.41757379140841611</c:v>
                </c:pt>
                <c:pt idx="76">
                  <c:v>-0.81330945199651694</c:v>
                </c:pt>
                <c:pt idx="77">
                  <c:v>-1.1314950967100739</c:v>
                </c:pt>
                <c:pt idx="78">
                  <c:v>-1.1030009250164694</c:v>
                </c:pt>
                <c:pt idx="79">
                  <c:v>-0.77087303345113778</c:v>
                </c:pt>
                <c:pt idx="80">
                  <c:v>-0.44117706476355334</c:v>
                </c:pt>
                <c:pt idx="81">
                  <c:v>-0.53064644357757818</c:v>
                </c:pt>
                <c:pt idx="82">
                  <c:v>-0.23576629759640788</c:v>
                </c:pt>
                <c:pt idx="83">
                  <c:v>-0.34015091984845736</c:v>
                </c:pt>
                <c:pt idx="84">
                  <c:v>3.0277526068447358E-3</c:v>
                </c:pt>
                <c:pt idx="85">
                  <c:v>4.9642307838943189E-2</c:v>
                </c:pt>
                <c:pt idx="86">
                  <c:v>0.49130203978379772</c:v>
                </c:pt>
                <c:pt idx="87">
                  <c:v>1.3385304742799438</c:v>
                </c:pt>
                <c:pt idx="88">
                  <c:v>1.1660121781839541</c:v>
                </c:pt>
                <c:pt idx="89">
                  <c:v>1.3365099165898187</c:v>
                </c:pt>
                <c:pt idx="90">
                  <c:v>0.94931846155845534</c:v>
                </c:pt>
                <c:pt idx="91">
                  <c:v>0.68200655126824472</c:v>
                </c:pt>
                <c:pt idx="92">
                  <c:v>0.24288690485107889</c:v>
                </c:pt>
                <c:pt idx="93">
                  <c:v>-0.24976957407637279</c:v>
                </c:pt>
                <c:pt idx="94">
                  <c:v>-0.38347547904817869</c:v>
                </c:pt>
                <c:pt idx="95">
                  <c:v>-0.852331545330415</c:v>
                </c:pt>
                <c:pt idx="96">
                  <c:v>-0.69576255712872914</c:v>
                </c:pt>
                <c:pt idx="97">
                  <c:v>-0.52393764870056625</c:v>
                </c:pt>
                <c:pt idx="98">
                  <c:v>2.8362896384202863E-2</c:v>
                </c:pt>
                <c:pt idx="99">
                  <c:v>0.39266224306203412</c:v>
                </c:pt>
                <c:pt idx="100">
                  <c:v>6.9696103449699898E-2</c:v>
                </c:pt>
                <c:pt idx="101">
                  <c:v>0.19156152395686998</c:v>
                </c:pt>
                <c:pt idx="102">
                  <c:v>-4.9830109601032291E-2</c:v>
                </c:pt>
                <c:pt idx="103">
                  <c:v>-0.10587401970865873</c:v>
                </c:pt>
                <c:pt idx="104">
                  <c:v>3.2134917722359546E-5</c:v>
                </c:pt>
                <c:pt idx="105">
                  <c:v>-0.16299107326438378</c:v>
                </c:pt>
                <c:pt idx="106">
                  <c:v>-0.20360708555976803</c:v>
                </c:pt>
                <c:pt idx="107">
                  <c:v>-0.345250714030227</c:v>
                </c:pt>
                <c:pt idx="108">
                  <c:v>-0.48225986389465803</c:v>
                </c:pt>
                <c:pt idx="109">
                  <c:v>-0.2482158179051881</c:v>
                </c:pt>
                <c:pt idx="110">
                  <c:v>-0.44873293185762275</c:v>
                </c:pt>
                <c:pt idx="111">
                  <c:v>-0.42272812740060495</c:v>
                </c:pt>
                <c:pt idx="112">
                  <c:v>-0.22749629618292921</c:v>
                </c:pt>
                <c:pt idx="113">
                  <c:v>-0.29670042327245305</c:v>
                </c:pt>
                <c:pt idx="114">
                  <c:v>-0.23437734698635992</c:v>
                </c:pt>
                <c:pt idx="115">
                  <c:v>-0.21567035138740565</c:v>
                </c:pt>
                <c:pt idx="116">
                  <c:v>-0.23335291735948349</c:v>
                </c:pt>
                <c:pt idx="117">
                  <c:v>-0.34336177484068209</c:v>
                </c:pt>
                <c:pt idx="118">
                  <c:v>-0.32995082202419823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72-47E4-90B7-42C42222E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1952"/>
        <c:axId val="1214084688"/>
      </c:scatterChart>
      <c:valAx>
        <c:axId val="10272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4084688"/>
        <c:crosses val="autoZero"/>
        <c:crossBetween val="midCat"/>
      </c:valAx>
      <c:valAx>
        <c:axId val="1214084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7261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57DE3-D2B0-C4B8-FC56-912B0D510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8007B-3853-B322-985F-8E585E766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7E47DF-2481-7222-EEB7-B4E57D1F9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55096-CA95-FC8C-7557-B3A7CD771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58A56-3D2F-2B67-B4A0-C8FE35CDB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6B89AC-3C3B-6134-191E-745D81283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3B8B1F-82A5-4A62-9986-A60956BF9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5105A-0A22-5565-EF7E-98ECFCFB9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537E6-9C7A-3649-6071-395D3EE65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91F64E-AC9C-E264-9CB1-7489877EE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3113C-1356-AE01-52CC-B6B354EE3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7FDE4-FFA6-FE0A-1D13-D97755AD9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100F3-ED3C-2466-9B99-E21CA914E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349286-9B66-DB3D-DC14-693DDE5B3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65F8F-31DC-0FEB-2D10-03106B544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CEF0AC-8CC9-702C-A850-E1F21272A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786E0E-C528-99D9-4DCF-3A590D4BC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38382-1745-42CB-C53F-404A891DE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41D23-71E9-9544-FAB6-392D679B4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81028E-2841-2378-5A4B-4E015FD23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1A6734-2474-2131-AA50-735601351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E482B-AC1A-757B-63E9-8C82B8A46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6FFC5-A859-5257-F5A5-F8CB29B42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FACA66-4935-F7D3-46D6-466192C44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71CA2-D3AB-7C3D-81DF-DE1C5F0F0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1AF138-97B5-2F04-AA59-6378025DE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89ECE2-3943-CD16-B2B6-57813B527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C954A9-D1F7-FBCB-692A-2EB7B8438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5FF35-D33D-E49D-8D6E-5D7370519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FE006-9AEE-9C22-344E-7E99FA3F2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40D35-DF06-8C03-4BF9-9F317FC1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8A066-AADF-70C9-D159-588FBBFF2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503079-3CFF-4136-197E-303B3246E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01D03-6656-B833-220E-F6D6A0A04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17DE70-0B60-81B0-BD94-9B9AA3E91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CE482-004B-4BC9-9210-641495046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0D623-84BA-7A44-0E5F-745ECEE59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2B9D50-B3BE-3F9A-8001-69AA28E68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881FF-41C0-58F0-A64C-418893818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50415-D028-0450-8A50-BE7974F4A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77BD66-62F0-8046-25C4-7244AE0DF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04167F-B81F-4B95-06A6-C5443CD50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4BAA4-38B8-416C-0AF0-15E1AB67D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699335-4B0D-0FDC-F43B-A3E5EC02C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EA958D-2661-1398-3620-D88CD97EB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D5467-87DD-805A-2E2E-EDD0D7A90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AB405-EF93-828E-09AB-1A84FA086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9904E0-EF76-7B8D-266F-E43497B31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8CD33F-9F56-7686-2CE9-CB89F347A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CFDE3-795A-D93C-B623-E59C9C496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BBEAA4-463E-05F7-6593-860EF242A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ADB5C2-D82F-9EF7-4E2F-73748698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92F0B-105D-43D5-ACAD-EA3C62F9B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C26E6-273D-8B61-0F00-6DA54BAE2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E2B86-2573-2795-401E-BA4D1C83B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16</xdr:row>
      <xdr:rowOff>177165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7162F-AFF0-E131-D9A4-E453EBC89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0FF03F-ADA1-4E30-91C0-6A301C4930B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0B78-EAFF-4731-831F-1F39C3D83A63}">
  <dimension ref="A1:H985"/>
  <sheetViews>
    <sheetView workbookViewId="0">
      <selection activeCell="A663" sqref="A663"/>
    </sheetView>
  </sheetViews>
  <sheetFormatPr defaultRowHeight="14.4" x14ac:dyDescent="0.3"/>
  <sheetData>
    <row r="1" spans="1:8" x14ac:dyDescent="0.3">
      <c r="A1" t="s">
        <v>5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4</v>
      </c>
    </row>
    <row r="2" spans="1:8" x14ac:dyDescent="0.3">
      <c r="A2" t="s">
        <v>14</v>
      </c>
      <c r="B2">
        <v>1987.1</v>
      </c>
      <c r="C2">
        <v>3993</v>
      </c>
      <c r="D2">
        <v>13.41</v>
      </c>
      <c r="E2">
        <v>58838</v>
      </c>
      <c r="F2">
        <v>7.2896830000000001</v>
      </c>
      <c r="G2">
        <v>111.8</v>
      </c>
      <c r="H2">
        <v>7.1954098360655747</v>
      </c>
    </row>
    <row r="3" spans="1:8" x14ac:dyDescent="0.3">
      <c r="A3" t="s">
        <v>14</v>
      </c>
      <c r="B3">
        <v>1987.2</v>
      </c>
      <c r="C3">
        <v>949</v>
      </c>
      <c r="D3">
        <v>13.34</v>
      </c>
      <c r="E3">
        <v>59787</v>
      </c>
      <c r="F3">
        <v>7.2487120000000003</v>
      </c>
      <c r="G3">
        <v>113.06666666666666</v>
      </c>
      <c r="H3">
        <v>8.3426984126984127</v>
      </c>
    </row>
    <row r="4" spans="1:8" x14ac:dyDescent="0.3">
      <c r="A4" t="s">
        <v>14</v>
      </c>
      <c r="B4">
        <v>1987.3</v>
      </c>
      <c r="C4">
        <v>1637</v>
      </c>
      <c r="D4">
        <v>13.36</v>
      </c>
      <c r="E4">
        <v>61424</v>
      </c>
      <c r="F4">
        <v>6.6185099999999997</v>
      </c>
      <c r="G4">
        <v>114.26666666666667</v>
      </c>
      <c r="H4">
        <v>8.8696874999999995</v>
      </c>
    </row>
    <row r="5" spans="1:8" x14ac:dyDescent="0.3">
      <c r="A5" t="s">
        <v>14</v>
      </c>
      <c r="B5">
        <v>1987.4</v>
      </c>
      <c r="C5">
        <v>2055</v>
      </c>
      <c r="D5">
        <v>13.38</v>
      </c>
      <c r="E5">
        <v>63479</v>
      </c>
      <c r="F5">
        <v>6.5050850000000002</v>
      </c>
      <c r="G5">
        <v>115.33333333333333</v>
      </c>
      <c r="H5">
        <v>9.129032258064516</v>
      </c>
    </row>
    <row r="6" spans="1:8" x14ac:dyDescent="0.3">
      <c r="A6" t="s">
        <v>14</v>
      </c>
      <c r="B6">
        <v>1988.1</v>
      </c>
      <c r="C6">
        <v>225</v>
      </c>
      <c r="D6">
        <v>13.55</v>
      </c>
      <c r="E6">
        <v>63704</v>
      </c>
      <c r="F6">
        <v>6.5675420000000004</v>
      </c>
      <c r="G6">
        <v>116.23333333333333</v>
      </c>
      <c r="H6">
        <v>8.4109677419354885</v>
      </c>
    </row>
    <row r="7" spans="1:8" x14ac:dyDescent="0.3">
      <c r="A7" t="s">
        <v>14</v>
      </c>
      <c r="B7">
        <v>1988.2</v>
      </c>
      <c r="C7">
        <v>916</v>
      </c>
      <c r="D7">
        <v>13.72</v>
      </c>
      <c r="E7">
        <v>64620</v>
      </c>
      <c r="F7">
        <v>6.6774709999999997</v>
      </c>
      <c r="G7">
        <v>117.56666666666666</v>
      </c>
      <c r="H7">
        <v>8.9128571428571437</v>
      </c>
    </row>
    <row r="8" spans="1:8" x14ac:dyDescent="0.3">
      <c r="A8" t="s">
        <v>14</v>
      </c>
      <c r="B8">
        <v>1988.3</v>
      </c>
      <c r="C8">
        <v>229</v>
      </c>
      <c r="D8">
        <v>13.83</v>
      </c>
      <c r="E8">
        <v>64849</v>
      </c>
      <c r="F8">
        <v>7.5098440000000002</v>
      </c>
      <c r="G8">
        <v>119</v>
      </c>
      <c r="H8">
        <v>9.1035937500000035</v>
      </c>
    </row>
    <row r="9" spans="1:8" x14ac:dyDescent="0.3">
      <c r="A9" t="s">
        <v>14</v>
      </c>
      <c r="B9">
        <v>1988.4</v>
      </c>
      <c r="C9">
        <v>1157</v>
      </c>
      <c r="D9">
        <v>13.95</v>
      </c>
      <c r="E9">
        <v>66006</v>
      </c>
      <c r="F9">
        <v>7.6250619999999998</v>
      </c>
      <c r="G9">
        <v>120.3</v>
      </c>
      <c r="H9">
        <v>8.9570491803278678</v>
      </c>
    </row>
    <row r="10" spans="1:8" x14ac:dyDescent="0.3">
      <c r="A10" t="s">
        <v>14</v>
      </c>
      <c r="B10">
        <v>1989.1</v>
      </c>
      <c r="C10">
        <v>1786</v>
      </c>
      <c r="D10">
        <v>13.61</v>
      </c>
      <c r="E10">
        <v>67792</v>
      </c>
      <c r="F10">
        <v>7.7636000000000003</v>
      </c>
      <c r="G10">
        <v>121.66666666666667</v>
      </c>
      <c r="H10">
        <v>9.2116393442622968</v>
      </c>
    </row>
    <row r="11" spans="1:8" x14ac:dyDescent="0.3">
      <c r="A11" t="s">
        <v>14</v>
      </c>
      <c r="B11">
        <v>1989.2</v>
      </c>
      <c r="C11">
        <v>1553</v>
      </c>
      <c r="D11">
        <v>13.27</v>
      </c>
      <c r="E11">
        <v>69345</v>
      </c>
      <c r="F11">
        <v>8.0551340000000007</v>
      </c>
      <c r="G11">
        <v>123.63333333333334</v>
      </c>
      <c r="H11">
        <v>8.7579687500000016</v>
      </c>
    </row>
    <row r="12" spans="1:8" x14ac:dyDescent="0.3">
      <c r="A12" t="s">
        <v>14</v>
      </c>
      <c r="B12">
        <v>1989.3</v>
      </c>
      <c r="C12">
        <v>1973</v>
      </c>
      <c r="D12">
        <v>13.2</v>
      </c>
      <c r="E12">
        <v>71318</v>
      </c>
      <c r="F12">
        <v>7.4915209999999997</v>
      </c>
      <c r="G12">
        <v>124.6</v>
      </c>
      <c r="H12">
        <v>8.1074603174603155</v>
      </c>
    </row>
    <row r="13" spans="1:8" x14ac:dyDescent="0.3">
      <c r="A13" t="s">
        <v>14</v>
      </c>
      <c r="B13">
        <v>1989.4</v>
      </c>
      <c r="C13">
        <v>1227</v>
      </c>
      <c r="D13">
        <v>13.13</v>
      </c>
      <c r="E13">
        <v>72545</v>
      </c>
      <c r="F13">
        <v>7.2158340000000001</v>
      </c>
      <c r="G13">
        <v>125.86666666666666</v>
      </c>
      <c r="H13">
        <v>7.9070967741935476</v>
      </c>
    </row>
    <row r="14" spans="1:8" x14ac:dyDescent="0.3">
      <c r="A14" t="s">
        <v>14</v>
      </c>
      <c r="B14">
        <v>1990.1</v>
      </c>
      <c r="C14">
        <v>162</v>
      </c>
      <c r="D14">
        <v>12.97</v>
      </c>
      <c r="E14">
        <v>72707</v>
      </c>
      <c r="F14">
        <v>6.8610720000000001</v>
      </c>
      <c r="G14">
        <v>128.03333333333333</v>
      </c>
      <c r="H14">
        <v>8.4238709677419337</v>
      </c>
    </row>
    <row r="15" spans="1:8" x14ac:dyDescent="0.3">
      <c r="A15" t="s">
        <v>14</v>
      </c>
      <c r="B15">
        <v>1990.2</v>
      </c>
      <c r="C15">
        <v>161</v>
      </c>
      <c r="D15">
        <v>12.81</v>
      </c>
      <c r="E15">
        <v>72868</v>
      </c>
      <c r="F15">
        <v>6.10832</v>
      </c>
      <c r="G15">
        <v>129.30000000000001</v>
      </c>
      <c r="H15">
        <v>8.6741269841269819</v>
      </c>
    </row>
    <row r="16" spans="1:8" x14ac:dyDescent="0.3">
      <c r="A16" t="s">
        <v>14</v>
      </c>
      <c r="B16">
        <v>1990.3</v>
      </c>
      <c r="C16">
        <v>940</v>
      </c>
      <c r="D16">
        <v>12.9</v>
      </c>
      <c r="E16">
        <v>73808</v>
      </c>
      <c r="F16">
        <v>5.7353310000000004</v>
      </c>
      <c r="G16">
        <v>131.53333333333333</v>
      </c>
      <c r="H16">
        <v>8.7012698412698413</v>
      </c>
    </row>
    <row r="17" spans="1:8" x14ac:dyDescent="0.3">
      <c r="A17" t="s">
        <v>14</v>
      </c>
      <c r="B17">
        <v>1990.4</v>
      </c>
      <c r="C17">
        <v>1027</v>
      </c>
      <c r="D17">
        <v>12.98</v>
      </c>
      <c r="E17">
        <v>74835</v>
      </c>
      <c r="F17">
        <v>5.1118249999999996</v>
      </c>
      <c r="G17">
        <v>133.76666666666668</v>
      </c>
      <c r="H17">
        <v>8.4059677419354859</v>
      </c>
    </row>
    <row r="18" spans="1:8" x14ac:dyDescent="0.3">
      <c r="A18" t="s">
        <v>14</v>
      </c>
      <c r="B18">
        <v>1991.1</v>
      </c>
      <c r="C18">
        <v>1543</v>
      </c>
      <c r="D18">
        <v>12.92</v>
      </c>
      <c r="E18">
        <v>76378</v>
      </c>
      <c r="F18">
        <v>4.6699780000000004</v>
      </c>
      <c r="G18">
        <v>134.76666666666668</v>
      </c>
      <c r="H18">
        <v>8.0231666666666648</v>
      </c>
    </row>
    <row r="19" spans="1:8" x14ac:dyDescent="0.3">
      <c r="A19" t="s">
        <v>14</v>
      </c>
      <c r="B19">
        <v>1991.2</v>
      </c>
      <c r="C19">
        <v>1617</v>
      </c>
      <c r="D19">
        <v>12.86</v>
      </c>
      <c r="E19">
        <v>77995</v>
      </c>
      <c r="F19">
        <v>4.7843340000000003</v>
      </c>
      <c r="G19">
        <v>135.56666666666666</v>
      </c>
      <c r="H19">
        <v>8.1254687499999996</v>
      </c>
    </row>
    <row r="20" spans="1:8" x14ac:dyDescent="0.3">
      <c r="A20" t="s">
        <v>14</v>
      </c>
      <c r="B20">
        <v>1991.3</v>
      </c>
      <c r="C20">
        <v>697</v>
      </c>
      <c r="D20">
        <v>12.97</v>
      </c>
      <c r="E20">
        <v>78692</v>
      </c>
      <c r="F20">
        <v>5.1722869999999999</v>
      </c>
      <c r="G20">
        <v>136.6</v>
      </c>
      <c r="H20">
        <v>7.9499999999999993</v>
      </c>
    </row>
    <row r="21" spans="1:8" x14ac:dyDescent="0.3">
      <c r="A21" t="s">
        <v>14</v>
      </c>
      <c r="B21">
        <v>1991.4</v>
      </c>
      <c r="C21">
        <v>9</v>
      </c>
      <c r="D21">
        <v>13.08</v>
      </c>
      <c r="E21">
        <v>78701</v>
      </c>
      <c r="F21">
        <v>5.7476349999999998</v>
      </c>
      <c r="G21">
        <v>137.73333333333332</v>
      </c>
      <c r="H21">
        <v>7.3450000000000006</v>
      </c>
    </row>
    <row r="22" spans="1:8" x14ac:dyDescent="0.3">
      <c r="A22" t="s">
        <v>14</v>
      </c>
      <c r="B22">
        <v>1992.1</v>
      </c>
      <c r="C22">
        <v>24</v>
      </c>
      <c r="D22">
        <v>12.93</v>
      </c>
      <c r="E22">
        <v>78725</v>
      </c>
      <c r="F22">
        <v>6.3311640000000002</v>
      </c>
      <c r="G22">
        <v>138.66666666666666</v>
      </c>
      <c r="H22">
        <v>7.3069354838709675</v>
      </c>
    </row>
    <row r="23" spans="1:8" x14ac:dyDescent="0.3">
      <c r="A23" t="s">
        <v>14</v>
      </c>
      <c r="B23">
        <v>1992.2</v>
      </c>
      <c r="C23">
        <v>1540</v>
      </c>
      <c r="D23">
        <v>12.78</v>
      </c>
      <c r="E23">
        <v>80265</v>
      </c>
      <c r="F23">
        <v>6.5356920000000001</v>
      </c>
      <c r="G23">
        <v>139.73333333333332</v>
      </c>
      <c r="H23">
        <v>7.3760317460317451</v>
      </c>
    </row>
    <row r="24" spans="1:8" x14ac:dyDescent="0.3">
      <c r="A24" t="s">
        <v>14</v>
      </c>
      <c r="B24">
        <v>1992.3</v>
      </c>
      <c r="C24">
        <v>1323</v>
      </c>
      <c r="D24">
        <v>12.63</v>
      </c>
      <c r="E24">
        <v>81588</v>
      </c>
      <c r="F24">
        <v>6.727271</v>
      </c>
      <c r="G24">
        <v>140.80000000000001</v>
      </c>
      <c r="H24">
        <v>6.6187500000000021</v>
      </c>
    </row>
    <row r="25" spans="1:8" x14ac:dyDescent="0.3">
      <c r="A25" t="s">
        <v>14</v>
      </c>
      <c r="B25">
        <v>1992.4</v>
      </c>
      <c r="C25">
        <v>0</v>
      </c>
      <c r="D25">
        <v>12.47</v>
      </c>
      <c r="E25">
        <v>81588</v>
      </c>
      <c r="F25">
        <v>7.3258549999999998</v>
      </c>
      <c r="G25">
        <v>142.03333333333333</v>
      </c>
      <c r="H25">
        <v>6.7403225806451594</v>
      </c>
    </row>
    <row r="26" spans="1:8" x14ac:dyDescent="0.3">
      <c r="A26" t="s">
        <v>14</v>
      </c>
      <c r="B26">
        <v>1993.1</v>
      </c>
      <c r="C26">
        <v>103</v>
      </c>
      <c r="D26">
        <v>12.57</v>
      </c>
      <c r="E26">
        <v>81691</v>
      </c>
      <c r="F26">
        <v>7.6387700000000001</v>
      </c>
      <c r="G26">
        <v>143.06666666666666</v>
      </c>
      <c r="H26">
        <v>6.2581967213114744</v>
      </c>
    </row>
    <row r="27" spans="1:8" x14ac:dyDescent="0.3">
      <c r="A27" t="s">
        <v>14</v>
      </c>
      <c r="B27">
        <v>1993.2</v>
      </c>
      <c r="C27">
        <v>238</v>
      </c>
      <c r="D27">
        <v>12.67</v>
      </c>
      <c r="E27">
        <v>81929</v>
      </c>
      <c r="F27">
        <v>8.1077779999999997</v>
      </c>
      <c r="G27">
        <v>144.1</v>
      </c>
      <c r="H27">
        <v>5.9880952380952381</v>
      </c>
    </row>
    <row r="28" spans="1:8" x14ac:dyDescent="0.3">
      <c r="A28" t="s">
        <v>14</v>
      </c>
      <c r="B28">
        <v>1993.3</v>
      </c>
      <c r="C28">
        <v>0</v>
      </c>
      <c r="D28">
        <v>13.3</v>
      </c>
      <c r="E28">
        <v>81929</v>
      </c>
      <c r="F28">
        <v>8.3363119999999995</v>
      </c>
      <c r="G28">
        <v>144.76666666666668</v>
      </c>
      <c r="H28">
        <v>5.6153125000000017</v>
      </c>
    </row>
    <row r="29" spans="1:8" x14ac:dyDescent="0.3">
      <c r="A29" t="s">
        <v>14</v>
      </c>
      <c r="B29">
        <v>1993.4</v>
      </c>
      <c r="C29">
        <v>0</v>
      </c>
      <c r="D29">
        <v>13.96</v>
      </c>
      <c r="E29">
        <v>81929</v>
      </c>
      <c r="F29">
        <v>8.4628669999999993</v>
      </c>
      <c r="G29">
        <v>145.96666666666667</v>
      </c>
      <c r="H29">
        <v>5.6159677419354841</v>
      </c>
    </row>
    <row r="30" spans="1:8" x14ac:dyDescent="0.3">
      <c r="A30" t="s">
        <v>14</v>
      </c>
      <c r="B30">
        <v>1994.1</v>
      </c>
      <c r="C30">
        <v>762</v>
      </c>
      <c r="D30">
        <v>13.8</v>
      </c>
      <c r="E30">
        <v>82691</v>
      </c>
      <c r="F30">
        <v>8.988016</v>
      </c>
      <c r="G30">
        <v>146.69999999999999</v>
      </c>
      <c r="H30">
        <v>6.09032258064516</v>
      </c>
    </row>
    <row r="31" spans="1:8" x14ac:dyDescent="0.3">
      <c r="A31" t="s">
        <v>14</v>
      </c>
      <c r="B31">
        <v>1994.2</v>
      </c>
      <c r="C31">
        <v>62</v>
      </c>
      <c r="D31">
        <v>13.64</v>
      </c>
      <c r="E31">
        <v>82753</v>
      </c>
      <c r="F31">
        <v>8.8221810000000005</v>
      </c>
      <c r="G31">
        <v>147.53333333333333</v>
      </c>
      <c r="H31">
        <v>7.0895161290322593</v>
      </c>
    </row>
    <row r="32" spans="1:8" x14ac:dyDescent="0.3">
      <c r="A32" t="s">
        <v>14</v>
      </c>
      <c r="B32">
        <v>1994.3</v>
      </c>
      <c r="C32">
        <v>10</v>
      </c>
      <c r="D32">
        <v>14.12</v>
      </c>
      <c r="E32">
        <v>82763</v>
      </c>
      <c r="F32">
        <v>9.1030289999999994</v>
      </c>
      <c r="G32">
        <v>148.9</v>
      </c>
      <c r="H32">
        <v>7.327968750000001</v>
      </c>
    </row>
    <row r="33" spans="1:8" x14ac:dyDescent="0.3">
      <c r="A33" t="s">
        <v>14</v>
      </c>
      <c r="B33">
        <v>1994.4</v>
      </c>
      <c r="C33">
        <v>0</v>
      </c>
      <c r="D33">
        <v>14.62</v>
      </c>
      <c r="E33">
        <v>82763</v>
      </c>
      <c r="F33">
        <v>9.227665</v>
      </c>
      <c r="G33">
        <v>149.76666666666668</v>
      </c>
      <c r="H33">
        <v>7.8372131147540989</v>
      </c>
    </row>
    <row r="34" spans="1:8" x14ac:dyDescent="0.3">
      <c r="A34" t="s">
        <v>14</v>
      </c>
      <c r="B34">
        <v>1995.1</v>
      </c>
      <c r="C34">
        <v>243</v>
      </c>
      <c r="D34">
        <v>14.75</v>
      </c>
      <c r="E34">
        <v>83006</v>
      </c>
      <c r="F34">
        <v>9.3454280000000001</v>
      </c>
      <c r="G34">
        <v>150.86666666666667</v>
      </c>
      <c r="H34">
        <v>7.4712903225806464</v>
      </c>
    </row>
    <row r="35" spans="1:8" x14ac:dyDescent="0.3">
      <c r="A35" t="s">
        <v>14</v>
      </c>
      <c r="B35">
        <v>1995.2</v>
      </c>
      <c r="C35">
        <v>13</v>
      </c>
      <c r="D35">
        <v>14.89</v>
      </c>
      <c r="E35">
        <v>83019</v>
      </c>
      <c r="F35">
        <v>9.8368640000000003</v>
      </c>
      <c r="G35">
        <v>152.1</v>
      </c>
      <c r="H35">
        <v>6.6001587301587294</v>
      </c>
    </row>
    <row r="36" spans="1:8" x14ac:dyDescent="0.3">
      <c r="A36" t="s">
        <v>14</v>
      </c>
      <c r="B36">
        <v>1995.3</v>
      </c>
      <c r="C36">
        <v>280</v>
      </c>
      <c r="D36">
        <v>15.26</v>
      </c>
      <c r="E36">
        <v>83299</v>
      </c>
      <c r="F36">
        <v>9.7539689999999997</v>
      </c>
      <c r="G36">
        <v>152.86666666666667</v>
      </c>
      <c r="H36">
        <v>6.3292063492063484</v>
      </c>
    </row>
    <row r="37" spans="1:8" x14ac:dyDescent="0.3">
      <c r="A37" t="s">
        <v>14</v>
      </c>
      <c r="B37">
        <v>1995.4</v>
      </c>
      <c r="C37">
        <v>276</v>
      </c>
      <c r="D37">
        <v>15.65</v>
      </c>
      <c r="E37">
        <v>83575</v>
      </c>
      <c r="F37">
        <v>9.4386460000000003</v>
      </c>
      <c r="G37">
        <v>153.69999999999999</v>
      </c>
      <c r="H37">
        <v>5.8985483870967741</v>
      </c>
    </row>
    <row r="38" spans="1:8" x14ac:dyDescent="0.3">
      <c r="A38" t="s">
        <v>14</v>
      </c>
      <c r="B38">
        <v>1996.1</v>
      </c>
      <c r="C38">
        <v>19</v>
      </c>
      <c r="D38">
        <v>16.09</v>
      </c>
      <c r="E38">
        <v>83594</v>
      </c>
      <c r="F38">
        <v>8.528708</v>
      </c>
      <c r="G38">
        <v>155.06666666666666</v>
      </c>
      <c r="H38">
        <v>5.9104838709677407</v>
      </c>
    </row>
    <row r="39" spans="1:8" x14ac:dyDescent="0.3">
      <c r="A39" t="s">
        <v>14</v>
      </c>
      <c r="B39">
        <v>1996.2</v>
      </c>
      <c r="C39">
        <v>385</v>
      </c>
      <c r="D39">
        <v>16.55</v>
      </c>
      <c r="E39">
        <v>83979</v>
      </c>
      <c r="F39">
        <v>7.8766679999999996</v>
      </c>
      <c r="G39">
        <v>156.4</v>
      </c>
      <c r="H39">
        <v>6.7140624999999998</v>
      </c>
    </row>
    <row r="40" spans="1:8" x14ac:dyDescent="0.3">
      <c r="A40" t="s">
        <v>14</v>
      </c>
      <c r="B40">
        <v>1996.3</v>
      </c>
      <c r="C40">
        <v>829</v>
      </c>
      <c r="D40">
        <v>17.079999999999998</v>
      </c>
      <c r="E40">
        <v>84808</v>
      </c>
      <c r="F40">
        <v>7.4703039999999996</v>
      </c>
      <c r="G40">
        <v>157.30000000000001</v>
      </c>
      <c r="H40">
        <v>6.7759375000000022</v>
      </c>
    </row>
    <row r="41" spans="1:8" x14ac:dyDescent="0.3">
      <c r="A41" t="s">
        <v>14</v>
      </c>
      <c r="B41">
        <v>1996.4</v>
      </c>
      <c r="C41">
        <v>210</v>
      </c>
      <c r="D41">
        <v>17.64</v>
      </c>
      <c r="E41">
        <v>85018</v>
      </c>
      <c r="F41">
        <v>7.010389</v>
      </c>
      <c r="G41">
        <v>158.66666666666666</v>
      </c>
      <c r="H41">
        <v>6.3541935483870962</v>
      </c>
    </row>
    <row r="42" spans="1:8" x14ac:dyDescent="0.3">
      <c r="A42" t="s">
        <v>14</v>
      </c>
      <c r="B42">
        <v>1997.1</v>
      </c>
      <c r="C42">
        <v>1502</v>
      </c>
      <c r="D42">
        <v>17.57</v>
      </c>
      <c r="E42">
        <v>86520</v>
      </c>
      <c r="F42">
        <v>7.4058780000000004</v>
      </c>
      <c r="G42">
        <v>159.63333333333333</v>
      </c>
      <c r="H42">
        <v>6.5670000000000028</v>
      </c>
    </row>
    <row r="43" spans="1:8" x14ac:dyDescent="0.3">
      <c r="A43" t="s">
        <v>14</v>
      </c>
      <c r="B43">
        <v>1997.2</v>
      </c>
      <c r="C43">
        <v>1511</v>
      </c>
      <c r="D43">
        <v>17.5</v>
      </c>
      <c r="E43">
        <v>88031</v>
      </c>
      <c r="F43">
        <v>7.79718</v>
      </c>
      <c r="G43">
        <v>160</v>
      </c>
      <c r="H43">
        <v>6.6996874999999996</v>
      </c>
    </row>
    <row r="44" spans="1:8" x14ac:dyDescent="0.3">
      <c r="A44" t="s">
        <v>14</v>
      </c>
      <c r="B44">
        <v>1997.3</v>
      </c>
      <c r="C44">
        <v>1276</v>
      </c>
      <c r="D44">
        <v>17.37</v>
      </c>
      <c r="E44">
        <v>89307</v>
      </c>
      <c r="F44">
        <v>8.2763039999999997</v>
      </c>
      <c r="G44">
        <v>160.80000000000001</v>
      </c>
      <c r="H44">
        <v>6.2421875</v>
      </c>
    </row>
    <row r="45" spans="1:8" x14ac:dyDescent="0.3">
      <c r="A45" t="s">
        <v>14</v>
      </c>
      <c r="B45">
        <v>1997.4</v>
      </c>
      <c r="C45">
        <v>1343</v>
      </c>
      <c r="D45">
        <v>17.25</v>
      </c>
      <c r="E45">
        <v>90650</v>
      </c>
      <c r="F45">
        <v>8.7404379999999993</v>
      </c>
      <c r="G45">
        <v>161.66666666666666</v>
      </c>
      <c r="H45">
        <v>5.906290322580646</v>
      </c>
    </row>
    <row r="46" spans="1:8" x14ac:dyDescent="0.3">
      <c r="A46" t="s">
        <v>14</v>
      </c>
      <c r="B46">
        <v>1998.1</v>
      </c>
      <c r="C46">
        <v>1988</v>
      </c>
      <c r="D46">
        <v>17.86</v>
      </c>
      <c r="E46">
        <v>92638</v>
      </c>
      <c r="F46">
        <v>9.0089640000000006</v>
      </c>
      <c r="G46">
        <v>162</v>
      </c>
      <c r="H46">
        <v>5.5909836065573773</v>
      </c>
    </row>
    <row r="47" spans="1:8" x14ac:dyDescent="0.3">
      <c r="A47" t="s">
        <v>14</v>
      </c>
      <c r="B47">
        <v>1998.2</v>
      </c>
      <c r="C47">
        <v>2042</v>
      </c>
      <c r="D47">
        <v>18.489999999999998</v>
      </c>
      <c r="E47">
        <v>94680</v>
      </c>
      <c r="F47">
        <v>9.0166649999999997</v>
      </c>
      <c r="G47">
        <v>162.53333333333333</v>
      </c>
      <c r="H47">
        <v>5.5930158730158714</v>
      </c>
    </row>
    <row r="48" spans="1:8" x14ac:dyDescent="0.3">
      <c r="A48" t="s">
        <v>14</v>
      </c>
      <c r="B48">
        <v>1998.3</v>
      </c>
      <c r="C48">
        <v>2535</v>
      </c>
      <c r="D48">
        <v>18.510000000000002</v>
      </c>
      <c r="E48">
        <v>97215</v>
      </c>
      <c r="F48">
        <v>8.6404619999999994</v>
      </c>
      <c r="G48">
        <v>163.36666666666667</v>
      </c>
      <c r="H48">
        <v>5.2073437500000006</v>
      </c>
    </row>
    <row r="49" spans="1:8" x14ac:dyDescent="0.3">
      <c r="A49" t="s">
        <v>14</v>
      </c>
      <c r="B49">
        <v>1998.4</v>
      </c>
      <c r="C49">
        <v>1065</v>
      </c>
      <c r="D49">
        <v>18.53</v>
      </c>
      <c r="E49">
        <v>98280</v>
      </c>
      <c r="F49">
        <v>8.4864680000000003</v>
      </c>
      <c r="G49">
        <v>164.13333333333333</v>
      </c>
      <c r="H49">
        <v>4.661935483870967</v>
      </c>
    </row>
    <row r="50" spans="1:8" x14ac:dyDescent="0.3">
      <c r="A50" t="s">
        <v>14</v>
      </c>
      <c r="B50">
        <v>1999.1</v>
      </c>
      <c r="C50">
        <v>1673</v>
      </c>
      <c r="D50">
        <v>18.66</v>
      </c>
      <c r="E50">
        <v>99953</v>
      </c>
      <c r="F50">
        <v>8.2581050000000005</v>
      </c>
      <c r="G50">
        <v>164.73333333333332</v>
      </c>
      <c r="H50">
        <v>5.0008196721311462</v>
      </c>
    </row>
    <row r="51" spans="1:8" x14ac:dyDescent="0.3">
      <c r="A51" t="s">
        <v>14</v>
      </c>
      <c r="B51">
        <v>1999.2</v>
      </c>
      <c r="C51">
        <v>1272</v>
      </c>
      <c r="D51">
        <v>18.79</v>
      </c>
      <c r="E51">
        <v>101225</v>
      </c>
      <c r="F51">
        <v>7.7942600000000004</v>
      </c>
      <c r="G51">
        <v>165.96666666666667</v>
      </c>
      <c r="H51">
        <v>5.5412499999999998</v>
      </c>
    </row>
    <row r="52" spans="1:8" x14ac:dyDescent="0.3">
      <c r="A52" t="s">
        <v>14</v>
      </c>
      <c r="B52">
        <v>1999.3</v>
      </c>
      <c r="C52">
        <v>2249</v>
      </c>
      <c r="D52">
        <v>18.5</v>
      </c>
      <c r="E52">
        <v>103474</v>
      </c>
      <c r="F52">
        <v>7.5262399999999996</v>
      </c>
      <c r="G52">
        <v>167.2</v>
      </c>
      <c r="H52">
        <v>5.8829687499999981</v>
      </c>
    </row>
    <row r="53" spans="1:8" x14ac:dyDescent="0.3">
      <c r="A53" t="s">
        <v>14</v>
      </c>
      <c r="B53">
        <v>1999.4</v>
      </c>
      <c r="C53">
        <v>1345</v>
      </c>
      <c r="D53">
        <v>18.21</v>
      </c>
      <c r="E53">
        <v>104819</v>
      </c>
      <c r="F53">
        <v>7.1146310000000001</v>
      </c>
      <c r="G53">
        <v>168.43333333333334</v>
      </c>
      <c r="H53">
        <v>6.1448387096774191</v>
      </c>
    </row>
    <row r="54" spans="1:8" x14ac:dyDescent="0.3">
      <c r="A54" t="s">
        <v>14</v>
      </c>
      <c r="B54">
        <v>2000.1</v>
      </c>
      <c r="C54">
        <v>1813</v>
      </c>
      <c r="D54">
        <v>18.82</v>
      </c>
      <c r="E54">
        <v>106632</v>
      </c>
      <c r="F54">
        <v>6.9809279999999996</v>
      </c>
      <c r="G54">
        <v>170.1</v>
      </c>
      <c r="H54">
        <v>6.4684126984126982</v>
      </c>
    </row>
    <row r="55" spans="1:8" x14ac:dyDescent="0.3">
      <c r="A55" t="s">
        <v>14</v>
      </c>
      <c r="B55">
        <v>2000.2</v>
      </c>
      <c r="C55">
        <v>1658</v>
      </c>
      <c r="D55">
        <v>19.440000000000001</v>
      </c>
      <c r="E55">
        <v>108290</v>
      </c>
      <c r="F55">
        <v>7.4948430000000004</v>
      </c>
      <c r="G55">
        <v>171.43333333333334</v>
      </c>
      <c r="H55">
        <v>6.1849206349206343</v>
      </c>
    </row>
    <row r="56" spans="1:8" x14ac:dyDescent="0.3">
      <c r="A56" t="s">
        <v>14</v>
      </c>
      <c r="B56">
        <v>2000.3</v>
      </c>
      <c r="C56">
        <v>1716</v>
      </c>
      <c r="D56">
        <v>19.510000000000002</v>
      </c>
      <c r="E56">
        <v>110006</v>
      </c>
      <c r="F56">
        <v>7.8561500000000004</v>
      </c>
      <c r="G56">
        <v>173</v>
      </c>
      <c r="H56">
        <v>5.8898412698412699</v>
      </c>
    </row>
    <row r="57" spans="1:8" x14ac:dyDescent="0.3">
      <c r="A57" t="s">
        <v>14</v>
      </c>
      <c r="B57">
        <v>2000.4</v>
      </c>
      <c r="C57">
        <v>2093</v>
      </c>
      <c r="D57">
        <v>19.579999999999998</v>
      </c>
      <c r="E57">
        <v>112099</v>
      </c>
      <c r="F57">
        <v>8.3442589999999992</v>
      </c>
      <c r="G57">
        <v>174.23333333333332</v>
      </c>
      <c r="H57">
        <v>5.5706451612903232</v>
      </c>
    </row>
    <row r="58" spans="1:8" x14ac:dyDescent="0.3">
      <c r="A58" t="s">
        <v>14</v>
      </c>
      <c r="B58">
        <v>2001.1</v>
      </c>
      <c r="C58">
        <v>1373</v>
      </c>
      <c r="D58">
        <v>19.47</v>
      </c>
      <c r="E58">
        <v>113472</v>
      </c>
      <c r="F58">
        <v>8.6486289999999997</v>
      </c>
      <c r="G58">
        <v>175.9</v>
      </c>
      <c r="H58">
        <v>5.0441935483870957</v>
      </c>
    </row>
    <row r="59" spans="1:8" x14ac:dyDescent="0.3">
      <c r="A59" t="s">
        <v>14</v>
      </c>
      <c r="B59">
        <v>2001.2</v>
      </c>
      <c r="C59">
        <v>1551</v>
      </c>
      <c r="D59">
        <v>19.36</v>
      </c>
      <c r="E59">
        <v>115023</v>
      </c>
      <c r="F59">
        <v>8.7219809999999995</v>
      </c>
      <c r="G59">
        <v>177.13333333333333</v>
      </c>
      <c r="H59">
        <v>5.2761904761904761</v>
      </c>
    </row>
    <row r="60" spans="1:8" x14ac:dyDescent="0.3">
      <c r="A60" t="s">
        <v>14</v>
      </c>
      <c r="B60">
        <v>2001.3</v>
      </c>
      <c r="C60">
        <v>2090</v>
      </c>
      <c r="D60">
        <v>19.28</v>
      </c>
      <c r="E60">
        <v>117113</v>
      </c>
      <c r="F60">
        <v>9.0888290000000005</v>
      </c>
      <c r="G60">
        <v>177.63333333333333</v>
      </c>
      <c r="H60">
        <v>4.9957377049180334</v>
      </c>
    </row>
    <row r="61" spans="1:8" x14ac:dyDescent="0.3">
      <c r="A61" t="s">
        <v>14</v>
      </c>
      <c r="B61">
        <v>2001.4</v>
      </c>
      <c r="C61">
        <v>2510</v>
      </c>
      <c r="D61">
        <v>19.2</v>
      </c>
      <c r="E61">
        <v>119623</v>
      </c>
      <c r="F61">
        <v>9.1939080000000004</v>
      </c>
      <c r="G61">
        <v>177.5</v>
      </c>
      <c r="H61">
        <v>4.7620967741935463</v>
      </c>
    </row>
    <row r="62" spans="1:8" x14ac:dyDescent="0.3">
      <c r="A62" t="s">
        <v>14</v>
      </c>
      <c r="B62">
        <v>2002.1</v>
      </c>
      <c r="C62">
        <v>972</v>
      </c>
      <c r="D62">
        <v>18.97</v>
      </c>
      <c r="E62">
        <v>120595</v>
      </c>
      <c r="F62">
        <v>9.3096150000000009</v>
      </c>
      <c r="G62">
        <v>178.06666666666666</v>
      </c>
      <c r="H62">
        <v>5.0791666666666666</v>
      </c>
    </row>
    <row r="63" spans="1:8" x14ac:dyDescent="0.3">
      <c r="A63" t="s">
        <v>14</v>
      </c>
      <c r="B63">
        <v>2002.2</v>
      </c>
      <c r="C63">
        <v>488</v>
      </c>
      <c r="D63">
        <v>18.75</v>
      </c>
      <c r="E63">
        <v>121083</v>
      </c>
      <c r="F63">
        <v>9.3392440000000008</v>
      </c>
      <c r="G63">
        <v>179.46666666666667</v>
      </c>
      <c r="H63">
        <v>5.1060937499999994</v>
      </c>
    </row>
    <row r="64" spans="1:8" x14ac:dyDescent="0.3">
      <c r="A64" t="s">
        <v>14</v>
      </c>
      <c r="B64">
        <v>2002.3</v>
      </c>
      <c r="C64">
        <v>435</v>
      </c>
      <c r="D64">
        <v>18.39</v>
      </c>
      <c r="E64">
        <v>121518</v>
      </c>
      <c r="F64">
        <v>9.3640419999999995</v>
      </c>
      <c r="G64">
        <v>180.43333333333334</v>
      </c>
      <c r="H64">
        <v>4.2723437499999992</v>
      </c>
    </row>
    <row r="65" spans="1:8" x14ac:dyDescent="0.3">
      <c r="A65" t="s">
        <v>14</v>
      </c>
      <c r="B65">
        <v>2002.4</v>
      </c>
      <c r="C65">
        <v>840</v>
      </c>
      <c r="D65">
        <v>18.02</v>
      </c>
      <c r="E65">
        <v>122358</v>
      </c>
      <c r="F65">
        <v>9.3571010000000001</v>
      </c>
      <c r="G65">
        <v>181.5</v>
      </c>
      <c r="H65">
        <v>4.0048387096774194</v>
      </c>
    </row>
    <row r="66" spans="1:8" x14ac:dyDescent="0.3">
      <c r="A66" t="s">
        <v>14</v>
      </c>
      <c r="B66">
        <v>2003.1</v>
      </c>
      <c r="C66">
        <v>975</v>
      </c>
      <c r="D66">
        <v>17.78</v>
      </c>
      <c r="E66">
        <v>123333</v>
      </c>
      <c r="F66">
        <v>9.2450089999999996</v>
      </c>
      <c r="G66">
        <v>183.36666666666667</v>
      </c>
      <c r="H66">
        <v>3.9199999999999995</v>
      </c>
    </row>
    <row r="67" spans="1:8" x14ac:dyDescent="0.3">
      <c r="A67" t="s">
        <v>14</v>
      </c>
      <c r="B67">
        <v>2003.2</v>
      </c>
      <c r="C67">
        <v>393</v>
      </c>
      <c r="D67">
        <v>17.54</v>
      </c>
      <c r="E67">
        <v>123726</v>
      </c>
      <c r="F67">
        <v>9.1346120000000006</v>
      </c>
      <c r="G67">
        <v>183.06666666666666</v>
      </c>
      <c r="H67">
        <v>3.6206349206349211</v>
      </c>
    </row>
    <row r="68" spans="1:8" x14ac:dyDescent="0.3">
      <c r="A68" t="s">
        <v>14</v>
      </c>
      <c r="B68">
        <v>2003.3</v>
      </c>
      <c r="C68">
        <v>591</v>
      </c>
      <c r="D68">
        <v>17.399999999999999</v>
      </c>
      <c r="E68">
        <v>124317</v>
      </c>
      <c r="F68">
        <v>8.8990650000000002</v>
      </c>
      <c r="G68">
        <v>184.43333333333334</v>
      </c>
      <c r="H68">
        <v>4.2276562499999981</v>
      </c>
    </row>
    <row r="69" spans="1:8" x14ac:dyDescent="0.3">
      <c r="A69" t="s">
        <v>14</v>
      </c>
      <c r="B69">
        <v>2003.4</v>
      </c>
      <c r="C69">
        <v>48</v>
      </c>
      <c r="D69">
        <v>17.27</v>
      </c>
      <c r="E69">
        <v>124365</v>
      </c>
      <c r="F69">
        <v>8.7601139999999997</v>
      </c>
      <c r="G69">
        <v>185.13333333333333</v>
      </c>
      <c r="H69">
        <v>4.2851612903225798</v>
      </c>
    </row>
    <row r="70" spans="1:8" x14ac:dyDescent="0.3">
      <c r="A70" t="s">
        <v>14</v>
      </c>
      <c r="B70">
        <v>2004.1</v>
      </c>
      <c r="C70">
        <v>0</v>
      </c>
      <c r="D70">
        <v>17.36</v>
      </c>
      <c r="E70">
        <v>124365</v>
      </c>
      <c r="F70">
        <v>8.725733</v>
      </c>
      <c r="G70">
        <v>186.7</v>
      </c>
      <c r="H70">
        <v>4.01</v>
      </c>
    </row>
    <row r="71" spans="1:8" x14ac:dyDescent="0.3">
      <c r="A71" t="s">
        <v>14</v>
      </c>
      <c r="B71">
        <v>2004.2</v>
      </c>
      <c r="C71">
        <v>573</v>
      </c>
      <c r="D71">
        <v>17.22</v>
      </c>
      <c r="E71">
        <v>124938</v>
      </c>
      <c r="F71">
        <v>8.8509539999999998</v>
      </c>
      <c r="G71">
        <v>188.16666666666666</v>
      </c>
      <c r="H71">
        <v>4.597096774193548</v>
      </c>
    </row>
    <row r="72" spans="1:8" x14ac:dyDescent="0.3">
      <c r="A72" t="s">
        <v>14</v>
      </c>
      <c r="B72">
        <v>2004.3</v>
      </c>
      <c r="C72">
        <v>107</v>
      </c>
      <c r="D72">
        <v>17.309999999999999</v>
      </c>
      <c r="E72">
        <v>125045</v>
      </c>
      <c r="F72">
        <v>8.4882729999999995</v>
      </c>
      <c r="G72">
        <v>189.36666666666667</v>
      </c>
      <c r="H72">
        <v>4.3014062500000003</v>
      </c>
    </row>
    <row r="73" spans="1:8" x14ac:dyDescent="0.3">
      <c r="A73" t="s">
        <v>14</v>
      </c>
      <c r="B73">
        <v>2004.4</v>
      </c>
      <c r="C73">
        <v>98</v>
      </c>
      <c r="D73">
        <v>17.41</v>
      </c>
      <c r="E73">
        <v>125143</v>
      </c>
      <c r="F73">
        <v>8.1421349999999997</v>
      </c>
      <c r="G73">
        <v>191.4</v>
      </c>
      <c r="H73">
        <v>4.1758064516129041</v>
      </c>
    </row>
    <row r="74" spans="1:8" x14ac:dyDescent="0.3">
      <c r="A74" t="s">
        <v>14</v>
      </c>
      <c r="B74">
        <v>2005.1</v>
      </c>
      <c r="C74">
        <v>38</v>
      </c>
      <c r="D74">
        <v>17.62</v>
      </c>
      <c r="E74">
        <v>125181</v>
      </c>
      <c r="F74">
        <v>7.6113</v>
      </c>
      <c r="G74">
        <v>192.36666666666667</v>
      </c>
      <c r="H74">
        <v>4.3036065573770488</v>
      </c>
    </row>
    <row r="75" spans="1:8" x14ac:dyDescent="0.3">
      <c r="A75" t="s">
        <v>14</v>
      </c>
      <c r="B75">
        <v>2005.2</v>
      </c>
      <c r="C75">
        <v>142</v>
      </c>
      <c r="D75">
        <v>17.7</v>
      </c>
      <c r="E75">
        <v>125323</v>
      </c>
      <c r="F75">
        <v>6.7988619999999997</v>
      </c>
      <c r="G75">
        <v>193.66666666666666</v>
      </c>
      <c r="H75">
        <v>4.1585937500000005</v>
      </c>
    </row>
    <row r="76" spans="1:8" x14ac:dyDescent="0.3">
      <c r="A76" t="s">
        <v>14</v>
      </c>
      <c r="B76">
        <v>2005.3</v>
      </c>
      <c r="C76">
        <v>348</v>
      </c>
      <c r="D76">
        <v>17.809999999999999</v>
      </c>
      <c r="E76">
        <v>125671</v>
      </c>
      <c r="F76">
        <v>6.2962809999999996</v>
      </c>
      <c r="G76">
        <v>196.6</v>
      </c>
      <c r="H76">
        <v>4.2151562499999997</v>
      </c>
    </row>
    <row r="77" spans="1:8" x14ac:dyDescent="0.3">
      <c r="A77" t="s">
        <v>14</v>
      </c>
      <c r="B77">
        <v>2005.4</v>
      </c>
      <c r="C77">
        <v>773</v>
      </c>
      <c r="D77">
        <v>17.940000000000001</v>
      </c>
      <c r="E77">
        <v>126444</v>
      </c>
      <c r="F77">
        <v>6.2198659999999997</v>
      </c>
      <c r="G77">
        <v>198.43333333333334</v>
      </c>
      <c r="H77">
        <v>4.4881967213114757</v>
      </c>
    </row>
    <row r="78" spans="1:8" x14ac:dyDescent="0.3">
      <c r="A78" t="s">
        <v>14</v>
      </c>
      <c r="B78">
        <v>2006.1</v>
      </c>
      <c r="C78">
        <v>685</v>
      </c>
      <c r="D78">
        <v>17.940000000000001</v>
      </c>
      <c r="E78">
        <v>127129</v>
      </c>
      <c r="F78">
        <v>6.0138350000000003</v>
      </c>
      <c r="G78">
        <v>199.46666666666667</v>
      </c>
      <c r="H78">
        <v>4.5770967741935502</v>
      </c>
    </row>
    <row r="79" spans="1:8" x14ac:dyDescent="0.3">
      <c r="A79" t="s">
        <v>14</v>
      </c>
      <c r="B79">
        <v>2006.2</v>
      </c>
      <c r="C79">
        <v>446</v>
      </c>
      <c r="D79">
        <v>17.8</v>
      </c>
      <c r="E79">
        <v>127575</v>
      </c>
      <c r="F79">
        <v>5.8697340000000002</v>
      </c>
      <c r="G79">
        <v>201.26666666666668</v>
      </c>
      <c r="H79">
        <v>5.0726984126984132</v>
      </c>
    </row>
    <row r="80" spans="1:8" x14ac:dyDescent="0.3">
      <c r="A80" t="s">
        <v>14</v>
      </c>
      <c r="B80">
        <v>2006.3</v>
      </c>
      <c r="C80">
        <v>798</v>
      </c>
      <c r="D80">
        <v>17.66</v>
      </c>
      <c r="E80">
        <v>128373</v>
      </c>
      <c r="F80">
        <v>5.875019</v>
      </c>
      <c r="G80">
        <v>203.16666666666666</v>
      </c>
      <c r="H80">
        <v>4.8934920634920651</v>
      </c>
    </row>
    <row r="81" spans="1:8" x14ac:dyDescent="0.3">
      <c r="A81" t="s">
        <v>14</v>
      </c>
      <c r="B81">
        <v>2006.4</v>
      </c>
      <c r="C81">
        <v>77</v>
      </c>
      <c r="D81">
        <v>17.55</v>
      </c>
      <c r="E81">
        <v>128450</v>
      </c>
      <c r="F81">
        <v>5.6554010000000003</v>
      </c>
      <c r="G81">
        <v>202.33333333333334</v>
      </c>
      <c r="H81">
        <v>4.6306451612903237</v>
      </c>
    </row>
    <row r="82" spans="1:8" x14ac:dyDescent="0.3">
      <c r="A82" t="s">
        <v>14</v>
      </c>
      <c r="B82">
        <v>2007.1</v>
      </c>
      <c r="C82">
        <v>132</v>
      </c>
      <c r="D82">
        <v>17.84</v>
      </c>
      <c r="E82">
        <v>128582</v>
      </c>
      <c r="F82">
        <v>5.6121230000000004</v>
      </c>
      <c r="G82">
        <v>204.31700000000001</v>
      </c>
      <c r="H82">
        <v>4.6790322580645167</v>
      </c>
    </row>
    <row r="83" spans="1:8" x14ac:dyDescent="0.3">
      <c r="A83" t="s">
        <v>14</v>
      </c>
      <c r="B83">
        <v>2007.2</v>
      </c>
      <c r="C83">
        <v>1322</v>
      </c>
      <c r="D83">
        <v>17.75</v>
      </c>
      <c r="E83">
        <v>129904</v>
      </c>
      <c r="F83">
        <v>5.6666319999999999</v>
      </c>
      <c r="G83">
        <v>206.631</v>
      </c>
      <c r="H83">
        <v>4.8460937499999988</v>
      </c>
    </row>
    <row r="84" spans="1:8" x14ac:dyDescent="0.3">
      <c r="A84" t="s">
        <v>14</v>
      </c>
      <c r="B84">
        <v>2007.3</v>
      </c>
      <c r="C84">
        <v>924</v>
      </c>
      <c r="D84">
        <v>17.920000000000002</v>
      </c>
      <c r="E84">
        <v>130828</v>
      </c>
      <c r="F84">
        <v>5.5785780000000003</v>
      </c>
      <c r="G84">
        <v>207.93899999999999</v>
      </c>
      <c r="H84">
        <v>4.7384126984126951</v>
      </c>
    </row>
    <row r="85" spans="1:8" x14ac:dyDescent="0.3">
      <c r="A85" t="s">
        <v>14</v>
      </c>
      <c r="B85">
        <v>2007.4</v>
      </c>
      <c r="C85">
        <v>810</v>
      </c>
      <c r="D85">
        <v>18.079999999999998</v>
      </c>
      <c r="E85">
        <v>131638</v>
      </c>
      <c r="F85">
        <v>5.6450680000000002</v>
      </c>
      <c r="G85">
        <v>210.48966666666666</v>
      </c>
      <c r="H85">
        <v>4.2666129032258064</v>
      </c>
    </row>
    <row r="86" spans="1:8" x14ac:dyDescent="0.3">
      <c r="A86" t="s">
        <v>14</v>
      </c>
      <c r="B86">
        <v>2008.1</v>
      </c>
      <c r="C86">
        <v>357</v>
      </c>
      <c r="D86">
        <v>18.309999999999999</v>
      </c>
      <c r="E86">
        <v>131995</v>
      </c>
      <c r="F86">
        <v>5.6987199999999998</v>
      </c>
      <c r="G86">
        <v>212.76966666666667</v>
      </c>
      <c r="H86">
        <v>3.6652459016393442</v>
      </c>
    </row>
    <row r="87" spans="1:8" x14ac:dyDescent="0.3">
      <c r="A87" t="s">
        <v>14</v>
      </c>
      <c r="B87">
        <v>2008.2</v>
      </c>
      <c r="C87">
        <v>1159</v>
      </c>
      <c r="D87">
        <v>18.510000000000002</v>
      </c>
      <c r="E87">
        <v>133154</v>
      </c>
      <c r="F87">
        <v>5.7376079999999998</v>
      </c>
      <c r="G87">
        <v>215.53766666666667</v>
      </c>
      <c r="H87">
        <v>3.8815624999999998</v>
      </c>
    </row>
    <row r="88" spans="1:8" x14ac:dyDescent="0.3">
      <c r="A88" t="s">
        <v>14</v>
      </c>
      <c r="B88">
        <v>2008.3</v>
      </c>
      <c r="C88">
        <v>472</v>
      </c>
      <c r="D88">
        <v>18.75</v>
      </c>
      <c r="E88">
        <v>133626</v>
      </c>
      <c r="F88">
        <v>5.9115799999999998</v>
      </c>
      <c r="G88">
        <v>218.86099999999999</v>
      </c>
      <c r="H88">
        <v>3.8621875000000001</v>
      </c>
    </row>
    <row r="89" spans="1:8" x14ac:dyDescent="0.3">
      <c r="A89" t="s">
        <v>14</v>
      </c>
      <c r="B89">
        <v>2008.4</v>
      </c>
      <c r="C89">
        <v>871</v>
      </c>
      <c r="D89">
        <v>18.850000000000001</v>
      </c>
      <c r="E89">
        <v>134497</v>
      </c>
      <c r="F89">
        <v>6.1200989999999997</v>
      </c>
      <c r="G89">
        <v>213.84866666666667</v>
      </c>
      <c r="H89">
        <v>3.2346774193548384</v>
      </c>
    </row>
    <row r="90" spans="1:8" x14ac:dyDescent="0.3">
      <c r="A90" t="s">
        <v>14</v>
      </c>
      <c r="B90">
        <v>2009.1</v>
      </c>
      <c r="C90">
        <v>139</v>
      </c>
      <c r="D90">
        <v>18.75</v>
      </c>
      <c r="E90">
        <v>134636</v>
      </c>
      <c r="F90">
        <v>6.4231990000000003</v>
      </c>
      <c r="G90">
        <v>212.37766666666667</v>
      </c>
      <c r="H90">
        <v>2.7362295081967209</v>
      </c>
    </row>
    <row r="91" spans="1:8" x14ac:dyDescent="0.3">
      <c r="A91" t="s">
        <v>14</v>
      </c>
      <c r="B91">
        <v>2009.2</v>
      </c>
      <c r="C91">
        <v>605</v>
      </c>
      <c r="D91">
        <v>17.96</v>
      </c>
      <c r="E91">
        <v>135241</v>
      </c>
      <c r="F91">
        <v>6.7822449999999996</v>
      </c>
      <c r="G91">
        <v>213.50700000000001</v>
      </c>
      <c r="H91">
        <v>3.3207936507936511</v>
      </c>
    </row>
    <row r="92" spans="1:8" x14ac:dyDescent="0.3">
      <c r="A92" t="s">
        <v>14</v>
      </c>
      <c r="B92">
        <v>2009.3</v>
      </c>
      <c r="C92">
        <v>1307</v>
      </c>
      <c r="D92">
        <v>18.23</v>
      </c>
      <c r="E92">
        <v>136548</v>
      </c>
      <c r="F92">
        <v>7.1906080000000001</v>
      </c>
      <c r="G92">
        <v>215.34399999999999</v>
      </c>
      <c r="H92">
        <v>3.5178124999999998</v>
      </c>
    </row>
    <row r="93" spans="1:8" x14ac:dyDescent="0.3">
      <c r="A93" t="s">
        <v>14</v>
      </c>
      <c r="B93">
        <v>2009.4</v>
      </c>
      <c r="C93">
        <v>32</v>
      </c>
      <c r="D93">
        <v>18.12</v>
      </c>
      <c r="E93">
        <v>136580</v>
      </c>
      <c r="F93">
        <v>7.2920449999999999</v>
      </c>
      <c r="G93">
        <v>217.03</v>
      </c>
      <c r="H93">
        <v>3.464032258064516</v>
      </c>
    </row>
    <row r="94" spans="1:8" x14ac:dyDescent="0.3">
      <c r="A94" t="s">
        <v>14</v>
      </c>
      <c r="B94">
        <v>2010.1</v>
      </c>
      <c r="C94">
        <v>1820</v>
      </c>
      <c r="D94">
        <v>17.8</v>
      </c>
      <c r="E94">
        <v>138400</v>
      </c>
      <c r="F94">
        <v>7.4326400000000001</v>
      </c>
      <c r="G94">
        <v>217.374</v>
      </c>
      <c r="H94">
        <v>3.7178688524590173</v>
      </c>
    </row>
    <row r="95" spans="1:8" x14ac:dyDescent="0.3">
      <c r="A95" t="s">
        <v>14</v>
      </c>
      <c r="B95">
        <v>2010.2</v>
      </c>
      <c r="C95">
        <v>40</v>
      </c>
      <c r="D95">
        <v>17.55</v>
      </c>
      <c r="E95">
        <v>138440</v>
      </c>
      <c r="F95">
        <v>7.48177</v>
      </c>
      <c r="G95">
        <v>217.29733333333334</v>
      </c>
      <c r="H95">
        <v>3.4924999999999993</v>
      </c>
    </row>
    <row r="96" spans="1:8" x14ac:dyDescent="0.3">
      <c r="A96" t="s">
        <v>14</v>
      </c>
      <c r="B96">
        <v>2010.3</v>
      </c>
      <c r="C96">
        <v>11</v>
      </c>
      <c r="D96">
        <v>17.329999999999998</v>
      </c>
      <c r="E96">
        <v>138451</v>
      </c>
      <c r="F96">
        <v>7.3929070000000001</v>
      </c>
      <c r="G96">
        <v>217.93433333333334</v>
      </c>
      <c r="H96">
        <v>2.7845312500000015</v>
      </c>
    </row>
    <row r="97" spans="1:8" x14ac:dyDescent="0.3">
      <c r="A97" t="s">
        <v>14</v>
      </c>
      <c r="B97">
        <v>2010.4</v>
      </c>
      <c r="C97">
        <v>33</v>
      </c>
      <c r="D97">
        <v>17.21</v>
      </c>
      <c r="E97">
        <v>138484</v>
      </c>
      <c r="F97">
        <v>7.1570119999999999</v>
      </c>
      <c r="G97">
        <v>219.69900000000001</v>
      </c>
      <c r="H97">
        <v>2.8783870967741949</v>
      </c>
    </row>
    <row r="98" spans="1:8" x14ac:dyDescent="0.3">
      <c r="A98" t="s">
        <v>14</v>
      </c>
      <c r="B98">
        <v>2011.1</v>
      </c>
      <c r="C98">
        <v>9</v>
      </c>
      <c r="D98">
        <v>17.25</v>
      </c>
      <c r="E98">
        <v>138493</v>
      </c>
      <c r="F98">
        <v>6.9285410000000001</v>
      </c>
      <c r="G98">
        <v>222.04366666666667</v>
      </c>
      <c r="H98">
        <v>3.4574193548387107</v>
      </c>
    </row>
    <row r="99" spans="1:8" x14ac:dyDescent="0.3">
      <c r="A99" t="s">
        <v>14</v>
      </c>
      <c r="B99">
        <v>2011.2</v>
      </c>
      <c r="C99">
        <v>0</v>
      </c>
      <c r="D99">
        <v>17.23</v>
      </c>
      <c r="E99">
        <v>138493</v>
      </c>
      <c r="F99">
        <v>6.6448010000000002</v>
      </c>
      <c r="G99">
        <v>224.56833333333333</v>
      </c>
      <c r="H99">
        <v>3.201428571428572</v>
      </c>
    </row>
    <row r="100" spans="1:8" x14ac:dyDescent="0.3">
      <c r="A100" t="s">
        <v>14</v>
      </c>
      <c r="B100">
        <v>2011.3</v>
      </c>
      <c r="C100">
        <v>0</v>
      </c>
      <c r="D100">
        <v>17.18</v>
      </c>
      <c r="E100">
        <v>138493</v>
      </c>
      <c r="F100">
        <v>6.3874709999999997</v>
      </c>
      <c r="G100">
        <v>226.03266666666667</v>
      </c>
      <c r="H100">
        <v>2.4142187500000003</v>
      </c>
    </row>
    <row r="101" spans="1:8" x14ac:dyDescent="0.3">
      <c r="A101" t="s">
        <v>14</v>
      </c>
      <c r="B101">
        <v>2011.4</v>
      </c>
      <c r="C101">
        <v>0</v>
      </c>
      <c r="D101">
        <v>17.22</v>
      </c>
      <c r="E101">
        <v>138493</v>
      </c>
      <c r="F101">
        <v>6.3539770000000004</v>
      </c>
      <c r="G101">
        <v>227.04733333333334</v>
      </c>
      <c r="H101">
        <v>2.0467213114754093</v>
      </c>
    </row>
    <row r="102" spans="1:8" x14ac:dyDescent="0.3">
      <c r="A102" t="s">
        <v>14</v>
      </c>
      <c r="B102">
        <v>2012.1</v>
      </c>
      <c r="C102">
        <v>0</v>
      </c>
      <c r="D102">
        <v>16.86</v>
      </c>
      <c r="E102">
        <v>138493</v>
      </c>
      <c r="F102">
        <v>6.242451</v>
      </c>
      <c r="G102">
        <v>228.32599999999999</v>
      </c>
      <c r="H102">
        <v>2.0400000000000005</v>
      </c>
    </row>
    <row r="103" spans="1:8" x14ac:dyDescent="0.3">
      <c r="A103" t="s">
        <v>14</v>
      </c>
      <c r="B103">
        <v>2012.2</v>
      </c>
      <c r="C103">
        <v>0</v>
      </c>
      <c r="D103">
        <v>17.64</v>
      </c>
      <c r="E103">
        <v>138493</v>
      </c>
      <c r="F103">
        <v>6.2805350000000004</v>
      </c>
      <c r="G103">
        <v>228.80799999999999</v>
      </c>
      <c r="H103">
        <v>1.8257812499999995</v>
      </c>
    </row>
    <row r="104" spans="1:8" x14ac:dyDescent="0.3">
      <c r="A104" t="s">
        <v>14</v>
      </c>
      <c r="B104">
        <v>2012.3</v>
      </c>
      <c r="C104">
        <v>0</v>
      </c>
      <c r="D104">
        <v>16.88</v>
      </c>
      <c r="E104">
        <v>138493</v>
      </c>
      <c r="F104">
        <v>6.3966130000000003</v>
      </c>
      <c r="G104">
        <v>229.84100000000001</v>
      </c>
      <c r="H104">
        <v>1.6412698412698408</v>
      </c>
    </row>
    <row r="105" spans="1:8" x14ac:dyDescent="0.3">
      <c r="A105" t="s">
        <v>14</v>
      </c>
      <c r="B105">
        <v>2012.4</v>
      </c>
      <c r="C105">
        <v>0</v>
      </c>
      <c r="D105">
        <v>16.22</v>
      </c>
      <c r="E105">
        <v>138493</v>
      </c>
      <c r="F105">
        <v>6.4501140000000001</v>
      </c>
      <c r="G105">
        <v>231.36933333333334</v>
      </c>
      <c r="H105">
        <v>1.7070491803278682</v>
      </c>
    </row>
    <row r="106" spans="1:8" x14ac:dyDescent="0.3">
      <c r="A106" t="s">
        <v>14</v>
      </c>
      <c r="B106">
        <v>2013.1</v>
      </c>
      <c r="C106">
        <v>6</v>
      </c>
      <c r="D106">
        <v>16.39</v>
      </c>
      <c r="E106">
        <v>138499</v>
      </c>
      <c r="F106">
        <v>6.5276870000000002</v>
      </c>
      <c r="G106">
        <v>232.29933333333332</v>
      </c>
      <c r="H106">
        <v>1.9510000000000003</v>
      </c>
    </row>
    <row r="107" spans="1:8" x14ac:dyDescent="0.3">
      <c r="A107" t="s">
        <v>14</v>
      </c>
      <c r="B107">
        <v>2013.2</v>
      </c>
      <c r="C107">
        <v>5</v>
      </c>
      <c r="D107">
        <v>16.47</v>
      </c>
      <c r="E107">
        <v>138504</v>
      </c>
      <c r="F107">
        <v>6.3991740000000004</v>
      </c>
      <c r="G107">
        <v>232.04499999999999</v>
      </c>
      <c r="H107">
        <v>1.9862499999999992</v>
      </c>
    </row>
    <row r="108" spans="1:8" x14ac:dyDescent="0.3">
      <c r="A108" t="s">
        <v>14</v>
      </c>
      <c r="B108">
        <v>2013.3</v>
      </c>
      <c r="C108">
        <v>0</v>
      </c>
      <c r="D108">
        <v>16.670000000000002</v>
      </c>
      <c r="E108">
        <v>138504</v>
      </c>
      <c r="F108">
        <v>6.3621619999999997</v>
      </c>
      <c r="G108">
        <v>233.3</v>
      </c>
      <c r="H108">
        <v>2.7065624999999995</v>
      </c>
    </row>
    <row r="109" spans="1:8" x14ac:dyDescent="0.3">
      <c r="A109" t="s">
        <v>14</v>
      </c>
      <c r="B109">
        <v>2013.4</v>
      </c>
      <c r="C109">
        <v>0</v>
      </c>
      <c r="D109">
        <v>16.850000000000001</v>
      </c>
      <c r="E109">
        <v>138504</v>
      </c>
      <c r="F109">
        <v>6.21882</v>
      </c>
      <c r="G109">
        <v>234.16266666666667</v>
      </c>
      <c r="H109">
        <v>2.7441935483870958</v>
      </c>
    </row>
    <row r="110" spans="1:8" x14ac:dyDescent="0.3">
      <c r="A110" t="s">
        <v>14</v>
      </c>
      <c r="B110">
        <v>2014.1</v>
      </c>
      <c r="C110">
        <v>5</v>
      </c>
      <c r="D110">
        <v>17.03</v>
      </c>
      <c r="E110">
        <v>138509</v>
      </c>
      <c r="F110">
        <v>6.0789960000000001</v>
      </c>
      <c r="G110">
        <v>235.62100000000001</v>
      </c>
      <c r="H110">
        <v>2.7654098360655737</v>
      </c>
    </row>
    <row r="111" spans="1:8" x14ac:dyDescent="0.3">
      <c r="A111" t="s">
        <v>14</v>
      </c>
      <c r="B111">
        <v>2014.2</v>
      </c>
      <c r="C111">
        <v>0</v>
      </c>
      <c r="D111">
        <v>17.89</v>
      </c>
      <c r="E111">
        <v>138509</v>
      </c>
      <c r="F111">
        <v>6.1592529999999996</v>
      </c>
      <c r="G111">
        <v>236.87233333333333</v>
      </c>
      <c r="H111">
        <v>2.6209523809523816</v>
      </c>
    </row>
    <row r="112" spans="1:8" x14ac:dyDescent="0.3">
      <c r="A112" t="s">
        <v>14</v>
      </c>
      <c r="B112">
        <v>2014.3</v>
      </c>
      <c r="C112">
        <v>615</v>
      </c>
      <c r="D112">
        <v>17.739999999999998</v>
      </c>
      <c r="E112">
        <v>139124</v>
      </c>
      <c r="F112">
        <v>6.0589219999999999</v>
      </c>
      <c r="G112">
        <v>237.47833333333332</v>
      </c>
      <c r="H112">
        <v>2.4995312500000004</v>
      </c>
    </row>
    <row r="113" spans="1:8" x14ac:dyDescent="0.3">
      <c r="A113" t="s">
        <v>14</v>
      </c>
      <c r="B113">
        <v>2014.4</v>
      </c>
      <c r="C113">
        <v>231</v>
      </c>
      <c r="D113">
        <v>18.260000000000002</v>
      </c>
      <c r="E113">
        <v>139355</v>
      </c>
      <c r="F113">
        <v>6.3039810000000003</v>
      </c>
      <c r="G113">
        <v>236.88833333333332</v>
      </c>
      <c r="H113">
        <v>2.2759677419354838</v>
      </c>
    </row>
    <row r="114" spans="1:8" x14ac:dyDescent="0.3">
      <c r="A114" t="s">
        <v>14</v>
      </c>
      <c r="B114">
        <v>2015.1</v>
      </c>
      <c r="C114">
        <v>0</v>
      </c>
      <c r="D114">
        <v>18.87</v>
      </c>
      <c r="E114">
        <v>139355</v>
      </c>
      <c r="F114">
        <v>6.1847640000000004</v>
      </c>
      <c r="G114">
        <v>235.35499999999999</v>
      </c>
      <c r="H114">
        <v>1.9688524590163936</v>
      </c>
    </row>
    <row r="115" spans="1:8" x14ac:dyDescent="0.3">
      <c r="A115" t="s">
        <v>14</v>
      </c>
      <c r="B115">
        <v>2015.2</v>
      </c>
      <c r="C115">
        <v>0</v>
      </c>
      <c r="D115">
        <v>19</v>
      </c>
      <c r="E115">
        <v>139355</v>
      </c>
      <c r="F115">
        <v>5.985792</v>
      </c>
      <c r="G115">
        <v>236.96</v>
      </c>
      <c r="H115">
        <v>2.1643750000000002</v>
      </c>
    </row>
    <row r="116" spans="1:8" x14ac:dyDescent="0.3">
      <c r="A116" t="s">
        <v>14</v>
      </c>
      <c r="B116">
        <v>2015.3</v>
      </c>
      <c r="C116">
        <v>82</v>
      </c>
      <c r="D116">
        <v>19.43</v>
      </c>
      <c r="E116">
        <v>139437</v>
      </c>
      <c r="F116">
        <v>5.6294659999999999</v>
      </c>
      <c r="G116">
        <v>237.85499999999999</v>
      </c>
      <c r="H116">
        <v>2.223125</v>
      </c>
    </row>
    <row r="117" spans="1:8" x14ac:dyDescent="0.3">
      <c r="A117" t="s">
        <v>14</v>
      </c>
      <c r="B117">
        <v>2015.4</v>
      </c>
      <c r="C117">
        <v>52</v>
      </c>
      <c r="D117">
        <v>19.55</v>
      </c>
      <c r="E117">
        <v>139489</v>
      </c>
      <c r="F117">
        <v>5.2687119999999998</v>
      </c>
      <c r="G117">
        <v>237.83699999999999</v>
      </c>
      <c r="H117">
        <v>2.1904838709677414</v>
      </c>
    </row>
    <row r="118" spans="1:8" x14ac:dyDescent="0.3">
      <c r="A118" t="s">
        <v>14</v>
      </c>
      <c r="B118">
        <v>2016.1</v>
      </c>
      <c r="C118">
        <v>40</v>
      </c>
      <c r="D118">
        <v>19.739999999999998</v>
      </c>
      <c r="E118">
        <v>139529</v>
      </c>
      <c r="F118">
        <v>5.1644329999999998</v>
      </c>
      <c r="G118">
        <v>237.68933333333334</v>
      </c>
      <c r="H118">
        <v>1.9142619999999999</v>
      </c>
    </row>
    <row r="119" spans="1:8" x14ac:dyDescent="0.3">
      <c r="A119" t="s">
        <v>14</v>
      </c>
      <c r="B119">
        <v>2016.2</v>
      </c>
      <c r="C119">
        <v>0</v>
      </c>
      <c r="D119">
        <v>20.010000000000002</v>
      </c>
      <c r="E119">
        <v>139529</v>
      </c>
      <c r="F119">
        <v>5.0326639999999996</v>
      </c>
      <c r="G119">
        <v>239.59033333333332</v>
      </c>
      <c r="H119">
        <v>1.750156</v>
      </c>
    </row>
    <row r="120" spans="1:8" x14ac:dyDescent="0.3">
      <c r="A120" t="s">
        <v>14</v>
      </c>
      <c r="B120">
        <v>2016.3</v>
      </c>
      <c r="C120">
        <v>116</v>
      </c>
      <c r="D120">
        <v>20.34</v>
      </c>
      <c r="E120">
        <v>139645</v>
      </c>
      <c r="F120">
        <v>5.1709490000000002</v>
      </c>
      <c r="G120">
        <v>240.60733333333334</v>
      </c>
      <c r="H120">
        <v>1.5643750000000001</v>
      </c>
    </row>
    <row r="121" spans="1:8" x14ac:dyDescent="0.3">
      <c r="A121" t="s">
        <v>14</v>
      </c>
      <c r="B121">
        <v>2016.4</v>
      </c>
      <c r="C121">
        <v>61</v>
      </c>
      <c r="D121">
        <v>20.56</v>
      </c>
      <c r="E121">
        <v>139706</v>
      </c>
      <c r="F121">
        <v>4.9615980000000004</v>
      </c>
      <c r="G121">
        <v>242.13466666666667</v>
      </c>
      <c r="H121">
        <v>2.1386889999999998</v>
      </c>
    </row>
    <row r="122" spans="1:8" x14ac:dyDescent="0.3">
      <c r="A122" t="s">
        <v>14</v>
      </c>
      <c r="B122">
        <v>2017.1</v>
      </c>
      <c r="C122">
        <v>50</v>
      </c>
      <c r="D122">
        <v>20.95</v>
      </c>
      <c r="E122">
        <v>139756</v>
      </c>
      <c r="F122">
        <v>4.9446399999999997</v>
      </c>
      <c r="G122">
        <v>243.83866666666665</v>
      </c>
      <c r="H122">
        <v>2.4466130000000001</v>
      </c>
    </row>
    <row r="123" spans="1:8" x14ac:dyDescent="0.3">
      <c r="A123" t="s">
        <v>14</v>
      </c>
      <c r="B123">
        <v>2017.2</v>
      </c>
      <c r="C123">
        <v>1465</v>
      </c>
      <c r="D123">
        <v>21.08</v>
      </c>
      <c r="E123">
        <v>141221</v>
      </c>
      <c r="F123">
        <v>4.9829610000000004</v>
      </c>
      <c r="G123">
        <v>244.12</v>
      </c>
      <c r="H123">
        <v>2.2609520000000001</v>
      </c>
    </row>
    <row r="124" spans="1:8" x14ac:dyDescent="0.3">
      <c r="A124" t="s">
        <v>14</v>
      </c>
      <c r="B124">
        <v>2017.3</v>
      </c>
      <c r="C124">
        <v>231</v>
      </c>
      <c r="D124">
        <v>21.26</v>
      </c>
      <c r="E124">
        <v>141452</v>
      </c>
      <c r="F124">
        <v>5.1481960000000004</v>
      </c>
      <c r="G124">
        <v>245.28700000000001</v>
      </c>
      <c r="H124">
        <v>2.2414290000000001</v>
      </c>
    </row>
    <row r="125" spans="1:8" x14ac:dyDescent="0.3">
      <c r="A125" t="s">
        <v>3</v>
      </c>
      <c r="B125">
        <v>1987.1</v>
      </c>
      <c r="C125">
        <v>1803</v>
      </c>
      <c r="D125">
        <v>23.24</v>
      </c>
      <c r="E125">
        <v>114459</v>
      </c>
      <c r="F125">
        <v>7.5705460000000002</v>
      </c>
      <c r="G125">
        <v>111.8</v>
      </c>
      <c r="H125">
        <v>7.1954098360655747</v>
      </c>
    </row>
    <row r="126" spans="1:8" x14ac:dyDescent="0.3">
      <c r="A126" t="s">
        <v>3</v>
      </c>
      <c r="B126">
        <v>1987.2</v>
      </c>
      <c r="C126">
        <v>945</v>
      </c>
      <c r="D126">
        <v>22.89</v>
      </c>
      <c r="E126">
        <v>115404</v>
      </c>
      <c r="F126">
        <v>7.5630810000000004</v>
      </c>
      <c r="G126">
        <v>113.06666666666666</v>
      </c>
      <c r="H126">
        <v>8.3426984126984127</v>
      </c>
    </row>
    <row r="127" spans="1:8" x14ac:dyDescent="0.3">
      <c r="A127" t="s">
        <v>3</v>
      </c>
      <c r="B127">
        <v>1987.3</v>
      </c>
      <c r="C127">
        <v>751</v>
      </c>
      <c r="D127">
        <v>23.15</v>
      </c>
      <c r="E127">
        <v>116155</v>
      </c>
      <c r="F127">
        <v>7.5716939999999999</v>
      </c>
      <c r="G127">
        <v>114.26666666666667</v>
      </c>
      <c r="H127">
        <v>8.8696874999999995</v>
      </c>
    </row>
    <row r="128" spans="1:8" x14ac:dyDescent="0.3">
      <c r="A128" t="s">
        <v>3</v>
      </c>
      <c r="B128">
        <v>1987.4</v>
      </c>
      <c r="C128">
        <v>5317</v>
      </c>
      <c r="D128">
        <v>23.4</v>
      </c>
      <c r="E128">
        <v>121472</v>
      </c>
      <c r="F128">
        <v>7.0823109999999998</v>
      </c>
      <c r="G128">
        <v>115.33333333333333</v>
      </c>
      <c r="H128">
        <v>9.129032258064516</v>
      </c>
    </row>
    <row r="129" spans="1:8" x14ac:dyDescent="0.3">
      <c r="A129" t="s">
        <v>3</v>
      </c>
      <c r="B129">
        <v>1988.1</v>
      </c>
      <c r="C129">
        <v>2612</v>
      </c>
      <c r="D129">
        <v>23.62</v>
      </c>
      <c r="E129">
        <v>124084</v>
      </c>
      <c r="F129">
        <v>7.0318860000000001</v>
      </c>
      <c r="G129">
        <v>116.23333333333333</v>
      </c>
      <c r="H129">
        <v>8.4109677419354885</v>
      </c>
    </row>
    <row r="130" spans="1:8" x14ac:dyDescent="0.3">
      <c r="A130" t="s">
        <v>3</v>
      </c>
      <c r="B130">
        <v>1988.2</v>
      </c>
      <c r="C130">
        <v>1666</v>
      </c>
      <c r="D130">
        <v>23.84</v>
      </c>
      <c r="E130">
        <v>125750</v>
      </c>
      <c r="F130">
        <v>6.7085429999999997</v>
      </c>
      <c r="G130">
        <v>117.56666666666666</v>
      </c>
      <c r="H130">
        <v>8.9128571428571437</v>
      </c>
    </row>
    <row r="131" spans="1:8" x14ac:dyDescent="0.3">
      <c r="A131" t="s">
        <v>3</v>
      </c>
      <c r="B131">
        <v>1988.3</v>
      </c>
      <c r="C131">
        <v>758</v>
      </c>
      <c r="D131">
        <v>23.86</v>
      </c>
      <c r="E131">
        <v>126508</v>
      </c>
      <c r="F131">
        <v>6.6966960000000002</v>
      </c>
      <c r="G131">
        <v>119</v>
      </c>
      <c r="H131">
        <v>9.1035937500000035</v>
      </c>
    </row>
    <row r="132" spans="1:8" x14ac:dyDescent="0.3">
      <c r="A132" t="s">
        <v>3</v>
      </c>
      <c r="B132">
        <v>1988.4</v>
      </c>
      <c r="C132">
        <v>1839</v>
      </c>
      <c r="D132">
        <v>23.88</v>
      </c>
      <c r="E132">
        <v>128347</v>
      </c>
      <c r="F132">
        <v>6.7313359999999998</v>
      </c>
      <c r="G132">
        <v>120.3</v>
      </c>
      <c r="H132">
        <v>8.9570491803278678</v>
      </c>
    </row>
    <row r="133" spans="1:8" x14ac:dyDescent="0.3">
      <c r="A133" t="s">
        <v>3</v>
      </c>
      <c r="B133">
        <v>1989.1</v>
      </c>
      <c r="C133">
        <v>1452</v>
      </c>
      <c r="D133">
        <v>23.29</v>
      </c>
      <c r="E133">
        <v>129799</v>
      </c>
      <c r="F133">
        <v>6.7306010000000001</v>
      </c>
      <c r="G133">
        <v>121.66666666666667</v>
      </c>
      <c r="H133">
        <v>9.2116393442622968</v>
      </c>
    </row>
    <row r="134" spans="1:8" x14ac:dyDescent="0.3">
      <c r="A134" t="s">
        <v>3</v>
      </c>
      <c r="B134">
        <v>1989.2</v>
      </c>
      <c r="C134">
        <v>1915</v>
      </c>
      <c r="D134">
        <v>22.73</v>
      </c>
      <c r="E134">
        <v>131714</v>
      </c>
      <c r="F134">
        <v>6.9197959999999998</v>
      </c>
      <c r="G134">
        <v>123.63333333333334</v>
      </c>
      <c r="H134">
        <v>8.7579687500000016</v>
      </c>
    </row>
    <row r="135" spans="1:8" x14ac:dyDescent="0.3">
      <c r="A135" t="s">
        <v>3</v>
      </c>
      <c r="B135">
        <v>1989.3</v>
      </c>
      <c r="C135">
        <v>391</v>
      </c>
      <c r="D135">
        <v>22.72</v>
      </c>
      <c r="E135">
        <v>132105</v>
      </c>
      <c r="F135">
        <v>6.7945859999999998</v>
      </c>
      <c r="G135">
        <v>124.6</v>
      </c>
      <c r="H135">
        <v>8.1074603174603155</v>
      </c>
    </row>
    <row r="136" spans="1:8" x14ac:dyDescent="0.3">
      <c r="A136" t="s">
        <v>3</v>
      </c>
      <c r="B136">
        <v>1989.4</v>
      </c>
      <c r="C136">
        <v>3272</v>
      </c>
      <c r="D136">
        <v>22.71</v>
      </c>
      <c r="E136">
        <v>135377</v>
      </c>
      <c r="F136">
        <v>6.6613119999999997</v>
      </c>
      <c r="G136">
        <v>125.86666666666666</v>
      </c>
      <c r="H136">
        <v>7.9070967741935476</v>
      </c>
    </row>
    <row r="137" spans="1:8" x14ac:dyDescent="0.3">
      <c r="A137" t="s">
        <v>3</v>
      </c>
      <c r="B137">
        <v>1990.1</v>
      </c>
      <c r="C137">
        <v>1874</v>
      </c>
      <c r="D137">
        <v>21.96</v>
      </c>
      <c r="E137">
        <v>137251</v>
      </c>
      <c r="F137">
        <v>6.3276209999999997</v>
      </c>
      <c r="G137">
        <v>128.03333333333333</v>
      </c>
      <c r="H137">
        <v>8.4238709677419337</v>
      </c>
    </row>
    <row r="138" spans="1:8" x14ac:dyDescent="0.3">
      <c r="A138" t="s">
        <v>3</v>
      </c>
      <c r="B138">
        <v>1990.2</v>
      </c>
      <c r="C138">
        <v>0</v>
      </c>
      <c r="D138">
        <v>21.25</v>
      </c>
      <c r="E138">
        <v>137251</v>
      </c>
      <c r="F138">
        <v>5.980702</v>
      </c>
      <c r="G138">
        <v>129.30000000000001</v>
      </c>
      <c r="H138">
        <v>8.6741269841269819</v>
      </c>
    </row>
    <row r="139" spans="1:8" x14ac:dyDescent="0.3">
      <c r="A139" t="s">
        <v>3</v>
      </c>
      <c r="B139">
        <v>1990.3</v>
      </c>
      <c r="C139">
        <v>1353</v>
      </c>
      <c r="D139">
        <v>21.04</v>
      </c>
      <c r="E139">
        <v>138604</v>
      </c>
      <c r="F139">
        <v>5.9427760000000003</v>
      </c>
      <c r="G139">
        <v>131.53333333333333</v>
      </c>
      <c r="H139">
        <v>8.7012698412698413</v>
      </c>
    </row>
    <row r="140" spans="1:8" x14ac:dyDescent="0.3">
      <c r="A140" t="s">
        <v>3</v>
      </c>
      <c r="B140">
        <v>1990.4</v>
      </c>
      <c r="C140">
        <v>811</v>
      </c>
      <c r="D140">
        <v>20.82</v>
      </c>
      <c r="E140">
        <v>139415</v>
      </c>
      <c r="F140">
        <v>5.9876860000000001</v>
      </c>
      <c r="G140">
        <v>133.76666666666668</v>
      </c>
      <c r="H140">
        <v>8.4059677419354859</v>
      </c>
    </row>
    <row r="141" spans="1:8" x14ac:dyDescent="0.3">
      <c r="A141" t="s">
        <v>3</v>
      </c>
      <c r="B141">
        <v>1991.1</v>
      </c>
      <c r="C141">
        <v>115</v>
      </c>
      <c r="D141">
        <v>19.68</v>
      </c>
      <c r="E141">
        <v>139530</v>
      </c>
      <c r="F141">
        <v>6.1407239999999996</v>
      </c>
      <c r="G141">
        <v>134.76666666666668</v>
      </c>
      <c r="H141">
        <v>8.0231666666666648</v>
      </c>
    </row>
    <row r="142" spans="1:8" x14ac:dyDescent="0.3">
      <c r="A142" t="s">
        <v>3</v>
      </c>
      <c r="B142">
        <v>1991.2</v>
      </c>
      <c r="C142">
        <v>0</v>
      </c>
      <c r="D142">
        <v>18.61</v>
      </c>
      <c r="E142">
        <v>139530</v>
      </c>
      <c r="F142">
        <v>6.2681230000000001</v>
      </c>
      <c r="G142">
        <v>135.56666666666666</v>
      </c>
      <c r="H142">
        <v>8.1254687499999996</v>
      </c>
    </row>
    <row r="143" spans="1:8" x14ac:dyDescent="0.3">
      <c r="A143" t="s">
        <v>3</v>
      </c>
      <c r="B143">
        <v>1991.3</v>
      </c>
      <c r="C143">
        <v>700</v>
      </c>
      <c r="D143">
        <v>17.54</v>
      </c>
      <c r="E143">
        <v>140230</v>
      </c>
      <c r="F143">
        <v>6.0533619999999999</v>
      </c>
      <c r="G143">
        <v>136.6</v>
      </c>
      <c r="H143">
        <v>7.9499999999999993</v>
      </c>
    </row>
    <row r="144" spans="1:8" x14ac:dyDescent="0.3">
      <c r="A144" t="s">
        <v>3</v>
      </c>
      <c r="B144">
        <v>1991.4</v>
      </c>
      <c r="C144">
        <v>434</v>
      </c>
      <c r="D144">
        <v>16.54</v>
      </c>
      <c r="E144">
        <v>140664</v>
      </c>
      <c r="F144">
        <v>6.2030060000000002</v>
      </c>
      <c r="G144">
        <v>137.73333333333332</v>
      </c>
      <c r="H144">
        <v>7.3450000000000006</v>
      </c>
    </row>
    <row r="145" spans="1:8" x14ac:dyDescent="0.3">
      <c r="A145" t="s">
        <v>3</v>
      </c>
      <c r="B145">
        <v>1992.1</v>
      </c>
      <c r="C145">
        <v>26</v>
      </c>
      <c r="D145">
        <v>16.989999999999998</v>
      </c>
      <c r="E145">
        <v>140690</v>
      </c>
      <c r="F145">
        <v>6.314146</v>
      </c>
      <c r="G145">
        <v>138.66666666666666</v>
      </c>
      <c r="H145">
        <v>7.3069354838709675</v>
      </c>
    </row>
    <row r="146" spans="1:8" x14ac:dyDescent="0.3">
      <c r="A146" t="s">
        <v>3</v>
      </c>
      <c r="B146">
        <v>1992.2</v>
      </c>
      <c r="C146">
        <v>0</v>
      </c>
      <c r="D146">
        <v>17.46</v>
      </c>
      <c r="E146">
        <v>140690</v>
      </c>
      <c r="F146">
        <v>6.8037910000000004</v>
      </c>
      <c r="G146">
        <v>139.73333333333332</v>
      </c>
      <c r="H146">
        <v>7.3760317460317451</v>
      </c>
    </row>
    <row r="147" spans="1:8" x14ac:dyDescent="0.3">
      <c r="A147" t="s">
        <v>3</v>
      </c>
      <c r="B147">
        <v>1992.3</v>
      </c>
      <c r="C147">
        <v>118</v>
      </c>
      <c r="D147">
        <v>17.100000000000001</v>
      </c>
      <c r="E147">
        <v>140808</v>
      </c>
      <c r="F147">
        <v>7.6054550000000001</v>
      </c>
      <c r="G147">
        <v>140.80000000000001</v>
      </c>
      <c r="H147">
        <v>6.6187500000000021</v>
      </c>
    </row>
    <row r="148" spans="1:8" x14ac:dyDescent="0.3">
      <c r="A148" t="s">
        <v>3</v>
      </c>
      <c r="B148">
        <v>1992.4</v>
      </c>
      <c r="C148">
        <v>299</v>
      </c>
      <c r="D148">
        <v>16.75</v>
      </c>
      <c r="E148">
        <v>141107</v>
      </c>
      <c r="F148">
        <v>8.6291630000000001</v>
      </c>
      <c r="G148">
        <v>142.03333333333333</v>
      </c>
      <c r="H148">
        <v>6.7403225806451594</v>
      </c>
    </row>
    <row r="149" spans="1:8" x14ac:dyDescent="0.3">
      <c r="A149" t="s">
        <v>3</v>
      </c>
      <c r="B149">
        <v>1993.1</v>
      </c>
      <c r="C149">
        <v>144</v>
      </c>
      <c r="D149">
        <v>17.88</v>
      </c>
      <c r="E149">
        <v>141251</v>
      </c>
      <c r="F149">
        <v>9.6192759999999993</v>
      </c>
      <c r="G149">
        <v>143.06666666666666</v>
      </c>
      <c r="H149">
        <v>6.2581967213114744</v>
      </c>
    </row>
    <row r="150" spans="1:8" x14ac:dyDescent="0.3">
      <c r="A150" t="s">
        <v>3</v>
      </c>
      <c r="B150">
        <v>1993.2</v>
      </c>
      <c r="C150">
        <v>55</v>
      </c>
      <c r="D150">
        <v>19.079999999999998</v>
      </c>
      <c r="E150">
        <v>141306</v>
      </c>
      <c r="F150">
        <v>9.9780300000000004</v>
      </c>
      <c r="G150">
        <v>144.1</v>
      </c>
      <c r="H150">
        <v>5.9880952380952381</v>
      </c>
    </row>
    <row r="151" spans="1:8" x14ac:dyDescent="0.3">
      <c r="A151" t="s">
        <v>3</v>
      </c>
      <c r="B151">
        <v>1993.3</v>
      </c>
      <c r="C151">
        <v>869</v>
      </c>
      <c r="D151">
        <v>19.18</v>
      </c>
      <c r="E151">
        <v>142175</v>
      </c>
      <c r="F151">
        <v>10.27497</v>
      </c>
      <c r="G151">
        <v>144.76666666666668</v>
      </c>
      <c r="H151">
        <v>5.6153125000000017</v>
      </c>
    </row>
    <row r="152" spans="1:8" x14ac:dyDescent="0.3">
      <c r="A152" t="s">
        <v>3</v>
      </c>
      <c r="B152">
        <v>1993.4</v>
      </c>
      <c r="C152">
        <v>0</v>
      </c>
      <c r="D152">
        <v>19.28</v>
      </c>
      <c r="E152">
        <v>142175</v>
      </c>
      <c r="F152">
        <v>10.292479999999999</v>
      </c>
      <c r="G152">
        <v>145.96666666666667</v>
      </c>
      <c r="H152">
        <v>5.6159677419354841</v>
      </c>
    </row>
    <row r="153" spans="1:8" x14ac:dyDescent="0.3">
      <c r="A153" t="s">
        <v>3</v>
      </c>
      <c r="B153">
        <v>1994.1</v>
      </c>
      <c r="C153">
        <v>157</v>
      </c>
      <c r="D153">
        <v>18.91</v>
      </c>
      <c r="E153">
        <v>142332</v>
      </c>
      <c r="F153">
        <v>10.19218</v>
      </c>
      <c r="G153">
        <v>146.69999999999999</v>
      </c>
      <c r="H153">
        <v>6.09032258064516</v>
      </c>
    </row>
    <row r="154" spans="1:8" x14ac:dyDescent="0.3">
      <c r="A154" t="s">
        <v>3</v>
      </c>
      <c r="B154">
        <v>1994.2</v>
      </c>
      <c r="C154">
        <v>0</v>
      </c>
      <c r="D154">
        <v>18.54</v>
      </c>
      <c r="E154">
        <v>142332</v>
      </c>
      <c r="F154">
        <v>10.15082</v>
      </c>
      <c r="G154">
        <v>147.53333333333333</v>
      </c>
      <c r="H154">
        <v>7.0895161290322593</v>
      </c>
    </row>
    <row r="155" spans="1:8" x14ac:dyDescent="0.3">
      <c r="A155" t="s">
        <v>3</v>
      </c>
      <c r="B155">
        <v>1994.3</v>
      </c>
      <c r="C155">
        <v>0</v>
      </c>
      <c r="D155">
        <v>19.25</v>
      </c>
      <c r="E155">
        <v>142332</v>
      </c>
      <c r="F155">
        <v>10.03411</v>
      </c>
      <c r="G155">
        <v>148.9</v>
      </c>
      <c r="H155">
        <v>7.327968750000001</v>
      </c>
    </row>
    <row r="156" spans="1:8" x14ac:dyDescent="0.3">
      <c r="A156" t="s">
        <v>3</v>
      </c>
      <c r="B156">
        <v>1994.4</v>
      </c>
      <c r="C156">
        <v>0</v>
      </c>
      <c r="D156">
        <v>19.989999999999998</v>
      </c>
      <c r="E156">
        <v>142332</v>
      </c>
      <c r="F156">
        <v>9.7762989999999999</v>
      </c>
      <c r="G156">
        <v>149.76666666666668</v>
      </c>
      <c r="H156">
        <v>7.8372131147540989</v>
      </c>
    </row>
    <row r="157" spans="1:8" x14ac:dyDescent="0.3">
      <c r="A157" t="s">
        <v>3</v>
      </c>
      <c r="B157">
        <v>1995.1</v>
      </c>
      <c r="C157">
        <v>0</v>
      </c>
      <c r="D157">
        <v>19.68</v>
      </c>
      <c r="E157">
        <v>142332</v>
      </c>
      <c r="F157">
        <v>9.5653810000000004</v>
      </c>
      <c r="G157">
        <v>150.86666666666667</v>
      </c>
      <c r="H157">
        <v>7.4712903225806464</v>
      </c>
    </row>
    <row r="158" spans="1:8" x14ac:dyDescent="0.3">
      <c r="A158" t="s">
        <v>3</v>
      </c>
      <c r="B158">
        <v>1995.2</v>
      </c>
      <c r="C158">
        <v>104</v>
      </c>
      <c r="D158">
        <v>19.37</v>
      </c>
      <c r="E158">
        <v>142436</v>
      </c>
      <c r="F158">
        <v>9.5483879999999992</v>
      </c>
      <c r="G158">
        <v>152.1</v>
      </c>
      <c r="H158">
        <v>6.6001587301587294</v>
      </c>
    </row>
    <row r="159" spans="1:8" x14ac:dyDescent="0.3">
      <c r="A159" t="s">
        <v>3</v>
      </c>
      <c r="B159">
        <v>1995.3</v>
      </c>
      <c r="C159">
        <v>80</v>
      </c>
      <c r="D159">
        <v>19.82</v>
      </c>
      <c r="E159">
        <v>142516</v>
      </c>
      <c r="F159">
        <v>9.5591200000000001</v>
      </c>
      <c r="G159">
        <v>152.86666666666667</v>
      </c>
      <c r="H159">
        <v>6.3292063492063484</v>
      </c>
    </row>
    <row r="160" spans="1:8" x14ac:dyDescent="0.3">
      <c r="A160" t="s">
        <v>3</v>
      </c>
      <c r="B160">
        <v>1995.4</v>
      </c>
      <c r="C160">
        <v>130</v>
      </c>
      <c r="D160">
        <v>20.27</v>
      </c>
      <c r="E160">
        <v>142646</v>
      </c>
      <c r="F160">
        <v>9.5522629999999999</v>
      </c>
      <c r="G160">
        <v>153.69999999999999</v>
      </c>
      <c r="H160">
        <v>5.8985483870967741</v>
      </c>
    </row>
    <row r="161" spans="1:8" x14ac:dyDescent="0.3">
      <c r="A161" t="s">
        <v>3</v>
      </c>
      <c r="B161">
        <v>1996.1</v>
      </c>
      <c r="C161">
        <v>127</v>
      </c>
      <c r="D161">
        <v>20.2</v>
      </c>
      <c r="E161">
        <v>142773</v>
      </c>
      <c r="F161">
        <v>9.3986780000000003</v>
      </c>
      <c r="G161">
        <v>155.06666666666666</v>
      </c>
      <c r="H161">
        <v>5.9104838709677407</v>
      </c>
    </row>
    <row r="162" spans="1:8" x14ac:dyDescent="0.3">
      <c r="A162" t="s">
        <v>3</v>
      </c>
      <c r="B162">
        <v>1996.2</v>
      </c>
      <c r="C162">
        <v>0</v>
      </c>
      <c r="D162">
        <v>20.13</v>
      </c>
      <c r="E162">
        <v>142773</v>
      </c>
      <c r="F162">
        <v>9.098929</v>
      </c>
      <c r="G162">
        <v>156.4</v>
      </c>
      <c r="H162">
        <v>6.7140624999999998</v>
      </c>
    </row>
    <row r="163" spans="1:8" x14ac:dyDescent="0.3">
      <c r="A163" t="s">
        <v>3</v>
      </c>
      <c r="B163">
        <v>1996.3</v>
      </c>
      <c r="C163">
        <v>0</v>
      </c>
      <c r="D163">
        <v>20.88</v>
      </c>
      <c r="E163">
        <v>142773</v>
      </c>
      <c r="F163">
        <v>8.5974310000000003</v>
      </c>
      <c r="G163">
        <v>157.30000000000001</v>
      </c>
      <c r="H163">
        <v>6.7759375000000022</v>
      </c>
    </row>
    <row r="164" spans="1:8" x14ac:dyDescent="0.3">
      <c r="A164" t="s">
        <v>3</v>
      </c>
      <c r="B164">
        <v>1996.4</v>
      </c>
      <c r="C164">
        <v>75</v>
      </c>
      <c r="D164">
        <v>21.66</v>
      </c>
      <c r="E164">
        <v>142848</v>
      </c>
      <c r="F164">
        <v>8.1464060000000007</v>
      </c>
      <c r="G164">
        <v>158.66666666666666</v>
      </c>
      <c r="H164">
        <v>6.3541935483870962</v>
      </c>
    </row>
    <row r="165" spans="1:8" x14ac:dyDescent="0.3">
      <c r="A165" t="s">
        <v>3</v>
      </c>
      <c r="B165">
        <v>1997.1</v>
      </c>
      <c r="C165">
        <v>268</v>
      </c>
      <c r="D165">
        <v>23.01</v>
      </c>
      <c r="E165">
        <v>143116</v>
      </c>
      <c r="F165">
        <v>7.7891589999999997</v>
      </c>
      <c r="G165">
        <v>159.63333333333333</v>
      </c>
      <c r="H165">
        <v>6.5670000000000028</v>
      </c>
    </row>
    <row r="166" spans="1:8" x14ac:dyDescent="0.3">
      <c r="A166" t="s">
        <v>3</v>
      </c>
      <c r="B166">
        <v>1997.2</v>
      </c>
      <c r="C166">
        <v>184</v>
      </c>
      <c r="D166">
        <v>24.43</v>
      </c>
      <c r="E166">
        <v>143300</v>
      </c>
      <c r="F166">
        <v>7.5248480000000004</v>
      </c>
      <c r="G166">
        <v>160</v>
      </c>
      <c r="H166">
        <v>6.6996874999999996</v>
      </c>
    </row>
    <row r="167" spans="1:8" x14ac:dyDescent="0.3">
      <c r="A167" t="s">
        <v>3</v>
      </c>
      <c r="B167">
        <v>1997.3</v>
      </c>
      <c r="C167">
        <v>576</v>
      </c>
      <c r="D167">
        <v>24.54</v>
      </c>
      <c r="E167">
        <v>143876</v>
      </c>
      <c r="F167">
        <v>7.5810259999999996</v>
      </c>
      <c r="G167">
        <v>160.80000000000001</v>
      </c>
      <c r="H167">
        <v>6.2421875</v>
      </c>
    </row>
    <row r="168" spans="1:8" x14ac:dyDescent="0.3">
      <c r="A168" t="s">
        <v>3</v>
      </c>
      <c r="B168">
        <v>1997.4</v>
      </c>
      <c r="C168">
        <v>392</v>
      </c>
      <c r="D168">
        <v>24.65</v>
      </c>
      <c r="E168">
        <v>144268</v>
      </c>
      <c r="F168">
        <v>7.716933</v>
      </c>
      <c r="G168">
        <v>161.66666666666666</v>
      </c>
      <c r="H168">
        <v>5.906290322580646</v>
      </c>
    </row>
    <row r="169" spans="1:8" x14ac:dyDescent="0.3">
      <c r="A169" t="s">
        <v>3</v>
      </c>
      <c r="B169">
        <v>1998.1</v>
      </c>
      <c r="C169">
        <v>530</v>
      </c>
      <c r="D169">
        <v>26.13</v>
      </c>
      <c r="E169">
        <v>144798</v>
      </c>
      <c r="F169">
        <v>7.9283530000000004</v>
      </c>
      <c r="G169">
        <v>162</v>
      </c>
      <c r="H169">
        <v>5.5909836065573773</v>
      </c>
    </row>
    <row r="170" spans="1:8" x14ac:dyDescent="0.3">
      <c r="A170" t="s">
        <v>3</v>
      </c>
      <c r="B170">
        <v>1998.2</v>
      </c>
      <c r="C170">
        <v>666</v>
      </c>
      <c r="D170">
        <v>27.7</v>
      </c>
      <c r="E170">
        <v>145464</v>
      </c>
      <c r="F170">
        <v>8.2524080000000009</v>
      </c>
      <c r="G170">
        <v>162.53333333333333</v>
      </c>
      <c r="H170">
        <v>5.5930158730158714</v>
      </c>
    </row>
    <row r="171" spans="1:8" x14ac:dyDescent="0.3">
      <c r="A171" t="s">
        <v>3</v>
      </c>
      <c r="B171">
        <v>1998.3</v>
      </c>
      <c r="C171">
        <v>796</v>
      </c>
      <c r="D171">
        <v>26.82</v>
      </c>
      <c r="E171">
        <v>146260</v>
      </c>
      <c r="F171">
        <v>8.3689420000000005</v>
      </c>
      <c r="G171">
        <v>163.36666666666667</v>
      </c>
      <c r="H171">
        <v>5.2073437500000006</v>
      </c>
    </row>
    <row r="172" spans="1:8" x14ac:dyDescent="0.3">
      <c r="A172" t="s">
        <v>3</v>
      </c>
      <c r="B172">
        <v>1998.4</v>
      </c>
      <c r="C172">
        <v>852</v>
      </c>
      <c r="D172">
        <v>25.97</v>
      </c>
      <c r="E172">
        <v>147112</v>
      </c>
      <c r="F172">
        <v>8.3374240000000004</v>
      </c>
      <c r="G172">
        <v>164.13333333333333</v>
      </c>
      <c r="H172">
        <v>4.661935483870967</v>
      </c>
    </row>
    <row r="173" spans="1:8" x14ac:dyDescent="0.3">
      <c r="A173" t="s">
        <v>3</v>
      </c>
      <c r="B173">
        <v>1999.1</v>
      </c>
      <c r="C173">
        <v>1540</v>
      </c>
      <c r="D173">
        <v>27.26</v>
      </c>
      <c r="E173">
        <v>148652</v>
      </c>
      <c r="F173">
        <v>8.0439480000000003</v>
      </c>
      <c r="G173">
        <v>164.73333333333332</v>
      </c>
      <c r="H173">
        <v>5.0008196721311462</v>
      </c>
    </row>
    <row r="174" spans="1:8" x14ac:dyDescent="0.3">
      <c r="A174" t="s">
        <v>3</v>
      </c>
      <c r="B174">
        <v>1999.2</v>
      </c>
      <c r="C174">
        <v>1179</v>
      </c>
      <c r="D174">
        <v>28.61</v>
      </c>
      <c r="E174">
        <v>149831</v>
      </c>
      <c r="F174">
        <v>7.6382320000000004</v>
      </c>
      <c r="G174">
        <v>165.96666666666667</v>
      </c>
      <c r="H174">
        <v>5.5412499999999998</v>
      </c>
    </row>
    <row r="175" spans="1:8" x14ac:dyDescent="0.3">
      <c r="A175" t="s">
        <v>3</v>
      </c>
      <c r="B175">
        <v>1999.3</v>
      </c>
      <c r="C175">
        <v>743</v>
      </c>
      <c r="D175">
        <v>31.28</v>
      </c>
      <c r="E175">
        <v>150574</v>
      </c>
      <c r="F175">
        <v>7.2944950000000004</v>
      </c>
      <c r="G175">
        <v>167.2</v>
      </c>
      <c r="H175">
        <v>5.8829687499999981</v>
      </c>
    </row>
    <row r="176" spans="1:8" x14ac:dyDescent="0.3">
      <c r="A176" t="s">
        <v>3</v>
      </c>
      <c r="B176">
        <v>1999.4</v>
      </c>
      <c r="C176">
        <v>1238</v>
      </c>
      <c r="D176">
        <v>34.21</v>
      </c>
      <c r="E176">
        <v>151812</v>
      </c>
      <c r="F176">
        <v>7.1387879999999999</v>
      </c>
      <c r="G176">
        <v>168.43333333333334</v>
      </c>
      <c r="H176">
        <v>6.1448387096774191</v>
      </c>
    </row>
    <row r="177" spans="1:8" x14ac:dyDescent="0.3">
      <c r="A177" t="s">
        <v>3</v>
      </c>
      <c r="B177">
        <v>2000.1</v>
      </c>
      <c r="C177">
        <v>870</v>
      </c>
      <c r="D177">
        <v>36.369999999999997</v>
      </c>
      <c r="E177">
        <v>152682</v>
      </c>
      <c r="F177">
        <v>7.0859500000000004</v>
      </c>
      <c r="G177">
        <v>170.1</v>
      </c>
      <c r="H177">
        <v>6.4684126984126982</v>
      </c>
    </row>
    <row r="178" spans="1:8" x14ac:dyDescent="0.3">
      <c r="A178" t="s">
        <v>3</v>
      </c>
      <c r="B178">
        <v>2000.2</v>
      </c>
      <c r="C178">
        <v>1071</v>
      </c>
      <c r="D178">
        <v>38.67</v>
      </c>
      <c r="E178">
        <v>153753</v>
      </c>
      <c r="F178">
        <v>7.1649190000000003</v>
      </c>
      <c r="G178">
        <v>171.43333333333334</v>
      </c>
      <c r="H178">
        <v>6.1849206349206343</v>
      </c>
    </row>
    <row r="179" spans="1:8" x14ac:dyDescent="0.3">
      <c r="A179" t="s">
        <v>3</v>
      </c>
      <c r="B179">
        <v>2000.3</v>
      </c>
      <c r="C179">
        <v>1336</v>
      </c>
      <c r="D179">
        <v>41.24</v>
      </c>
      <c r="E179">
        <v>155089</v>
      </c>
      <c r="F179">
        <v>7.4017470000000003</v>
      </c>
      <c r="G179">
        <v>173</v>
      </c>
      <c r="H179">
        <v>5.8898412698412699</v>
      </c>
    </row>
    <row r="180" spans="1:8" x14ac:dyDescent="0.3">
      <c r="A180" t="s">
        <v>3</v>
      </c>
      <c r="B180">
        <v>2000.4</v>
      </c>
      <c r="C180">
        <v>1745</v>
      </c>
      <c r="D180">
        <v>43.98</v>
      </c>
      <c r="E180">
        <v>156834</v>
      </c>
      <c r="F180">
        <v>7.4675229999999999</v>
      </c>
      <c r="G180">
        <v>174.23333333333332</v>
      </c>
      <c r="H180">
        <v>5.5706451612903232</v>
      </c>
    </row>
    <row r="181" spans="1:8" x14ac:dyDescent="0.3">
      <c r="A181" t="s">
        <v>3</v>
      </c>
      <c r="B181">
        <v>2001.1</v>
      </c>
      <c r="C181">
        <v>1408</v>
      </c>
      <c r="D181">
        <v>42.63</v>
      </c>
      <c r="E181">
        <v>158242</v>
      </c>
      <c r="F181">
        <v>7.5741829999999997</v>
      </c>
      <c r="G181">
        <v>175.9</v>
      </c>
      <c r="H181">
        <v>5.0441935483870957</v>
      </c>
    </row>
    <row r="182" spans="1:8" x14ac:dyDescent="0.3">
      <c r="A182" t="s">
        <v>3</v>
      </c>
      <c r="B182">
        <v>2001.2</v>
      </c>
      <c r="C182">
        <v>1220</v>
      </c>
      <c r="D182">
        <v>41.32</v>
      </c>
      <c r="E182">
        <v>159462</v>
      </c>
      <c r="F182">
        <v>7.7454299999999998</v>
      </c>
      <c r="G182">
        <v>177.13333333333333</v>
      </c>
      <c r="H182">
        <v>5.2761904761904761</v>
      </c>
    </row>
    <row r="183" spans="1:8" x14ac:dyDescent="0.3">
      <c r="A183" t="s">
        <v>3</v>
      </c>
      <c r="B183">
        <v>2001.3</v>
      </c>
      <c r="C183">
        <v>2571</v>
      </c>
      <c r="D183">
        <v>38.94</v>
      </c>
      <c r="E183">
        <v>162033</v>
      </c>
      <c r="F183">
        <v>7.7946850000000003</v>
      </c>
      <c r="G183">
        <v>177.63333333333333</v>
      </c>
      <c r="H183">
        <v>4.9957377049180334</v>
      </c>
    </row>
    <row r="184" spans="1:8" x14ac:dyDescent="0.3">
      <c r="A184" t="s">
        <v>3</v>
      </c>
      <c r="B184">
        <v>2001.4</v>
      </c>
      <c r="C184">
        <v>2030</v>
      </c>
      <c r="D184">
        <v>36.700000000000003</v>
      </c>
      <c r="E184">
        <v>164063</v>
      </c>
      <c r="F184">
        <v>7.9971120000000004</v>
      </c>
      <c r="G184">
        <v>177.5</v>
      </c>
      <c r="H184">
        <v>4.7620967741935463</v>
      </c>
    </row>
    <row r="185" spans="1:8" x14ac:dyDescent="0.3">
      <c r="A185" t="s">
        <v>3</v>
      </c>
      <c r="B185">
        <v>2002.1</v>
      </c>
      <c r="C185">
        <v>1545</v>
      </c>
      <c r="D185">
        <v>34.58</v>
      </c>
      <c r="E185">
        <v>165608</v>
      </c>
      <c r="F185">
        <v>8.3933879999999998</v>
      </c>
      <c r="G185">
        <v>178.06666666666666</v>
      </c>
      <c r="H185">
        <v>5.0791666666666666</v>
      </c>
    </row>
    <row r="186" spans="1:8" x14ac:dyDescent="0.3">
      <c r="A186" t="s">
        <v>3</v>
      </c>
      <c r="B186">
        <v>2002.2</v>
      </c>
      <c r="C186">
        <v>961</v>
      </c>
      <c r="D186">
        <v>32.590000000000003</v>
      </c>
      <c r="E186">
        <v>166569</v>
      </c>
      <c r="F186">
        <v>8.7277909999999999</v>
      </c>
      <c r="G186">
        <v>179.46666666666667</v>
      </c>
      <c r="H186">
        <v>5.1060937499999994</v>
      </c>
    </row>
    <row r="187" spans="1:8" x14ac:dyDescent="0.3">
      <c r="A187" t="s">
        <v>3</v>
      </c>
      <c r="B187">
        <v>2002.3</v>
      </c>
      <c r="C187">
        <v>618</v>
      </c>
      <c r="D187">
        <v>31.67</v>
      </c>
      <c r="E187">
        <v>167187</v>
      </c>
      <c r="F187">
        <v>8.9559180000000005</v>
      </c>
      <c r="G187">
        <v>180.43333333333334</v>
      </c>
      <c r="H187">
        <v>4.2723437499999992</v>
      </c>
    </row>
    <row r="188" spans="1:8" x14ac:dyDescent="0.3">
      <c r="A188" t="s">
        <v>3</v>
      </c>
      <c r="B188">
        <v>2002.4</v>
      </c>
      <c r="C188">
        <v>1133</v>
      </c>
      <c r="D188">
        <v>30.67</v>
      </c>
      <c r="E188">
        <v>168320</v>
      </c>
      <c r="F188">
        <v>8.9652890000000003</v>
      </c>
      <c r="G188">
        <v>181.5</v>
      </c>
      <c r="H188">
        <v>4.0048387096774194</v>
      </c>
    </row>
    <row r="189" spans="1:8" x14ac:dyDescent="0.3">
      <c r="A189" t="s">
        <v>3</v>
      </c>
      <c r="B189">
        <v>2003.1</v>
      </c>
      <c r="C189">
        <v>63</v>
      </c>
      <c r="D189">
        <v>29.63</v>
      </c>
      <c r="E189">
        <v>168383</v>
      </c>
      <c r="F189">
        <v>8.9388380000000005</v>
      </c>
      <c r="G189">
        <v>183.36666666666667</v>
      </c>
      <c r="H189">
        <v>3.9199999999999995</v>
      </c>
    </row>
    <row r="190" spans="1:8" x14ac:dyDescent="0.3">
      <c r="A190" t="s">
        <v>3</v>
      </c>
      <c r="B190">
        <v>2003.2</v>
      </c>
      <c r="C190">
        <v>1988</v>
      </c>
      <c r="D190">
        <v>28.97</v>
      </c>
      <c r="E190">
        <v>170371</v>
      </c>
      <c r="F190">
        <v>8.8041680000000007</v>
      </c>
      <c r="G190">
        <v>183.06666666666666</v>
      </c>
      <c r="H190">
        <v>3.6206349206349211</v>
      </c>
    </row>
    <row r="191" spans="1:8" x14ac:dyDescent="0.3">
      <c r="A191" t="s">
        <v>3</v>
      </c>
      <c r="B191">
        <v>2003.3</v>
      </c>
      <c r="C191">
        <v>144</v>
      </c>
      <c r="D191">
        <v>27.99</v>
      </c>
      <c r="E191">
        <v>170515</v>
      </c>
      <c r="F191">
        <v>8.6783000000000001</v>
      </c>
      <c r="G191">
        <v>184.43333333333334</v>
      </c>
      <c r="H191">
        <v>4.2276562499999981</v>
      </c>
    </row>
    <row r="192" spans="1:8" x14ac:dyDescent="0.3">
      <c r="A192" t="s">
        <v>3</v>
      </c>
      <c r="B192">
        <v>2003.4</v>
      </c>
      <c r="C192">
        <v>140</v>
      </c>
      <c r="D192">
        <v>27.2</v>
      </c>
      <c r="E192">
        <v>170655</v>
      </c>
      <c r="F192">
        <v>8.7229030000000005</v>
      </c>
      <c r="G192">
        <v>185.13333333333333</v>
      </c>
      <c r="H192">
        <v>4.2851612903225798</v>
      </c>
    </row>
    <row r="193" spans="1:8" x14ac:dyDescent="0.3">
      <c r="A193" t="s">
        <v>3</v>
      </c>
      <c r="B193">
        <v>2004.1</v>
      </c>
      <c r="C193">
        <v>237</v>
      </c>
      <c r="D193">
        <v>26.21</v>
      </c>
      <c r="E193">
        <v>170892</v>
      </c>
      <c r="F193">
        <v>8.3944639999999993</v>
      </c>
      <c r="G193">
        <v>186.7</v>
      </c>
      <c r="H193">
        <v>4.01</v>
      </c>
    </row>
    <row r="194" spans="1:8" x14ac:dyDescent="0.3">
      <c r="A194" t="s">
        <v>3</v>
      </c>
      <c r="B194">
        <v>2004.2</v>
      </c>
      <c r="C194">
        <v>30</v>
      </c>
      <c r="D194">
        <v>24.89</v>
      </c>
      <c r="E194">
        <v>170922</v>
      </c>
      <c r="F194">
        <v>8.3665579999999995</v>
      </c>
      <c r="G194">
        <v>188.16666666666666</v>
      </c>
      <c r="H194">
        <v>4.597096774193548</v>
      </c>
    </row>
    <row r="195" spans="1:8" x14ac:dyDescent="0.3">
      <c r="A195" t="s">
        <v>3</v>
      </c>
      <c r="B195">
        <v>2004.3</v>
      </c>
      <c r="C195">
        <v>106</v>
      </c>
      <c r="D195">
        <v>24.27</v>
      </c>
      <c r="E195">
        <v>171028</v>
      </c>
      <c r="F195">
        <v>8.2623359999999995</v>
      </c>
      <c r="G195">
        <v>189.36666666666667</v>
      </c>
      <c r="H195">
        <v>4.3014062500000003</v>
      </c>
    </row>
    <row r="196" spans="1:8" x14ac:dyDescent="0.3">
      <c r="A196" t="s">
        <v>3</v>
      </c>
      <c r="B196">
        <v>2004.4</v>
      </c>
      <c r="C196">
        <v>134</v>
      </c>
      <c r="D196">
        <v>23.65</v>
      </c>
      <c r="E196">
        <v>171162</v>
      </c>
      <c r="F196">
        <v>7.9589619999999996</v>
      </c>
      <c r="G196">
        <v>191.4</v>
      </c>
      <c r="H196">
        <v>4.1758064516129041</v>
      </c>
    </row>
    <row r="197" spans="1:8" x14ac:dyDescent="0.3">
      <c r="A197" t="s">
        <v>3</v>
      </c>
      <c r="B197">
        <v>2005.1</v>
      </c>
      <c r="C197">
        <v>727</v>
      </c>
      <c r="D197">
        <v>24.16</v>
      </c>
      <c r="E197">
        <v>171889</v>
      </c>
      <c r="F197">
        <v>7.8914819999999999</v>
      </c>
      <c r="G197">
        <v>192.36666666666667</v>
      </c>
      <c r="H197">
        <v>4.3036065573770488</v>
      </c>
    </row>
    <row r="198" spans="1:8" x14ac:dyDescent="0.3">
      <c r="A198" t="s">
        <v>3</v>
      </c>
      <c r="B198">
        <v>2005.2</v>
      </c>
      <c r="C198">
        <v>44</v>
      </c>
      <c r="D198">
        <v>24.46</v>
      </c>
      <c r="E198">
        <v>171933</v>
      </c>
      <c r="F198">
        <v>7.5119369999999996</v>
      </c>
      <c r="G198">
        <v>193.66666666666666</v>
      </c>
      <c r="H198">
        <v>4.1585937500000005</v>
      </c>
    </row>
    <row r="199" spans="1:8" x14ac:dyDescent="0.3">
      <c r="A199" t="s">
        <v>3</v>
      </c>
      <c r="B199">
        <v>2005.3</v>
      </c>
      <c r="C199">
        <v>40</v>
      </c>
      <c r="D199">
        <v>24.84</v>
      </c>
      <c r="E199">
        <v>171973</v>
      </c>
      <c r="F199">
        <v>7.0210800000000004</v>
      </c>
      <c r="G199">
        <v>196.6</v>
      </c>
      <c r="H199">
        <v>4.2151562499999997</v>
      </c>
    </row>
    <row r="200" spans="1:8" x14ac:dyDescent="0.3">
      <c r="A200" t="s">
        <v>3</v>
      </c>
      <c r="B200">
        <v>2005.4</v>
      </c>
      <c r="C200">
        <v>583</v>
      </c>
      <c r="D200">
        <v>25.13</v>
      </c>
      <c r="E200">
        <v>172556</v>
      </c>
      <c r="F200">
        <v>6.6647220000000003</v>
      </c>
      <c r="G200">
        <v>198.43333333333334</v>
      </c>
      <c r="H200">
        <v>4.4881967213114757</v>
      </c>
    </row>
    <row r="201" spans="1:8" x14ac:dyDescent="0.3">
      <c r="A201" t="s">
        <v>3</v>
      </c>
      <c r="B201">
        <v>2006.1</v>
      </c>
      <c r="C201">
        <v>66</v>
      </c>
      <c r="D201">
        <v>25.91</v>
      </c>
      <c r="E201">
        <v>172622</v>
      </c>
      <c r="F201">
        <v>6.3506489999999998</v>
      </c>
      <c r="G201">
        <v>199.46666666666667</v>
      </c>
      <c r="H201">
        <v>4.5770967741935502</v>
      </c>
    </row>
    <row r="202" spans="1:8" x14ac:dyDescent="0.3">
      <c r="A202" t="s">
        <v>3</v>
      </c>
      <c r="B202">
        <v>2006.2</v>
      </c>
      <c r="C202">
        <v>139</v>
      </c>
      <c r="D202">
        <v>26.27</v>
      </c>
      <c r="E202">
        <v>172761</v>
      </c>
      <c r="F202">
        <v>5.9567350000000001</v>
      </c>
      <c r="G202">
        <v>201.26666666666668</v>
      </c>
      <c r="H202">
        <v>5.0726984126984132</v>
      </c>
    </row>
    <row r="203" spans="1:8" x14ac:dyDescent="0.3">
      <c r="A203" t="s">
        <v>3</v>
      </c>
      <c r="B203">
        <v>2006.3</v>
      </c>
      <c r="C203">
        <v>234</v>
      </c>
      <c r="D203">
        <v>26.67</v>
      </c>
      <c r="E203">
        <v>172995</v>
      </c>
      <c r="F203">
        <v>5.9069209999999996</v>
      </c>
      <c r="G203">
        <v>203.16666666666666</v>
      </c>
      <c r="H203">
        <v>4.8934920634920651</v>
      </c>
    </row>
    <row r="204" spans="1:8" x14ac:dyDescent="0.3">
      <c r="A204" t="s">
        <v>3</v>
      </c>
      <c r="B204">
        <v>2006.4</v>
      </c>
      <c r="C204">
        <v>541</v>
      </c>
      <c r="D204">
        <v>27.12</v>
      </c>
      <c r="E204">
        <v>173536</v>
      </c>
      <c r="F204">
        <v>5.8386449999999996</v>
      </c>
      <c r="G204">
        <v>202.33333333333334</v>
      </c>
      <c r="H204">
        <v>4.6306451612903237</v>
      </c>
    </row>
    <row r="205" spans="1:8" x14ac:dyDescent="0.3">
      <c r="A205" t="s">
        <v>3</v>
      </c>
      <c r="B205">
        <v>2007.1</v>
      </c>
      <c r="C205">
        <v>658</v>
      </c>
      <c r="D205">
        <v>28.36</v>
      </c>
      <c r="E205">
        <v>174194</v>
      </c>
      <c r="F205">
        <v>5.6546190000000003</v>
      </c>
      <c r="G205">
        <v>204.31700000000001</v>
      </c>
      <c r="H205">
        <v>4.6790322580645167</v>
      </c>
    </row>
    <row r="206" spans="1:8" x14ac:dyDescent="0.3">
      <c r="A206" t="s">
        <v>3</v>
      </c>
      <c r="B206">
        <v>2007.2</v>
      </c>
      <c r="C206">
        <v>132</v>
      </c>
      <c r="D206">
        <v>28.59</v>
      </c>
      <c r="E206">
        <v>174326</v>
      </c>
      <c r="F206">
        <v>5.557874</v>
      </c>
      <c r="G206">
        <v>206.631</v>
      </c>
      <c r="H206">
        <v>4.8460937499999988</v>
      </c>
    </row>
    <row r="207" spans="1:8" x14ac:dyDescent="0.3">
      <c r="A207" t="s">
        <v>3</v>
      </c>
      <c r="B207">
        <v>2007.3</v>
      </c>
      <c r="C207">
        <v>128</v>
      </c>
      <c r="D207">
        <v>29.33</v>
      </c>
      <c r="E207">
        <v>174454</v>
      </c>
      <c r="F207">
        <v>5.2163370000000002</v>
      </c>
      <c r="G207">
        <v>207.93899999999999</v>
      </c>
      <c r="H207">
        <v>4.7384126984126951</v>
      </c>
    </row>
    <row r="208" spans="1:8" x14ac:dyDescent="0.3">
      <c r="A208" t="s">
        <v>3</v>
      </c>
      <c r="B208">
        <v>2007.4</v>
      </c>
      <c r="C208">
        <v>430</v>
      </c>
      <c r="D208">
        <v>30</v>
      </c>
      <c r="E208">
        <v>174884</v>
      </c>
      <c r="F208">
        <v>4.8510470000000003</v>
      </c>
      <c r="G208">
        <v>210.48966666666666</v>
      </c>
      <c r="H208">
        <v>4.2666129032258064</v>
      </c>
    </row>
    <row r="209" spans="1:8" x14ac:dyDescent="0.3">
      <c r="A209" t="s">
        <v>3</v>
      </c>
      <c r="B209">
        <v>2008.1</v>
      </c>
      <c r="C209">
        <v>506</v>
      </c>
      <c r="D209">
        <v>31.27</v>
      </c>
      <c r="E209">
        <v>175390</v>
      </c>
      <c r="F209">
        <v>4.5425199999999997</v>
      </c>
      <c r="G209">
        <v>212.76966666666667</v>
      </c>
      <c r="H209">
        <v>3.6652459016393442</v>
      </c>
    </row>
    <row r="210" spans="1:8" x14ac:dyDescent="0.3">
      <c r="A210" t="s">
        <v>3</v>
      </c>
      <c r="B210">
        <v>2008.2</v>
      </c>
      <c r="C210">
        <v>961</v>
      </c>
      <c r="D210">
        <v>32.21</v>
      </c>
      <c r="E210">
        <v>176351</v>
      </c>
      <c r="F210">
        <v>4.2675869999999998</v>
      </c>
      <c r="G210">
        <v>215.53766666666667</v>
      </c>
      <c r="H210">
        <v>3.8815624999999998</v>
      </c>
    </row>
    <row r="211" spans="1:8" x14ac:dyDescent="0.3">
      <c r="A211" t="s">
        <v>3</v>
      </c>
      <c r="B211">
        <v>2008.3</v>
      </c>
      <c r="C211">
        <v>753</v>
      </c>
      <c r="D211">
        <v>32.56</v>
      </c>
      <c r="E211">
        <v>177104</v>
      </c>
      <c r="F211">
        <v>4.1551109999999998</v>
      </c>
      <c r="G211">
        <v>218.86099999999999</v>
      </c>
      <c r="H211">
        <v>3.8621875000000001</v>
      </c>
    </row>
    <row r="212" spans="1:8" x14ac:dyDescent="0.3">
      <c r="A212" t="s">
        <v>3</v>
      </c>
      <c r="B212">
        <v>2008.4</v>
      </c>
      <c r="C212">
        <v>347</v>
      </c>
      <c r="D212">
        <v>32.71</v>
      </c>
      <c r="E212">
        <v>177451</v>
      </c>
      <c r="F212">
        <v>4.3674590000000002</v>
      </c>
      <c r="G212">
        <v>213.84866666666667</v>
      </c>
      <c r="H212">
        <v>3.2346774193548384</v>
      </c>
    </row>
    <row r="213" spans="1:8" x14ac:dyDescent="0.3">
      <c r="A213" t="s">
        <v>3</v>
      </c>
      <c r="B213">
        <v>2009.1</v>
      </c>
      <c r="C213">
        <v>365</v>
      </c>
      <c r="D213">
        <v>31.63</v>
      </c>
      <c r="E213">
        <v>177816</v>
      </c>
      <c r="F213">
        <v>4.8126819999999997</v>
      </c>
      <c r="G213">
        <v>212.37766666666667</v>
      </c>
      <c r="H213">
        <v>2.7362295081967209</v>
      </c>
    </row>
    <row r="214" spans="1:8" x14ac:dyDescent="0.3">
      <c r="A214" t="s">
        <v>3</v>
      </c>
      <c r="B214">
        <v>2009.2</v>
      </c>
      <c r="C214">
        <v>435</v>
      </c>
      <c r="D214">
        <v>29.14</v>
      </c>
      <c r="E214">
        <v>178251</v>
      </c>
      <c r="F214">
        <v>5.4440010000000001</v>
      </c>
      <c r="G214">
        <v>213.50700000000001</v>
      </c>
      <c r="H214">
        <v>3.3207936507936511</v>
      </c>
    </row>
    <row r="215" spans="1:8" x14ac:dyDescent="0.3">
      <c r="A215" t="s">
        <v>3</v>
      </c>
      <c r="B215">
        <v>2009.3</v>
      </c>
      <c r="C215">
        <v>137</v>
      </c>
      <c r="D215">
        <v>28.16</v>
      </c>
      <c r="E215">
        <v>178388</v>
      </c>
      <c r="F215">
        <v>6.1839810000000002</v>
      </c>
      <c r="G215">
        <v>215.34399999999999</v>
      </c>
      <c r="H215">
        <v>3.5178124999999998</v>
      </c>
    </row>
    <row r="216" spans="1:8" x14ac:dyDescent="0.3">
      <c r="A216" t="s">
        <v>3</v>
      </c>
      <c r="B216">
        <v>2009.4</v>
      </c>
      <c r="C216">
        <v>342</v>
      </c>
      <c r="D216">
        <v>27.73</v>
      </c>
      <c r="E216">
        <v>178730</v>
      </c>
      <c r="F216">
        <v>6.6947349999999997</v>
      </c>
      <c r="G216">
        <v>217.03</v>
      </c>
      <c r="H216">
        <v>3.464032258064516</v>
      </c>
    </row>
    <row r="217" spans="1:8" x14ac:dyDescent="0.3">
      <c r="A217" t="s">
        <v>3</v>
      </c>
      <c r="B217">
        <v>2010.1</v>
      </c>
      <c r="C217">
        <v>615</v>
      </c>
      <c r="D217">
        <v>27.27</v>
      </c>
      <c r="E217">
        <v>179345</v>
      </c>
      <c r="F217">
        <v>7.0082760000000004</v>
      </c>
      <c r="G217">
        <v>217.374</v>
      </c>
      <c r="H217">
        <v>3.7178688524590173</v>
      </c>
    </row>
    <row r="218" spans="1:8" x14ac:dyDescent="0.3">
      <c r="A218" t="s">
        <v>3</v>
      </c>
      <c r="B218">
        <v>2010.2</v>
      </c>
      <c r="C218">
        <v>389</v>
      </c>
      <c r="D218">
        <v>27.14</v>
      </c>
      <c r="E218">
        <v>179734</v>
      </c>
      <c r="F218">
        <v>7.1487879999999997</v>
      </c>
      <c r="G218">
        <v>217.29733333333334</v>
      </c>
      <c r="H218">
        <v>3.4924999999999993</v>
      </c>
    </row>
    <row r="219" spans="1:8" x14ac:dyDescent="0.3">
      <c r="A219" t="s">
        <v>3</v>
      </c>
      <c r="B219">
        <v>2010.3</v>
      </c>
      <c r="C219">
        <v>567</v>
      </c>
      <c r="D219">
        <v>27.09</v>
      </c>
      <c r="E219">
        <v>180301</v>
      </c>
      <c r="F219">
        <v>7.090916</v>
      </c>
      <c r="G219">
        <v>217.93433333333334</v>
      </c>
      <c r="H219">
        <v>2.7845312500000015</v>
      </c>
    </row>
    <row r="220" spans="1:8" x14ac:dyDescent="0.3">
      <c r="A220" t="s">
        <v>3</v>
      </c>
      <c r="B220">
        <v>2010.4</v>
      </c>
      <c r="C220">
        <v>212</v>
      </c>
      <c r="D220">
        <v>26.86</v>
      </c>
      <c r="E220">
        <v>180513</v>
      </c>
      <c r="F220">
        <v>6.8463289999999999</v>
      </c>
      <c r="G220">
        <v>219.69900000000001</v>
      </c>
      <c r="H220">
        <v>2.8783870967741949</v>
      </c>
    </row>
    <row r="221" spans="1:8" x14ac:dyDescent="0.3">
      <c r="A221" t="s">
        <v>3</v>
      </c>
      <c r="B221">
        <v>2011.1</v>
      </c>
      <c r="C221">
        <v>896</v>
      </c>
      <c r="D221">
        <v>26.33</v>
      </c>
      <c r="E221">
        <v>181409</v>
      </c>
      <c r="F221">
        <v>6.4971290000000002</v>
      </c>
      <c r="G221">
        <v>222.04366666666667</v>
      </c>
      <c r="H221">
        <v>3.4574193548387107</v>
      </c>
    </row>
    <row r="222" spans="1:8" x14ac:dyDescent="0.3">
      <c r="A222" t="s">
        <v>3</v>
      </c>
      <c r="B222">
        <v>2011.2</v>
      </c>
      <c r="C222">
        <v>0</v>
      </c>
      <c r="D222">
        <v>27.1</v>
      </c>
      <c r="E222">
        <v>181409</v>
      </c>
      <c r="F222">
        <v>6.1792319999999998</v>
      </c>
      <c r="G222">
        <v>224.56833333333333</v>
      </c>
      <c r="H222">
        <v>3.201428571428572</v>
      </c>
    </row>
    <row r="223" spans="1:8" x14ac:dyDescent="0.3">
      <c r="A223" t="s">
        <v>3</v>
      </c>
      <c r="B223">
        <v>2011.3</v>
      </c>
      <c r="C223">
        <v>70</v>
      </c>
      <c r="D223">
        <v>25.54</v>
      </c>
      <c r="E223">
        <v>181479</v>
      </c>
      <c r="F223">
        <v>5.8055079999999997</v>
      </c>
      <c r="G223">
        <v>226.03266666666667</v>
      </c>
      <c r="H223">
        <v>2.4142187500000003</v>
      </c>
    </row>
    <row r="224" spans="1:8" x14ac:dyDescent="0.3">
      <c r="A224" t="s">
        <v>3</v>
      </c>
      <c r="B224">
        <v>2011.4</v>
      </c>
      <c r="C224">
        <v>28</v>
      </c>
      <c r="D224">
        <v>27.33</v>
      </c>
      <c r="E224">
        <v>181507</v>
      </c>
      <c r="F224">
        <v>5.6350040000000003</v>
      </c>
      <c r="G224">
        <v>227.04733333333334</v>
      </c>
      <c r="H224">
        <v>2.0467213114754093</v>
      </c>
    </row>
    <row r="225" spans="1:8" x14ac:dyDescent="0.3">
      <c r="A225" t="s">
        <v>3</v>
      </c>
      <c r="B225">
        <v>2012.1</v>
      </c>
      <c r="C225">
        <v>0</v>
      </c>
      <c r="D225">
        <v>27.29</v>
      </c>
      <c r="E225">
        <v>181507</v>
      </c>
      <c r="F225">
        <v>5.5189380000000003</v>
      </c>
      <c r="G225">
        <v>228.32599999999999</v>
      </c>
      <c r="H225">
        <v>2.0400000000000005</v>
      </c>
    </row>
    <row r="226" spans="1:8" x14ac:dyDescent="0.3">
      <c r="A226" t="s">
        <v>3</v>
      </c>
      <c r="B226">
        <v>2012.2</v>
      </c>
      <c r="C226">
        <v>10</v>
      </c>
      <c r="D226">
        <v>27.53</v>
      </c>
      <c r="E226">
        <v>181517</v>
      </c>
      <c r="F226">
        <v>5.3845169999999998</v>
      </c>
      <c r="G226">
        <v>228.80799999999999</v>
      </c>
      <c r="H226">
        <v>1.8257812499999995</v>
      </c>
    </row>
    <row r="227" spans="1:8" x14ac:dyDescent="0.3">
      <c r="A227" t="s">
        <v>3</v>
      </c>
      <c r="B227">
        <v>2012.3</v>
      </c>
      <c r="C227">
        <v>140</v>
      </c>
      <c r="D227">
        <v>27.7</v>
      </c>
      <c r="E227">
        <v>181657</v>
      </c>
      <c r="F227">
        <v>5.4154590000000002</v>
      </c>
      <c r="G227">
        <v>229.84100000000001</v>
      </c>
      <c r="H227">
        <v>1.6412698412698408</v>
      </c>
    </row>
    <row r="228" spans="1:8" x14ac:dyDescent="0.3">
      <c r="A228" t="s">
        <v>3</v>
      </c>
      <c r="B228">
        <v>2012.4</v>
      </c>
      <c r="C228">
        <v>397</v>
      </c>
      <c r="D228">
        <v>28.24</v>
      </c>
      <c r="E228">
        <v>182054</v>
      </c>
      <c r="F228">
        <v>5.3442720000000001</v>
      </c>
      <c r="G228">
        <v>231.36933333333334</v>
      </c>
      <c r="H228">
        <v>1.7070491803278682</v>
      </c>
    </row>
    <row r="229" spans="1:8" x14ac:dyDescent="0.3">
      <c r="A229" t="s">
        <v>3</v>
      </c>
      <c r="B229">
        <v>2013.1</v>
      </c>
      <c r="C229">
        <v>233</v>
      </c>
      <c r="D229">
        <v>29.9</v>
      </c>
      <c r="E229">
        <v>182287</v>
      </c>
      <c r="F229">
        <v>5.2652720000000004</v>
      </c>
      <c r="G229">
        <v>232.29933333333332</v>
      </c>
      <c r="H229">
        <v>1.9510000000000003</v>
      </c>
    </row>
    <row r="230" spans="1:8" x14ac:dyDescent="0.3">
      <c r="A230" t="s">
        <v>3</v>
      </c>
      <c r="B230">
        <v>2013.2</v>
      </c>
      <c r="C230">
        <v>189</v>
      </c>
      <c r="D230">
        <v>30.03</v>
      </c>
      <c r="E230">
        <v>182476</v>
      </c>
      <c r="F230">
        <v>5.1582929999999996</v>
      </c>
      <c r="G230">
        <v>232.04499999999999</v>
      </c>
      <c r="H230">
        <v>1.9862499999999992</v>
      </c>
    </row>
    <row r="231" spans="1:8" x14ac:dyDescent="0.3">
      <c r="A231" t="s">
        <v>3</v>
      </c>
      <c r="B231">
        <v>2013.3</v>
      </c>
      <c r="C231">
        <v>51</v>
      </c>
      <c r="D231">
        <v>30.2</v>
      </c>
      <c r="E231">
        <v>182527</v>
      </c>
      <c r="F231">
        <v>5.0011609999999997</v>
      </c>
      <c r="G231">
        <v>233.3</v>
      </c>
      <c r="H231">
        <v>2.7065624999999995</v>
      </c>
    </row>
    <row r="232" spans="1:8" x14ac:dyDescent="0.3">
      <c r="A232" t="s">
        <v>3</v>
      </c>
      <c r="B232">
        <v>2013.4</v>
      </c>
      <c r="C232">
        <v>41</v>
      </c>
      <c r="D232">
        <v>30.54</v>
      </c>
      <c r="E232">
        <v>182568</v>
      </c>
      <c r="F232">
        <v>4.9926579999999996</v>
      </c>
      <c r="G232">
        <v>234.16266666666667</v>
      </c>
      <c r="H232">
        <v>2.7441935483870958</v>
      </c>
    </row>
    <row r="233" spans="1:8" x14ac:dyDescent="0.3">
      <c r="A233" t="s">
        <v>3</v>
      </c>
      <c r="B233">
        <v>2014.1</v>
      </c>
      <c r="C233">
        <v>280</v>
      </c>
      <c r="D233">
        <v>30.61</v>
      </c>
      <c r="E233">
        <v>182848</v>
      </c>
      <c r="F233">
        <v>4.9403180000000004</v>
      </c>
      <c r="G233">
        <v>235.62100000000001</v>
      </c>
      <c r="H233">
        <v>2.7654098360655737</v>
      </c>
    </row>
    <row r="234" spans="1:8" x14ac:dyDescent="0.3">
      <c r="A234" t="s">
        <v>3</v>
      </c>
      <c r="B234">
        <v>2014.2</v>
      </c>
      <c r="C234">
        <v>102</v>
      </c>
      <c r="D234">
        <v>30.89</v>
      </c>
      <c r="E234">
        <v>182950</v>
      </c>
      <c r="F234">
        <v>4.9028739999999997</v>
      </c>
      <c r="G234">
        <v>236.87233333333333</v>
      </c>
      <c r="H234">
        <v>2.6209523809523816</v>
      </c>
    </row>
    <row r="235" spans="1:8" x14ac:dyDescent="0.3">
      <c r="A235" t="s">
        <v>3</v>
      </c>
      <c r="B235">
        <v>2014.3</v>
      </c>
      <c r="C235">
        <v>38</v>
      </c>
      <c r="D235">
        <v>31.37</v>
      </c>
      <c r="E235">
        <v>182988</v>
      </c>
      <c r="F235">
        <v>4.9061909999999997</v>
      </c>
      <c r="G235">
        <v>237.47833333333332</v>
      </c>
      <c r="H235">
        <v>2.4995312500000004</v>
      </c>
    </row>
    <row r="236" spans="1:8" x14ac:dyDescent="0.3">
      <c r="A236" t="s">
        <v>3</v>
      </c>
      <c r="B236">
        <v>2014.4</v>
      </c>
      <c r="C236">
        <v>262</v>
      </c>
      <c r="D236">
        <v>31.2</v>
      </c>
      <c r="E236">
        <v>183250</v>
      </c>
      <c r="F236">
        <v>4.8044969999999996</v>
      </c>
      <c r="G236">
        <v>236.88833333333332</v>
      </c>
      <c r="H236">
        <v>2.2759677419354838</v>
      </c>
    </row>
    <row r="237" spans="1:8" x14ac:dyDescent="0.3">
      <c r="A237" t="s">
        <v>3</v>
      </c>
      <c r="B237">
        <v>2015.1</v>
      </c>
      <c r="C237">
        <v>0</v>
      </c>
      <c r="D237">
        <v>31.63</v>
      </c>
      <c r="E237">
        <v>183250</v>
      </c>
      <c r="F237">
        <v>4.7086300000000003</v>
      </c>
      <c r="G237">
        <v>235.35499999999999</v>
      </c>
      <c r="H237">
        <v>1.9688524590163936</v>
      </c>
    </row>
    <row r="238" spans="1:8" x14ac:dyDescent="0.3">
      <c r="A238" t="s">
        <v>3</v>
      </c>
      <c r="B238">
        <v>2015.2</v>
      </c>
      <c r="C238">
        <v>1000</v>
      </c>
      <c r="D238">
        <v>33.11</v>
      </c>
      <c r="E238">
        <v>184250</v>
      </c>
      <c r="F238">
        <v>4.6471770000000001</v>
      </c>
      <c r="G238">
        <v>236.96</v>
      </c>
      <c r="H238">
        <v>2.1643750000000002</v>
      </c>
    </row>
    <row r="239" spans="1:8" x14ac:dyDescent="0.3">
      <c r="A239" t="s">
        <v>3</v>
      </c>
      <c r="B239">
        <v>2015.3</v>
      </c>
      <c r="C239">
        <v>738</v>
      </c>
      <c r="D239">
        <v>33.31</v>
      </c>
      <c r="E239">
        <v>184988</v>
      </c>
      <c r="F239">
        <v>4.5179799999999997</v>
      </c>
      <c r="G239">
        <v>237.85499999999999</v>
      </c>
      <c r="H239">
        <v>2.223125</v>
      </c>
    </row>
    <row r="240" spans="1:8" x14ac:dyDescent="0.3">
      <c r="A240" t="s">
        <v>3</v>
      </c>
      <c r="B240">
        <v>2015.4</v>
      </c>
      <c r="C240">
        <v>471</v>
      </c>
      <c r="D240">
        <v>33.51</v>
      </c>
      <c r="E240">
        <v>185459</v>
      </c>
      <c r="F240">
        <v>4.3784609999999997</v>
      </c>
      <c r="G240">
        <v>237.83699999999999</v>
      </c>
      <c r="H240">
        <v>2.1904838709677414</v>
      </c>
    </row>
    <row r="241" spans="1:8" x14ac:dyDescent="0.3">
      <c r="A241" t="s">
        <v>3</v>
      </c>
      <c r="B241">
        <v>2016.1</v>
      </c>
      <c r="C241">
        <v>1052</v>
      </c>
      <c r="D241">
        <v>33.79</v>
      </c>
      <c r="E241">
        <v>186511</v>
      </c>
      <c r="F241">
        <v>4.2363920000000004</v>
      </c>
      <c r="G241">
        <v>237.68933333333334</v>
      </c>
      <c r="H241">
        <v>1.9142619999999999</v>
      </c>
    </row>
    <row r="242" spans="1:8" x14ac:dyDescent="0.3">
      <c r="A242" t="s">
        <v>3</v>
      </c>
      <c r="B242">
        <v>2016.2</v>
      </c>
      <c r="C242">
        <v>83</v>
      </c>
      <c r="D242">
        <v>34.35</v>
      </c>
      <c r="E242">
        <v>186594</v>
      </c>
      <c r="F242">
        <v>4.0612849999999998</v>
      </c>
      <c r="G242">
        <v>239.59033333333332</v>
      </c>
      <c r="H242">
        <v>1.750156</v>
      </c>
    </row>
    <row r="243" spans="1:8" x14ac:dyDescent="0.3">
      <c r="A243" t="s">
        <v>3</v>
      </c>
      <c r="B243">
        <v>2016.3</v>
      </c>
      <c r="C243">
        <v>1323</v>
      </c>
      <c r="D243">
        <v>34.81</v>
      </c>
      <c r="E243">
        <v>187917</v>
      </c>
      <c r="F243">
        <v>3.9117540000000002</v>
      </c>
      <c r="G243">
        <v>240.60733333333334</v>
      </c>
      <c r="H243">
        <v>1.5643750000000001</v>
      </c>
    </row>
    <row r="244" spans="1:8" x14ac:dyDescent="0.3">
      <c r="A244" t="s">
        <v>3</v>
      </c>
      <c r="B244">
        <v>2016.4</v>
      </c>
      <c r="C244">
        <v>84</v>
      </c>
      <c r="D244">
        <v>35.909999999999997</v>
      </c>
      <c r="E244">
        <v>188001</v>
      </c>
      <c r="F244">
        <v>3.8556910000000002</v>
      </c>
      <c r="G244">
        <v>242.13466666666667</v>
      </c>
      <c r="H244">
        <v>2.1386889999999998</v>
      </c>
    </row>
    <row r="245" spans="1:8" x14ac:dyDescent="0.3">
      <c r="A245" t="s">
        <v>3</v>
      </c>
      <c r="B245">
        <v>2017.1</v>
      </c>
      <c r="C245">
        <v>52</v>
      </c>
      <c r="D245">
        <v>36.24</v>
      </c>
      <c r="E245">
        <v>188053</v>
      </c>
      <c r="F245">
        <v>3.8685040000000002</v>
      </c>
      <c r="G245">
        <v>243.83866666666665</v>
      </c>
      <c r="H245">
        <v>2.4466130000000001</v>
      </c>
    </row>
    <row r="246" spans="1:8" x14ac:dyDescent="0.3">
      <c r="A246" t="s">
        <v>3</v>
      </c>
      <c r="B246">
        <v>2017.2</v>
      </c>
      <c r="C246">
        <v>709</v>
      </c>
      <c r="D246">
        <v>36.11</v>
      </c>
      <c r="E246">
        <v>188762</v>
      </c>
      <c r="F246">
        <v>3.8479570000000001</v>
      </c>
      <c r="G246">
        <v>244.12</v>
      </c>
      <c r="H246">
        <v>2.2609520000000001</v>
      </c>
    </row>
    <row r="247" spans="1:8" x14ac:dyDescent="0.3">
      <c r="A247" t="s">
        <v>3</v>
      </c>
      <c r="B247">
        <v>2017.3</v>
      </c>
      <c r="C247">
        <v>636</v>
      </c>
      <c r="D247">
        <v>36.19</v>
      </c>
      <c r="E247">
        <v>189398</v>
      </c>
      <c r="F247">
        <v>3.8791310000000001</v>
      </c>
      <c r="G247">
        <v>245.28700000000001</v>
      </c>
      <c r="H247">
        <v>2.2414290000000001</v>
      </c>
    </row>
    <row r="248" spans="1:8" x14ac:dyDescent="0.3">
      <c r="A248" t="s">
        <v>2</v>
      </c>
      <c r="B248">
        <v>1987.1</v>
      </c>
      <c r="C248">
        <v>908</v>
      </c>
      <c r="D248">
        <v>18.190000000000001</v>
      </c>
      <c r="E248">
        <v>152934</v>
      </c>
      <c r="F248">
        <v>7.149864</v>
      </c>
      <c r="G248">
        <v>111.8</v>
      </c>
      <c r="H248">
        <v>7.1954098360655747</v>
      </c>
    </row>
    <row r="249" spans="1:8" x14ac:dyDescent="0.3">
      <c r="A249" t="s">
        <v>2</v>
      </c>
      <c r="B249">
        <v>1987.2</v>
      </c>
      <c r="C249">
        <v>353</v>
      </c>
      <c r="D249">
        <v>18.29</v>
      </c>
      <c r="E249">
        <v>153287</v>
      </c>
      <c r="F249">
        <v>7.2416479999999996</v>
      </c>
      <c r="G249">
        <v>113.06666666666666</v>
      </c>
      <c r="H249">
        <v>8.3426984126984127</v>
      </c>
    </row>
    <row r="250" spans="1:8" x14ac:dyDescent="0.3">
      <c r="A250" t="s">
        <v>2</v>
      </c>
      <c r="B250">
        <v>1987.3</v>
      </c>
      <c r="C250">
        <v>533</v>
      </c>
      <c r="D250">
        <v>18.2</v>
      </c>
      <c r="E250">
        <v>153820</v>
      </c>
      <c r="F250">
        <v>7.3983629999999998</v>
      </c>
      <c r="G250">
        <v>114.26666666666667</v>
      </c>
      <c r="H250">
        <v>8.8696874999999995</v>
      </c>
    </row>
    <row r="251" spans="1:8" x14ac:dyDescent="0.3">
      <c r="A251" t="s">
        <v>2</v>
      </c>
      <c r="B251">
        <v>1987.4</v>
      </c>
      <c r="C251">
        <v>6390</v>
      </c>
      <c r="D251">
        <v>18.11</v>
      </c>
      <c r="E251">
        <v>160210</v>
      </c>
      <c r="F251">
        <v>7.5259989999999997</v>
      </c>
      <c r="G251">
        <v>115.33333333333333</v>
      </c>
      <c r="H251">
        <v>9.129032258064516</v>
      </c>
    </row>
    <row r="252" spans="1:8" x14ac:dyDescent="0.3">
      <c r="A252" t="s">
        <v>2</v>
      </c>
      <c r="B252">
        <v>1988.1</v>
      </c>
      <c r="C252">
        <v>1085</v>
      </c>
      <c r="D252">
        <v>18.68</v>
      </c>
      <c r="E252">
        <v>161295</v>
      </c>
      <c r="F252">
        <v>6.8690670000000003</v>
      </c>
      <c r="G252">
        <v>116.23333333333333</v>
      </c>
      <c r="H252">
        <v>8.4109677419354885</v>
      </c>
    </row>
    <row r="253" spans="1:8" x14ac:dyDescent="0.3">
      <c r="A253" t="s">
        <v>2</v>
      </c>
      <c r="B253">
        <v>1988.2</v>
      </c>
      <c r="C253">
        <v>478</v>
      </c>
      <c r="D253">
        <v>19.260000000000002</v>
      </c>
      <c r="E253">
        <v>161773</v>
      </c>
      <c r="F253">
        <v>6.336106</v>
      </c>
      <c r="G253">
        <v>117.56666666666666</v>
      </c>
      <c r="H253">
        <v>8.9128571428571437</v>
      </c>
    </row>
    <row r="254" spans="1:8" x14ac:dyDescent="0.3">
      <c r="A254" t="s">
        <v>2</v>
      </c>
      <c r="B254">
        <v>1988.3</v>
      </c>
      <c r="C254">
        <v>282</v>
      </c>
      <c r="D254">
        <v>19.27</v>
      </c>
      <c r="E254">
        <v>162055</v>
      </c>
      <c r="F254">
        <v>5.6268010000000004</v>
      </c>
      <c r="G254">
        <v>119</v>
      </c>
      <c r="H254">
        <v>9.1035937500000035</v>
      </c>
    </row>
    <row r="255" spans="1:8" x14ac:dyDescent="0.3">
      <c r="A255" t="s">
        <v>2</v>
      </c>
      <c r="B255">
        <v>1988.4</v>
      </c>
      <c r="C255">
        <v>1054</v>
      </c>
      <c r="D255">
        <v>19.29</v>
      </c>
      <c r="E255">
        <v>163109</v>
      </c>
      <c r="F255">
        <v>5.1400519999999998</v>
      </c>
      <c r="G255">
        <v>120.3</v>
      </c>
      <c r="H255">
        <v>8.9570491803278678</v>
      </c>
    </row>
    <row r="256" spans="1:8" x14ac:dyDescent="0.3">
      <c r="A256" t="s">
        <v>2</v>
      </c>
      <c r="B256">
        <v>1989.1</v>
      </c>
      <c r="C256">
        <v>915</v>
      </c>
      <c r="D256">
        <v>19.37</v>
      </c>
      <c r="E256">
        <v>164024</v>
      </c>
      <c r="F256">
        <v>5.4440520000000001</v>
      </c>
      <c r="G256">
        <v>121.66666666666667</v>
      </c>
      <c r="H256">
        <v>9.2116393442622968</v>
      </c>
    </row>
    <row r="257" spans="1:8" x14ac:dyDescent="0.3">
      <c r="A257" t="s">
        <v>2</v>
      </c>
      <c r="B257">
        <v>1989.2</v>
      </c>
      <c r="C257">
        <v>6702</v>
      </c>
      <c r="D257">
        <v>19.46</v>
      </c>
      <c r="E257">
        <v>170726</v>
      </c>
      <c r="F257">
        <v>5.6750069999999999</v>
      </c>
      <c r="G257">
        <v>123.63333333333334</v>
      </c>
      <c r="H257">
        <v>8.7579687500000016</v>
      </c>
    </row>
    <row r="258" spans="1:8" x14ac:dyDescent="0.3">
      <c r="A258" t="s">
        <v>2</v>
      </c>
      <c r="B258">
        <v>1989.3</v>
      </c>
      <c r="C258">
        <v>290</v>
      </c>
      <c r="D258">
        <v>19.260000000000002</v>
      </c>
      <c r="E258">
        <v>171016</v>
      </c>
      <c r="F258">
        <v>5.9773490000000002</v>
      </c>
      <c r="G258">
        <v>124.6</v>
      </c>
      <c r="H258">
        <v>8.1074603174603155</v>
      </c>
    </row>
    <row r="259" spans="1:8" x14ac:dyDescent="0.3">
      <c r="A259" t="s">
        <v>2</v>
      </c>
      <c r="B259">
        <v>1989.4</v>
      </c>
      <c r="C259">
        <v>1166</v>
      </c>
      <c r="D259">
        <v>19.059999999999999</v>
      </c>
      <c r="E259">
        <v>172182</v>
      </c>
      <c r="F259">
        <v>6.3930499999999997</v>
      </c>
      <c r="G259">
        <v>125.86666666666666</v>
      </c>
      <c r="H259">
        <v>7.9070967741935476</v>
      </c>
    </row>
    <row r="260" spans="1:8" x14ac:dyDescent="0.3">
      <c r="A260" t="s">
        <v>2</v>
      </c>
      <c r="B260">
        <v>1990.1</v>
      </c>
      <c r="C260">
        <v>2800</v>
      </c>
      <c r="D260">
        <v>19.23</v>
      </c>
      <c r="E260">
        <v>174982</v>
      </c>
      <c r="F260">
        <v>6.3871770000000003</v>
      </c>
      <c r="G260">
        <v>128.03333333333333</v>
      </c>
      <c r="H260">
        <v>8.4238709677419337</v>
      </c>
    </row>
    <row r="261" spans="1:8" x14ac:dyDescent="0.3">
      <c r="A261" t="s">
        <v>2</v>
      </c>
      <c r="B261">
        <v>1990.2</v>
      </c>
      <c r="C261">
        <v>3390</v>
      </c>
      <c r="D261">
        <v>19.420000000000002</v>
      </c>
      <c r="E261">
        <v>178372</v>
      </c>
      <c r="F261">
        <v>6.1752039999999999</v>
      </c>
      <c r="G261">
        <v>129.30000000000001</v>
      </c>
      <c r="H261">
        <v>8.6741269841269819</v>
      </c>
    </row>
    <row r="262" spans="1:8" x14ac:dyDescent="0.3">
      <c r="A262" t="s">
        <v>2</v>
      </c>
      <c r="B262">
        <v>1990.3</v>
      </c>
      <c r="C262">
        <v>2001</v>
      </c>
      <c r="D262">
        <v>19.170000000000002</v>
      </c>
      <c r="E262">
        <v>180373</v>
      </c>
      <c r="F262">
        <v>6.2918409999999998</v>
      </c>
      <c r="G262">
        <v>131.53333333333333</v>
      </c>
      <c r="H262">
        <v>8.7012698412698413</v>
      </c>
    </row>
    <row r="263" spans="1:8" x14ac:dyDescent="0.3">
      <c r="A263" t="s">
        <v>2</v>
      </c>
      <c r="B263">
        <v>1990.4</v>
      </c>
      <c r="C263">
        <v>552</v>
      </c>
      <c r="D263">
        <v>18.93</v>
      </c>
      <c r="E263">
        <v>180925</v>
      </c>
      <c r="F263">
        <v>6.4519900000000003</v>
      </c>
      <c r="G263">
        <v>133.76666666666668</v>
      </c>
      <c r="H263">
        <v>8.4059677419354859</v>
      </c>
    </row>
    <row r="264" spans="1:8" x14ac:dyDescent="0.3">
      <c r="A264" t="s">
        <v>2</v>
      </c>
      <c r="B264">
        <v>1991.1</v>
      </c>
      <c r="C264">
        <v>1203</v>
      </c>
      <c r="D264">
        <v>18.850000000000001</v>
      </c>
      <c r="E264">
        <v>182128</v>
      </c>
      <c r="F264">
        <v>6.6095579999999998</v>
      </c>
      <c r="G264">
        <v>134.76666666666668</v>
      </c>
      <c r="H264">
        <v>8.0231666666666648</v>
      </c>
    </row>
    <row r="265" spans="1:8" x14ac:dyDescent="0.3">
      <c r="A265" t="s">
        <v>2</v>
      </c>
      <c r="B265">
        <v>1991.2</v>
      </c>
      <c r="C265">
        <v>98</v>
      </c>
      <c r="D265">
        <v>18.77</v>
      </c>
      <c r="E265">
        <v>182226</v>
      </c>
      <c r="F265">
        <v>6.5748550000000003</v>
      </c>
      <c r="G265">
        <v>135.56666666666666</v>
      </c>
      <c r="H265">
        <v>8.1254687499999996</v>
      </c>
    </row>
    <row r="266" spans="1:8" x14ac:dyDescent="0.3">
      <c r="A266" t="s">
        <v>2</v>
      </c>
      <c r="B266">
        <v>1991.3</v>
      </c>
      <c r="C266">
        <v>705</v>
      </c>
      <c r="D266">
        <v>18.89</v>
      </c>
      <c r="E266">
        <v>182931</v>
      </c>
      <c r="F266">
        <v>6.7027780000000003</v>
      </c>
      <c r="G266">
        <v>136.6</v>
      </c>
      <c r="H266">
        <v>7.9499999999999993</v>
      </c>
    </row>
    <row r="267" spans="1:8" x14ac:dyDescent="0.3">
      <c r="A267" t="s">
        <v>2</v>
      </c>
      <c r="B267">
        <v>1991.4</v>
      </c>
      <c r="C267">
        <v>1128</v>
      </c>
      <c r="D267">
        <v>19.010000000000002</v>
      </c>
      <c r="E267">
        <v>184059</v>
      </c>
      <c r="F267">
        <v>6.7869669999999998</v>
      </c>
      <c r="G267">
        <v>137.73333333333332</v>
      </c>
      <c r="H267">
        <v>7.3450000000000006</v>
      </c>
    </row>
    <row r="268" spans="1:8" x14ac:dyDescent="0.3">
      <c r="A268" t="s">
        <v>2</v>
      </c>
      <c r="B268">
        <v>1992.1</v>
      </c>
      <c r="C268">
        <v>14</v>
      </c>
      <c r="D268">
        <v>18.510000000000002</v>
      </c>
      <c r="E268">
        <v>184073</v>
      </c>
      <c r="F268">
        <v>7.1114560000000004</v>
      </c>
      <c r="G268">
        <v>138.66666666666666</v>
      </c>
      <c r="H268">
        <v>7.3069354838709675</v>
      </c>
    </row>
    <row r="269" spans="1:8" x14ac:dyDescent="0.3">
      <c r="A269" t="s">
        <v>2</v>
      </c>
      <c r="B269">
        <v>1992.2</v>
      </c>
      <c r="C269">
        <v>1283</v>
      </c>
      <c r="D269">
        <v>18.02</v>
      </c>
      <c r="E269">
        <v>185356</v>
      </c>
      <c r="F269">
        <v>7.5649160000000002</v>
      </c>
      <c r="G269">
        <v>139.73333333333332</v>
      </c>
      <c r="H269">
        <v>7.3760317460317451</v>
      </c>
    </row>
    <row r="270" spans="1:8" x14ac:dyDescent="0.3">
      <c r="A270" t="s">
        <v>2</v>
      </c>
      <c r="B270">
        <v>1992.3</v>
      </c>
      <c r="C270">
        <v>1553</v>
      </c>
      <c r="D270">
        <v>17.899999999999999</v>
      </c>
      <c r="E270">
        <v>186909</v>
      </c>
      <c r="F270">
        <v>7.9517340000000001</v>
      </c>
      <c r="G270">
        <v>140.80000000000001</v>
      </c>
      <c r="H270">
        <v>6.6187500000000021</v>
      </c>
    </row>
    <row r="271" spans="1:8" x14ac:dyDescent="0.3">
      <c r="A271" t="s">
        <v>2</v>
      </c>
      <c r="B271">
        <v>1992.4</v>
      </c>
      <c r="C271">
        <v>1130</v>
      </c>
      <c r="D271">
        <v>17.78</v>
      </c>
      <c r="E271">
        <v>188039</v>
      </c>
      <c r="F271">
        <v>7.881786</v>
      </c>
      <c r="G271">
        <v>142.03333333333333</v>
      </c>
      <c r="H271">
        <v>6.7403225806451594</v>
      </c>
    </row>
    <row r="272" spans="1:8" x14ac:dyDescent="0.3">
      <c r="A272" t="s">
        <v>2</v>
      </c>
      <c r="B272">
        <v>1993.1</v>
      </c>
      <c r="C272">
        <v>300</v>
      </c>
      <c r="D272">
        <v>17.62</v>
      </c>
      <c r="E272">
        <v>188339</v>
      </c>
      <c r="F272">
        <v>7.7983070000000003</v>
      </c>
      <c r="G272">
        <v>143.06666666666666</v>
      </c>
      <c r="H272">
        <v>6.2581967213114744</v>
      </c>
    </row>
    <row r="273" spans="1:8" x14ac:dyDescent="0.3">
      <c r="A273" t="s">
        <v>2</v>
      </c>
      <c r="B273">
        <v>1993.2</v>
      </c>
      <c r="C273">
        <v>68</v>
      </c>
      <c r="D273">
        <v>17.46</v>
      </c>
      <c r="E273">
        <v>188407</v>
      </c>
      <c r="F273">
        <v>7.8109019999999996</v>
      </c>
      <c r="G273">
        <v>144.1</v>
      </c>
      <c r="H273">
        <v>5.9880952380952381</v>
      </c>
    </row>
    <row r="274" spans="1:8" x14ac:dyDescent="0.3">
      <c r="A274" t="s">
        <v>2</v>
      </c>
      <c r="B274">
        <v>1993.3</v>
      </c>
      <c r="C274">
        <v>88</v>
      </c>
      <c r="D274">
        <v>17.37</v>
      </c>
      <c r="E274">
        <v>188495</v>
      </c>
      <c r="F274">
        <v>7.6571059999999997</v>
      </c>
      <c r="G274">
        <v>144.76666666666668</v>
      </c>
      <c r="H274">
        <v>5.6153125000000017</v>
      </c>
    </row>
    <row r="275" spans="1:8" x14ac:dyDescent="0.3">
      <c r="A275" t="s">
        <v>2</v>
      </c>
      <c r="B275">
        <v>1993.4</v>
      </c>
      <c r="C275">
        <v>189</v>
      </c>
      <c r="D275">
        <v>17.28</v>
      </c>
      <c r="E275">
        <v>188684</v>
      </c>
      <c r="F275">
        <v>7.77522</v>
      </c>
      <c r="G275">
        <v>145.96666666666667</v>
      </c>
      <c r="H275">
        <v>5.6159677419354841</v>
      </c>
    </row>
    <row r="276" spans="1:8" x14ac:dyDescent="0.3">
      <c r="A276" t="s">
        <v>2</v>
      </c>
      <c r="B276">
        <v>1994.1</v>
      </c>
      <c r="C276">
        <v>78</v>
      </c>
      <c r="D276">
        <v>17.79</v>
      </c>
      <c r="E276">
        <v>188762</v>
      </c>
      <c r="F276">
        <v>7.9564849999999998</v>
      </c>
      <c r="G276">
        <v>146.69999999999999</v>
      </c>
      <c r="H276">
        <v>6.09032258064516</v>
      </c>
    </row>
    <row r="277" spans="1:8" x14ac:dyDescent="0.3">
      <c r="A277" t="s">
        <v>2</v>
      </c>
      <c r="B277">
        <v>1994.2</v>
      </c>
      <c r="C277">
        <v>12</v>
      </c>
      <c r="D277">
        <v>18.32</v>
      </c>
      <c r="E277">
        <v>188774</v>
      </c>
      <c r="F277">
        <v>8.6389519999999997</v>
      </c>
      <c r="G277">
        <v>147.53333333333333</v>
      </c>
      <c r="H277">
        <v>7.0895161290322593</v>
      </c>
    </row>
    <row r="278" spans="1:8" x14ac:dyDescent="0.3">
      <c r="A278" t="s">
        <v>2</v>
      </c>
      <c r="B278">
        <v>1994.3</v>
      </c>
      <c r="C278">
        <v>34</v>
      </c>
      <c r="D278">
        <v>18.46</v>
      </c>
      <c r="E278">
        <v>188808</v>
      </c>
      <c r="F278">
        <v>9.2380849999999999</v>
      </c>
      <c r="G278">
        <v>148.9</v>
      </c>
      <c r="H278">
        <v>7.327968750000001</v>
      </c>
    </row>
    <row r="279" spans="1:8" x14ac:dyDescent="0.3">
      <c r="A279" t="s">
        <v>2</v>
      </c>
      <c r="B279">
        <v>1994.4</v>
      </c>
      <c r="C279">
        <v>42</v>
      </c>
      <c r="D279">
        <v>18.61</v>
      </c>
      <c r="E279">
        <v>188850</v>
      </c>
      <c r="F279">
        <v>9.5470129999999997</v>
      </c>
      <c r="G279">
        <v>149.76666666666668</v>
      </c>
      <c r="H279">
        <v>7.8372131147540989</v>
      </c>
    </row>
    <row r="280" spans="1:8" x14ac:dyDescent="0.3">
      <c r="A280" t="s">
        <v>2</v>
      </c>
      <c r="B280">
        <v>1995.1</v>
      </c>
      <c r="C280">
        <v>163</v>
      </c>
      <c r="D280">
        <v>18.82</v>
      </c>
      <c r="E280">
        <v>189013</v>
      </c>
      <c r="F280">
        <v>9.9432130000000001</v>
      </c>
      <c r="G280">
        <v>150.86666666666667</v>
      </c>
      <c r="H280">
        <v>7.4712903225806464</v>
      </c>
    </row>
    <row r="281" spans="1:8" x14ac:dyDescent="0.3">
      <c r="A281" t="s">
        <v>2</v>
      </c>
      <c r="B281">
        <v>1995.2</v>
      </c>
      <c r="C281">
        <v>126</v>
      </c>
      <c r="D281">
        <v>19.03</v>
      </c>
      <c r="E281">
        <v>189139</v>
      </c>
      <c r="F281">
        <v>9.6107790000000008</v>
      </c>
      <c r="G281">
        <v>152.1</v>
      </c>
      <c r="H281">
        <v>6.6001587301587294</v>
      </c>
    </row>
    <row r="282" spans="1:8" x14ac:dyDescent="0.3">
      <c r="A282" t="s">
        <v>2</v>
      </c>
      <c r="B282">
        <v>1995.3</v>
      </c>
      <c r="C282">
        <v>94</v>
      </c>
      <c r="D282">
        <v>19.7</v>
      </c>
      <c r="E282">
        <v>189233</v>
      </c>
      <c r="F282">
        <v>9.1180869999999992</v>
      </c>
      <c r="G282">
        <v>152.86666666666667</v>
      </c>
      <c r="H282">
        <v>6.3292063492063484</v>
      </c>
    </row>
    <row r="283" spans="1:8" x14ac:dyDescent="0.3">
      <c r="A283" t="s">
        <v>2</v>
      </c>
      <c r="B283">
        <v>1995.4</v>
      </c>
      <c r="C283">
        <v>17</v>
      </c>
      <c r="D283">
        <v>20.39</v>
      </c>
      <c r="E283">
        <v>189250</v>
      </c>
      <c r="F283">
        <v>8.8244690000000006</v>
      </c>
      <c r="G283">
        <v>153.69999999999999</v>
      </c>
      <c r="H283">
        <v>5.8985483870967741</v>
      </c>
    </row>
    <row r="284" spans="1:8" x14ac:dyDescent="0.3">
      <c r="A284" t="s">
        <v>2</v>
      </c>
      <c r="B284">
        <v>1996.1</v>
      </c>
      <c r="C284">
        <v>482</v>
      </c>
      <c r="D284">
        <v>20.41</v>
      </c>
      <c r="E284">
        <v>189732</v>
      </c>
      <c r="F284">
        <v>8.5774740000000005</v>
      </c>
      <c r="G284">
        <v>155.06666666666666</v>
      </c>
      <c r="H284">
        <v>5.9104838709677407</v>
      </c>
    </row>
    <row r="285" spans="1:8" x14ac:dyDescent="0.3">
      <c r="A285" t="s">
        <v>2</v>
      </c>
      <c r="B285">
        <v>1996.2</v>
      </c>
      <c r="C285">
        <v>54</v>
      </c>
      <c r="D285">
        <v>20.43</v>
      </c>
      <c r="E285">
        <v>189786</v>
      </c>
      <c r="F285">
        <v>8.6668509999999994</v>
      </c>
      <c r="G285">
        <v>156.4</v>
      </c>
      <c r="H285">
        <v>6.7140624999999998</v>
      </c>
    </row>
    <row r="286" spans="1:8" x14ac:dyDescent="0.3">
      <c r="A286" t="s">
        <v>2</v>
      </c>
      <c r="B286">
        <v>1996.3</v>
      </c>
      <c r="C286">
        <v>122</v>
      </c>
      <c r="D286">
        <v>20.69</v>
      </c>
      <c r="E286">
        <v>189908</v>
      </c>
      <c r="F286">
        <v>8.6406480000000006</v>
      </c>
      <c r="G286">
        <v>157.30000000000001</v>
      </c>
      <c r="H286">
        <v>6.7759375000000022</v>
      </c>
    </row>
    <row r="287" spans="1:8" x14ac:dyDescent="0.3">
      <c r="A287" t="s">
        <v>2</v>
      </c>
      <c r="B287">
        <v>1996.4</v>
      </c>
      <c r="C287">
        <v>119</v>
      </c>
      <c r="D287">
        <v>20.94</v>
      </c>
      <c r="E287">
        <v>190027</v>
      </c>
      <c r="F287">
        <v>8.3234709999999996</v>
      </c>
      <c r="G287">
        <v>158.66666666666666</v>
      </c>
      <c r="H287">
        <v>6.3541935483870962</v>
      </c>
    </row>
    <row r="288" spans="1:8" x14ac:dyDescent="0.3">
      <c r="A288" t="s">
        <v>2</v>
      </c>
      <c r="B288">
        <v>1997.1</v>
      </c>
      <c r="C288">
        <v>466</v>
      </c>
      <c r="D288">
        <v>21.64</v>
      </c>
      <c r="E288">
        <v>190493</v>
      </c>
      <c r="F288">
        <v>7.975549</v>
      </c>
      <c r="G288">
        <v>159.63333333333333</v>
      </c>
      <c r="H288">
        <v>6.5670000000000028</v>
      </c>
    </row>
    <row r="289" spans="1:8" x14ac:dyDescent="0.3">
      <c r="A289" t="s">
        <v>2</v>
      </c>
      <c r="B289">
        <v>1997.2</v>
      </c>
      <c r="C289">
        <v>199</v>
      </c>
      <c r="D289">
        <v>22.36</v>
      </c>
      <c r="E289">
        <v>190692</v>
      </c>
      <c r="F289">
        <v>7.5934229999999996</v>
      </c>
      <c r="G289">
        <v>160</v>
      </c>
      <c r="H289">
        <v>6.6996874999999996</v>
      </c>
    </row>
    <row r="290" spans="1:8" x14ac:dyDescent="0.3">
      <c r="A290" t="s">
        <v>2</v>
      </c>
      <c r="B290">
        <v>1997.3</v>
      </c>
      <c r="C290">
        <v>0</v>
      </c>
      <c r="D290">
        <v>22.24</v>
      </c>
      <c r="E290">
        <v>190692</v>
      </c>
      <c r="F290">
        <v>7.872433</v>
      </c>
      <c r="G290">
        <v>160.80000000000001</v>
      </c>
      <c r="H290">
        <v>6.2421875</v>
      </c>
    </row>
    <row r="291" spans="1:8" x14ac:dyDescent="0.3">
      <c r="A291" t="s">
        <v>2</v>
      </c>
      <c r="B291">
        <v>1997.4</v>
      </c>
      <c r="C291">
        <v>386</v>
      </c>
      <c r="D291">
        <v>22.13</v>
      </c>
      <c r="E291">
        <v>191078</v>
      </c>
      <c r="F291">
        <v>8.0673259999999996</v>
      </c>
      <c r="G291">
        <v>161.66666666666666</v>
      </c>
      <c r="H291">
        <v>5.906290322580646</v>
      </c>
    </row>
    <row r="292" spans="1:8" x14ac:dyDescent="0.3">
      <c r="A292" t="s">
        <v>2</v>
      </c>
      <c r="B292">
        <v>1998.1</v>
      </c>
      <c r="C292">
        <v>201</v>
      </c>
      <c r="D292">
        <v>22.86</v>
      </c>
      <c r="E292">
        <v>191279</v>
      </c>
      <c r="F292">
        <v>8.2822659999999999</v>
      </c>
      <c r="G292">
        <v>162</v>
      </c>
      <c r="H292">
        <v>5.5909836065573773</v>
      </c>
    </row>
    <row r="293" spans="1:8" x14ac:dyDescent="0.3">
      <c r="A293" t="s">
        <v>2</v>
      </c>
      <c r="B293">
        <v>1998.2</v>
      </c>
      <c r="C293">
        <v>607</v>
      </c>
      <c r="D293">
        <v>23.62</v>
      </c>
      <c r="E293">
        <v>191886</v>
      </c>
      <c r="F293">
        <v>8.2368729999999992</v>
      </c>
      <c r="G293">
        <v>162.53333333333333</v>
      </c>
      <c r="H293">
        <v>5.5930158730158714</v>
      </c>
    </row>
    <row r="294" spans="1:8" x14ac:dyDescent="0.3">
      <c r="A294" t="s">
        <v>2</v>
      </c>
      <c r="B294">
        <v>1998.3</v>
      </c>
      <c r="C294">
        <v>1020</v>
      </c>
      <c r="D294">
        <v>24.21</v>
      </c>
      <c r="E294">
        <v>192906</v>
      </c>
      <c r="F294">
        <v>8.2150730000000003</v>
      </c>
      <c r="G294">
        <v>163.36666666666667</v>
      </c>
      <c r="H294">
        <v>5.2073437500000006</v>
      </c>
    </row>
    <row r="295" spans="1:8" x14ac:dyDescent="0.3">
      <c r="A295" t="s">
        <v>2</v>
      </c>
      <c r="B295">
        <v>1998.4</v>
      </c>
      <c r="C295">
        <v>332</v>
      </c>
      <c r="D295">
        <v>24.83</v>
      </c>
      <c r="E295">
        <v>193238</v>
      </c>
      <c r="F295">
        <v>8.3051569999999995</v>
      </c>
      <c r="G295">
        <v>164.13333333333333</v>
      </c>
      <c r="H295">
        <v>4.661935483870967</v>
      </c>
    </row>
    <row r="296" spans="1:8" x14ac:dyDescent="0.3">
      <c r="A296" t="s">
        <v>2</v>
      </c>
      <c r="B296">
        <v>1999.1</v>
      </c>
      <c r="C296">
        <v>749</v>
      </c>
      <c r="D296">
        <v>25.06</v>
      </c>
      <c r="E296">
        <v>193987</v>
      </c>
      <c r="F296">
        <v>8.2079500000000003</v>
      </c>
      <c r="G296">
        <v>164.73333333333332</v>
      </c>
      <c r="H296">
        <v>5.0008196721311462</v>
      </c>
    </row>
    <row r="297" spans="1:8" x14ac:dyDescent="0.3">
      <c r="A297" t="s">
        <v>2</v>
      </c>
      <c r="B297">
        <v>1999.2</v>
      </c>
      <c r="C297">
        <v>192</v>
      </c>
      <c r="D297">
        <v>25.3</v>
      </c>
      <c r="E297">
        <v>194179</v>
      </c>
      <c r="F297">
        <v>8.4634219999999996</v>
      </c>
      <c r="G297">
        <v>165.96666666666667</v>
      </c>
      <c r="H297">
        <v>5.5412499999999998</v>
      </c>
    </row>
    <row r="298" spans="1:8" x14ac:dyDescent="0.3">
      <c r="A298" t="s">
        <v>2</v>
      </c>
      <c r="B298">
        <v>1999.3</v>
      </c>
      <c r="C298">
        <v>937</v>
      </c>
      <c r="D298">
        <v>25.63</v>
      </c>
      <c r="E298">
        <v>195116</v>
      </c>
      <c r="F298">
        <v>8.1771189999999994</v>
      </c>
      <c r="G298">
        <v>167.2</v>
      </c>
      <c r="H298">
        <v>5.8829687499999981</v>
      </c>
    </row>
    <row r="299" spans="1:8" x14ac:dyDescent="0.3">
      <c r="A299" t="s">
        <v>2</v>
      </c>
      <c r="B299">
        <v>1999.4</v>
      </c>
      <c r="C299">
        <v>2021</v>
      </c>
      <c r="D299">
        <v>25.96</v>
      </c>
      <c r="E299">
        <v>197137</v>
      </c>
      <c r="F299">
        <v>8.2393470000000004</v>
      </c>
      <c r="G299">
        <v>168.43333333333334</v>
      </c>
      <c r="H299">
        <v>6.1448387096774191</v>
      </c>
    </row>
    <row r="300" spans="1:8" x14ac:dyDescent="0.3">
      <c r="A300" t="s">
        <v>2</v>
      </c>
      <c r="B300">
        <v>2000.1</v>
      </c>
      <c r="C300">
        <v>2340</v>
      </c>
      <c r="D300">
        <v>26.22</v>
      </c>
      <c r="E300">
        <v>199477</v>
      </c>
      <c r="F300">
        <v>8.0590840000000004</v>
      </c>
      <c r="G300">
        <v>170.1</v>
      </c>
      <c r="H300">
        <v>6.4684126984126982</v>
      </c>
    </row>
    <row r="301" spans="1:8" x14ac:dyDescent="0.3">
      <c r="A301" t="s">
        <v>2</v>
      </c>
      <c r="B301">
        <v>2000.2</v>
      </c>
      <c r="C301">
        <v>745</v>
      </c>
      <c r="D301">
        <v>26.48</v>
      </c>
      <c r="E301">
        <v>200222</v>
      </c>
      <c r="F301">
        <v>7.7638509999999998</v>
      </c>
      <c r="G301">
        <v>171.43333333333334</v>
      </c>
      <c r="H301">
        <v>6.1849206349206343</v>
      </c>
    </row>
    <row r="302" spans="1:8" x14ac:dyDescent="0.3">
      <c r="A302" t="s">
        <v>2</v>
      </c>
      <c r="B302">
        <v>2000.3</v>
      </c>
      <c r="C302">
        <v>3056</v>
      </c>
      <c r="D302">
        <v>26.86</v>
      </c>
      <c r="E302">
        <v>203278</v>
      </c>
      <c r="F302">
        <v>7.948296</v>
      </c>
      <c r="G302">
        <v>173</v>
      </c>
      <c r="H302">
        <v>5.8898412698412699</v>
      </c>
    </row>
    <row r="303" spans="1:8" x14ac:dyDescent="0.3">
      <c r="A303" t="s">
        <v>2</v>
      </c>
      <c r="B303">
        <v>2000.4</v>
      </c>
      <c r="C303">
        <v>671</v>
      </c>
      <c r="D303">
        <v>27.24</v>
      </c>
      <c r="E303">
        <v>203949</v>
      </c>
      <c r="F303">
        <v>7.7658649999999998</v>
      </c>
      <c r="G303">
        <v>174.23333333333332</v>
      </c>
      <c r="H303">
        <v>5.5706451612903232</v>
      </c>
    </row>
    <row r="304" spans="1:8" x14ac:dyDescent="0.3">
      <c r="A304" t="s">
        <v>2</v>
      </c>
      <c r="B304">
        <v>2001.1</v>
      </c>
      <c r="C304">
        <v>861</v>
      </c>
      <c r="D304">
        <v>27.91</v>
      </c>
      <c r="E304">
        <v>204810</v>
      </c>
      <c r="F304">
        <v>7.9402910000000002</v>
      </c>
      <c r="G304">
        <v>175.9</v>
      </c>
      <c r="H304">
        <v>5.0441935483870957</v>
      </c>
    </row>
    <row r="305" spans="1:8" x14ac:dyDescent="0.3">
      <c r="A305" t="s">
        <v>2</v>
      </c>
      <c r="B305">
        <v>2001.2</v>
      </c>
      <c r="C305">
        <v>1173</v>
      </c>
      <c r="D305">
        <v>28.59</v>
      </c>
      <c r="E305">
        <v>205983</v>
      </c>
      <c r="F305">
        <v>8.2887120000000003</v>
      </c>
      <c r="G305">
        <v>177.13333333333333</v>
      </c>
      <c r="H305">
        <v>5.2761904761904761</v>
      </c>
    </row>
    <row r="306" spans="1:8" x14ac:dyDescent="0.3">
      <c r="A306" t="s">
        <v>2</v>
      </c>
      <c r="B306">
        <v>2001.3</v>
      </c>
      <c r="C306">
        <v>3770</v>
      </c>
      <c r="D306">
        <v>28.06</v>
      </c>
      <c r="E306">
        <v>209753</v>
      </c>
      <c r="F306">
        <v>8.3312939999999998</v>
      </c>
      <c r="G306">
        <v>177.63333333333333</v>
      </c>
      <c r="H306">
        <v>4.9957377049180334</v>
      </c>
    </row>
    <row r="307" spans="1:8" x14ac:dyDescent="0.3">
      <c r="A307" t="s">
        <v>2</v>
      </c>
      <c r="B307">
        <v>2001.4</v>
      </c>
      <c r="C307">
        <v>759</v>
      </c>
      <c r="D307">
        <v>27.57</v>
      </c>
      <c r="E307">
        <v>210512</v>
      </c>
      <c r="F307">
        <v>8.6097760000000001</v>
      </c>
      <c r="G307">
        <v>177.5</v>
      </c>
      <c r="H307">
        <v>4.7620967741935463</v>
      </c>
    </row>
    <row r="308" spans="1:8" x14ac:dyDescent="0.3">
      <c r="A308" t="s">
        <v>2</v>
      </c>
      <c r="B308">
        <v>2002.1</v>
      </c>
      <c r="C308">
        <v>1190</v>
      </c>
      <c r="D308">
        <v>25.91</v>
      </c>
      <c r="E308">
        <v>211702</v>
      </c>
      <c r="F308">
        <v>8.8047609999999992</v>
      </c>
      <c r="G308">
        <v>178.06666666666666</v>
      </c>
      <c r="H308">
        <v>5.0791666666666666</v>
      </c>
    </row>
    <row r="309" spans="1:8" x14ac:dyDescent="0.3">
      <c r="A309" t="s">
        <v>2</v>
      </c>
      <c r="B309">
        <v>2002.2</v>
      </c>
      <c r="C309">
        <v>164</v>
      </c>
      <c r="D309">
        <v>25.38</v>
      </c>
      <c r="E309">
        <v>211866</v>
      </c>
      <c r="F309">
        <v>8.8738510000000002</v>
      </c>
      <c r="G309">
        <v>179.46666666666667</v>
      </c>
      <c r="H309">
        <v>5.1060937499999994</v>
      </c>
    </row>
    <row r="310" spans="1:8" x14ac:dyDescent="0.3">
      <c r="A310" t="s">
        <v>2</v>
      </c>
      <c r="B310">
        <v>2002.3</v>
      </c>
      <c r="C310">
        <v>2491</v>
      </c>
      <c r="D310">
        <v>24.85</v>
      </c>
      <c r="E310">
        <v>214357</v>
      </c>
      <c r="F310">
        <v>8.955762</v>
      </c>
      <c r="G310">
        <v>180.43333333333334</v>
      </c>
      <c r="H310">
        <v>4.2723437499999992</v>
      </c>
    </row>
    <row r="311" spans="1:8" x14ac:dyDescent="0.3">
      <c r="A311" t="s">
        <v>2</v>
      </c>
      <c r="B311">
        <v>2002.4</v>
      </c>
      <c r="C311">
        <v>117</v>
      </c>
      <c r="D311">
        <v>24.34</v>
      </c>
      <c r="E311">
        <v>214474</v>
      </c>
      <c r="F311">
        <v>8.5874710000000007</v>
      </c>
      <c r="G311">
        <v>181.5</v>
      </c>
      <c r="H311">
        <v>4.0048387096774194</v>
      </c>
    </row>
    <row r="312" spans="1:8" x14ac:dyDescent="0.3">
      <c r="A312" t="s">
        <v>2</v>
      </c>
      <c r="B312">
        <v>2003.1</v>
      </c>
      <c r="C312">
        <v>799</v>
      </c>
      <c r="D312">
        <v>23.67</v>
      </c>
      <c r="E312">
        <v>215273</v>
      </c>
      <c r="F312">
        <v>8.3872649999999993</v>
      </c>
      <c r="G312">
        <v>183.36666666666667</v>
      </c>
      <c r="H312">
        <v>3.9199999999999995</v>
      </c>
    </row>
    <row r="313" spans="1:8" x14ac:dyDescent="0.3">
      <c r="A313" t="s">
        <v>2</v>
      </c>
      <c r="B313">
        <v>2003.2</v>
      </c>
      <c r="C313">
        <v>233</v>
      </c>
      <c r="D313">
        <v>23.17</v>
      </c>
      <c r="E313">
        <v>215506</v>
      </c>
      <c r="F313">
        <v>8.2099720000000005</v>
      </c>
      <c r="G313">
        <v>183.06666666666666</v>
      </c>
      <c r="H313">
        <v>3.6206349206349211</v>
      </c>
    </row>
    <row r="314" spans="1:8" x14ac:dyDescent="0.3">
      <c r="A314" t="s">
        <v>2</v>
      </c>
      <c r="B314">
        <v>2003.3</v>
      </c>
      <c r="C314">
        <v>113</v>
      </c>
      <c r="D314">
        <v>22.93</v>
      </c>
      <c r="E314">
        <v>215619</v>
      </c>
      <c r="F314">
        <v>7.8839350000000001</v>
      </c>
      <c r="G314">
        <v>184.43333333333334</v>
      </c>
      <c r="H314">
        <v>4.2276562499999981</v>
      </c>
    </row>
    <row r="315" spans="1:8" x14ac:dyDescent="0.3">
      <c r="A315" t="s">
        <v>2</v>
      </c>
      <c r="B315">
        <v>2003.4</v>
      </c>
      <c r="C315">
        <v>67</v>
      </c>
      <c r="D315">
        <v>22.94</v>
      </c>
      <c r="E315">
        <v>215686</v>
      </c>
      <c r="F315">
        <v>7.8916409999999999</v>
      </c>
      <c r="G315">
        <v>185.13333333333333</v>
      </c>
      <c r="H315">
        <v>4.2851612903225798</v>
      </c>
    </row>
    <row r="316" spans="1:8" x14ac:dyDescent="0.3">
      <c r="A316" t="s">
        <v>2</v>
      </c>
      <c r="B316">
        <v>2004.1</v>
      </c>
      <c r="C316">
        <v>1351</v>
      </c>
      <c r="D316">
        <v>22.87</v>
      </c>
      <c r="E316">
        <v>217037</v>
      </c>
      <c r="F316">
        <v>7.6349650000000002</v>
      </c>
      <c r="G316">
        <v>186.7</v>
      </c>
      <c r="H316">
        <v>4.01</v>
      </c>
    </row>
    <row r="317" spans="1:8" x14ac:dyDescent="0.3">
      <c r="A317" t="s">
        <v>2</v>
      </c>
      <c r="B317">
        <v>2004.2</v>
      </c>
      <c r="C317">
        <v>254</v>
      </c>
      <c r="D317">
        <v>22.51</v>
      </c>
      <c r="E317">
        <v>217291</v>
      </c>
      <c r="F317">
        <v>7.2004539999999997</v>
      </c>
      <c r="G317">
        <v>188.16666666666666</v>
      </c>
      <c r="H317">
        <v>4.597096774193548</v>
      </c>
    </row>
    <row r="318" spans="1:8" x14ac:dyDescent="0.3">
      <c r="A318" t="s">
        <v>2</v>
      </c>
      <c r="B318">
        <v>2004.3</v>
      </c>
      <c r="C318">
        <v>44</v>
      </c>
      <c r="D318">
        <v>22.36</v>
      </c>
      <c r="E318">
        <v>217335</v>
      </c>
      <c r="F318">
        <v>7.1896129999999996</v>
      </c>
      <c r="G318">
        <v>189.36666666666667</v>
      </c>
      <c r="H318">
        <v>4.3014062500000003</v>
      </c>
    </row>
    <row r="319" spans="1:8" x14ac:dyDescent="0.3">
      <c r="A319" t="s">
        <v>2</v>
      </c>
      <c r="B319">
        <v>2004.4</v>
      </c>
      <c r="C319">
        <v>507</v>
      </c>
      <c r="D319">
        <v>22.25</v>
      </c>
      <c r="E319">
        <v>217842</v>
      </c>
      <c r="F319">
        <v>7.0002339999999998</v>
      </c>
      <c r="G319">
        <v>191.4</v>
      </c>
      <c r="H319">
        <v>4.1758064516129041</v>
      </c>
    </row>
    <row r="320" spans="1:8" x14ac:dyDescent="0.3">
      <c r="A320" t="s">
        <v>2</v>
      </c>
      <c r="B320">
        <v>2005.1</v>
      </c>
      <c r="C320">
        <v>1654</v>
      </c>
      <c r="D320">
        <v>22.38</v>
      </c>
      <c r="E320">
        <v>219496</v>
      </c>
      <c r="F320">
        <v>7.0314680000000003</v>
      </c>
      <c r="G320">
        <v>192.36666666666667</v>
      </c>
      <c r="H320">
        <v>4.3036065573770488</v>
      </c>
    </row>
    <row r="321" spans="1:8" x14ac:dyDescent="0.3">
      <c r="A321" t="s">
        <v>2</v>
      </c>
      <c r="B321">
        <v>2005.2</v>
      </c>
      <c r="C321">
        <v>204</v>
      </c>
      <c r="D321">
        <v>22.5</v>
      </c>
      <c r="E321">
        <v>219700</v>
      </c>
      <c r="F321">
        <v>6.9182009999999998</v>
      </c>
      <c r="G321">
        <v>193.66666666666666</v>
      </c>
      <c r="H321">
        <v>4.1585937500000005</v>
      </c>
    </row>
    <row r="322" spans="1:8" x14ac:dyDescent="0.3">
      <c r="A322" t="s">
        <v>2</v>
      </c>
      <c r="B322">
        <v>2005.3</v>
      </c>
      <c r="C322">
        <v>313</v>
      </c>
      <c r="D322">
        <v>22.65</v>
      </c>
      <c r="E322">
        <v>220013</v>
      </c>
      <c r="F322">
        <v>6.6730299999999998</v>
      </c>
      <c r="G322">
        <v>196.6</v>
      </c>
      <c r="H322">
        <v>4.2151562499999997</v>
      </c>
    </row>
    <row r="323" spans="1:8" x14ac:dyDescent="0.3">
      <c r="A323" t="s">
        <v>2</v>
      </c>
      <c r="B323">
        <v>2005.4</v>
      </c>
      <c r="C323">
        <v>900</v>
      </c>
      <c r="D323">
        <v>22.79</v>
      </c>
      <c r="E323">
        <v>220913</v>
      </c>
      <c r="F323">
        <v>6.5233119999999998</v>
      </c>
      <c r="G323">
        <v>198.43333333333334</v>
      </c>
      <c r="H323">
        <v>4.4881967213114757</v>
      </c>
    </row>
    <row r="324" spans="1:8" x14ac:dyDescent="0.3">
      <c r="A324" t="s">
        <v>2</v>
      </c>
      <c r="B324">
        <v>2006.1</v>
      </c>
      <c r="C324">
        <v>443</v>
      </c>
      <c r="D324">
        <v>22.92</v>
      </c>
      <c r="E324">
        <v>221356</v>
      </c>
      <c r="F324">
        <v>6.0789169999999997</v>
      </c>
      <c r="G324">
        <v>199.46666666666667</v>
      </c>
      <c r="H324">
        <v>4.5770967741935502</v>
      </c>
    </row>
    <row r="325" spans="1:8" x14ac:dyDescent="0.3">
      <c r="A325" t="s">
        <v>2</v>
      </c>
      <c r="B325">
        <v>2006.2</v>
      </c>
      <c r="C325">
        <v>665</v>
      </c>
      <c r="D325">
        <v>23.26</v>
      </c>
      <c r="E325">
        <v>222021</v>
      </c>
      <c r="F325">
        <v>5.9740080000000004</v>
      </c>
      <c r="G325">
        <v>201.26666666666668</v>
      </c>
      <c r="H325">
        <v>5.0726984126984132</v>
      </c>
    </row>
    <row r="326" spans="1:8" x14ac:dyDescent="0.3">
      <c r="A326" t="s">
        <v>2</v>
      </c>
      <c r="B326">
        <v>2006.3</v>
      </c>
      <c r="C326">
        <v>229</v>
      </c>
      <c r="D326">
        <v>23.54</v>
      </c>
      <c r="E326">
        <v>222250</v>
      </c>
      <c r="F326">
        <v>5.8297619999999997</v>
      </c>
      <c r="G326">
        <v>203.16666666666666</v>
      </c>
      <c r="H326">
        <v>4.8934920634920651</v>
      </c>
    </row>
    <row r="327" spans="1:8" x14ac:dyDescent="0.3">
      <c r="A327" t="s">
        <v>2</v>
      </c>
      <c r="B327">
        <v>2006.4</v>
      </c>
      <c r="C327">
        <v>308</v>
      </c>
      <c r="D327">
        <v>23.84</v>
      </c>
      <c r="E327">
        <v>222558</v>
      </c>
      <c r="F327">
        <v>5.9179709999999996</v>
      </c>
      <c r="G327">
        <v>202.33333333333334</v>
      </c>
      <c r="H327">
        <v>4.6306451612903237</v>
      </c>
    </row>
    <row r="328" spans="1:8" x14ac:dyDescent="0.3">
      <c r="A328" t="s">
        <v>2</v>
      </c>
      <c r="B328">
        <v>2007.1</v>
      </c>
      <c r="C328">
        <v>228</v>
      </c>
      <c r="D328">
        <v>24.07</v>
      </c>
      <c r="E328">
        <v>222786</v>
      </c>
      <c r="F328">
        <v>6.0153759999999998</v>
      </c>
      <c r="G328">
        <v>204.31700000000001</v>
      </c>
      <c r="H328">
        <v>4.6790322580645167</v>
      </c>
    </row>
    <row r="329" spans="1:8" x14ac:dyDescent="0.3">
      <c r="A329" t="s">
        <v>2</v>
      </c>
      <c r="B329">
        <v>2007.2</v>
      </c>
      <c r="C329">
        <v>321</v>
      </c>
      <c r="D329">
        <v>23.84</v>
      </c>
      <c r="E329">
        <v>223107</v>
      </c>
      <c r="F329">
        <v>6.0525270000000004</v>
      </c>
      <c r="G329">
        <v>206.631</v>
      </c>
      <c r="H329">
        <v>4.8460937499999988</v>
      </c>
    </row>
    <row r="330" spans="1:8" x14ac:dyDescent="0.3">
      <c r="A330" t="s">
        <v>2</v>
      </c>
      <c r="B330">
        <v>2007.3</v>
      </c>
      <c r="C330">
        <v>286</v>
      </c>
      <c r="D330">
        <v>23.85</v>
      </c>
      <c r="E330">
        <v>223393</v>
      </c>
      <c r="F330">
        <v>6.0977050000000004</v>
      </c>
      <c r="G330">
        <v>207.93899999999999</v>
      </c>
      <c r="H330">
        <v>4.7384126984126951</v>
      </c>
    </row>
    <row r="331" spans="1:8" x14ac:dyDescent="0.3">
      <c r="A331" t="s">
        <v>2</v>
      </c>
      <c r="B331">
        <v>2007.4</v>
      </c>
      <c r="C331">
        <v>627</v>
      </c>
      <c r="D331">
        <v>23.83</v>
      </c>
      <c r="E331">
        <v>224020</v>
      </c>
      <c r="F331">
        <v>5.8661339999999997</v>
      </c>
      <c r="G331">
        <v>210.48966666666666</v>
      </c>
      <c r="H331">
        <v>4.2666129032258064</v>
      </c>
    </row>
    <row r="332" spans="1:8" x14ac:dyDescent="0.3">
      <c r="A332" t="s">
        <v>2</v>
      </c>
      <c r="B332">
        <v>2008.1</v>
      </c>
      <c r="C332">
        <v>227</v>
      </c>
      <c r="D332">
        <v>24.29</v>
      </c>
      <c r="E332">
        <v>224247</v>
      </c>
      <c r="F332">
        <v>5.7810600000000001</v>
      </c>
      <c r="G332">
        <v>212.76966666666667</v>
      </c>
      <c r="H332">
        <v>3.6652459016393442</v>
      </c>
    </row>
    <row r="333" spans="1:8" x14ac:dyDescent="0.3">
      <c r="A333" t="s">
        <v>2</v>
      </c>
      <c r="B333">
        <v>2008.2</v>
      </c>
      <c r="C333">
        <v>719</v>
      </c>
      <c r="D333">
        <v>24.51</v>
      </c>
      <c r="E333">
        <v>224966</v>
      </c>
      <c r="F333">
        <v>5.51898</v>
      </c>
      <c r="G333">
        <v>215.53766666666667</v>
      </c>
      <c r="H333">
        <v>3.8815624999999998</v>
      </c>
    </row>
    <row r="334" spans="1:8" x14ac:dyDescent="0.3">
      <c r="A334" t="s">
        <v>2</v>
      </c>
      <c r="B334">
        <v>2008.3</v>
      </c>
      <c r="C334">
        <v>515</v>
      </c>
      <c r="D334">
        <v>24.74</v>
      </c>
      <c r="E334">
        <v>225481</v>
      </c>
      <c r="F334">
        <v>5.2570290000000002</v>
      </c>
      <c r="G334">
        <v>218.86099999999999</v>
      </c>
      <c r="H334">
        <v>3.8621875000000001</v>
      </c>
    </row>
    <row r="335" spans="1:8" x14ac:dyDescent="0.3">
      <c r="A335" t="s">
        <v>2</v>
      </c>
      <c r="B335">
        <v>2008.4</v>
      </c>
      <c r="C335">
        <v>1078</v>
      </c>
      <c r="D335">
        <v>24.96</v>
      </c>
      <c r="E335">
        <v>226559</v>
      </c>
      <c r="F335">
        <v>5.2453370000000001</v>
      </c>
      <c r="G335">
        <v>213.84866666666667</v>
      </c>
      <c r="H335">
        <v>3.2346774193548384</v>
      </c>
    </row>
    <row r="336" spans="1:8" x14ac:dyDescent="0.3">
      <c r="A336" t="s">
        <v>2</v>
      </c>
      <c r="B336">
        <v>2009.1</v>
      </c>
      <c r="C336">
        <v>1487</v>
      </c>
      <c r="D336">
        <v>24.9</v>
      </c>
      <c r="E336">
        <v>228046</v>
      </c>
      <c r="F336">
        <v>5.2807219999999999</v>
      </c>
      <c r="G336">
        <v>212.37766666666667</v>
      </c>
      <c r="H336">
        <v>2.7362295081967209</v>
      </c>
    </row>
    <row r="337" spans="1:8" x14ac:dyDescent="0.3">
      <c r="A337" t="s">
        <v>2</v>
      </c>
      <c r="B337">
        <v>2009.2</v>
      </c>
      <c r="C337">
        <v>42</v>
      </c>
      <c r="D337">
        <v>23.61</v>
      </c>
      <c r="E337">
        <v>228088</v>
      </c>
      <c r="F337">
        <v>5.8249680000000001</v>
      </c>
      <c r="G337">
        <v>213.50700000000001</v>
      </c>
      <c r="H337">
        <v>3.3207936507936511</v>
      </c>
    </row>
    <row r="338" spans="1:8" x14ac:dyDescent="0.3">
      <c r="A338" t="s">
        <v>2</v>
      </c>
      <c r="B338">
        <v>2009.3</v>
      </c>
      <c r="C338">
        <v>1182</v>
      </c>
      <c r="D338">
        <v>23.77</v>
      </c>
      <c r="E338">
        <v>229270</v>
      </c>
      <c r="F338">
        <v>6.4307319999999999</v>
      </c>
      <c r="G338">
        <v>215.34399999999999</v>
      </c>
      <c r="H338">
        <v>3.5178124999999998</v>
      </c>
    </row>
    <row r="339" spans="1:8" x14ac:dyDescent="0.3">
      <c r="A339" t="s">
        <v>2</v>
      </c>
      <c r="B339">
        <v>2009.4</v>
      </c>
      <c r="C339">
        <v>1233</v>
      </c>
      <c r="D339">
        <v>23.78</v>
      </c>
      <c r="E339">
        <v>230503</v>
      </c>
      <c r="F339">
        <v>6.6446290000000001</v>
      </c>
      <c r="G339">
        <v>217.03</v>
      </c>
      <c r="H339">
        <v>3.464032258064516</v>
      </c>
    </row>
    <row r="340" spans="1:8" x14ac:dyDescent="0.3">
      <c r="A340" t="s">
        <v>2</v>
      </c>
      <c r="B340">
        <v>2010.1</v>
      </c>
      <c r="C340">
        <v>199</v>
      </c>
      <c r="D340">
        <v>23.52</v>
      </c>
      <c r="E340">
        <v>230702</v>
      </c>
      <c r="F340">
        <v>7.0040589999999998</v>
      </c>
      <c r="G340">
        <v>217.374</v>
      </c>
      <c r="H340">
        <v>3.7178688524590173</v>
      </c>
    </row>
    <row r="341" spans="1:8" x14ac:dyDescent="0.3">
      <c r="A341" t="s">
        <v>2</v>
      </c>
      <c r="B341">
        <v>2010.2</v>
      </c>
      <c r="C341">
        <v>0</v>
      </c>
      <c r="D341">
        <v>23.22</v>
      </c>
      <c r="E341">
        <v>230702</v>
      </c>
      <c r="F341">
        <v>7.0696000000000003</v>
      </c>
      <c r="G341">
        <v>217.29733333333334</v>
      </c>
      <c r="H341">
        <v>3.4924999999999993</v>
      </c>
    </row>
    <row r="342" spans="1:8" x14ac:dyDescent="0.3">
      <c r="A342" t="s">
        <v>2</v>
      </c>
      <c r="B342">
        <v>2010.3</v>
      </c>
      <c r="C342">
        <v>30</v>
      </c>
      <c r="D342">
        <v>23.09</v>
      </c>
      <c r="E342">
        <v>230732</v>
      </c>
      <c r="F342">
        <v>6.9186230000000002</v>
      </c>
      <c r="G342">
        <v>217.93433333333334</v>
      </c>
      <c r="H342">
        <v>2.7845312500000015</v>
      </c>
    </row>
    <row r="343" spans="1:8" x14ac:dyDescent="0.3">
      <c r="A343" t="s">
        <v>2</v>
      </c>
      <c r="B343">
        <v>2010.4</v>
      </c>
      <c r="C343">
        <v>0</v>
      </c>
      <c r="D343">
        <v>22.87</v>
      </c>
      <c r="E343">
        <v>230732</v>
      </c>
      <c r="F343">
        <v>6.6733390000000004</v>
      </c>
      <c r="G343">
        <v>219.69900000000001</v>
      </c>
      <c r="H343">
        <v>2.8783870967741949</v>
      </c>
    </row>
    <row r="344" spans="1:8" x14ac:dyDescent="0.3">
      <c r="A344" t="s">
        <v>2</v>
      </c>
      <c r="B344">
        <v>2011.1</v>
      </c>
      <c r="C344">
        <v>0</v>
      </c>
      <c r="D344">
        <v>22.67</v>
      </c>
      <c r="E344">
        <v>230732</v>
      </c>
      <c r="F344">
        <v>6.422085</v>
      </c>
      <c r="G344">
        <v>222.04366666666667</v>
      </c>
      <c r="H344">
        <v>3.4574193548387107</v>
      </c>
    </row>
    <row r="345" spans="1:8" x14ac:dyDescent="0.3">
      <c r="A345" t="s">
        <v>2</v>
      </c>
      <c r="B345">
        <v>2011.2</v>
      </c>
      <c r="C345">
        <v>0</v>
      </c>
      <c r="D345">
        <v>23.35</v>
      </c>
      <c r="E345">
        <v>230732</v>
      </c>
      <c r="F345">
        <v>6.1778880000000003</v>
      </c>
      <c r="G345">
        <v>224.56833333333333</v>
      </c>
      <c r="H345">
        <v>3.201428571428572</v>
      </c>
    </row>
    <row r="346" spans="1:8" x14ac:dyDescent="0.3">
      <c r="A346" t="s">
        <v>2</v>
      </c>
      <c r="B346">
        <v>2011.3</v>
      </c>
      <c r="C346">
        <v>7</v>
      </c>
      <c r="D346">
        <v>22.91</v>
      </c>
      <c r="E346">
        <v>230739</v>
      </c>
      <c r="F346">
        <v>5.9055119999999999</v>
      </c>
      <c r="G346">
        <v>226.03266666666667</v>
      </c>
      <c r="H346">
        <v>2.4142187500000003</v>
      </c>
    </row>
    <row r="347" spans="1:8" x14ac:dyDescent="0.3">
      <c r="A347" t="s">
        <v>2</v>
      </c>
      <c r="B347">
        <v>2011.4</v>
      </c>
      <c r="C347">
        <v>28</v>
      </c>
      <c r="D347">
        <v>22.29</v>
      </c>
      <c r="E347">
        <v>230767</v>
      </c>
      <c r="F347">
        <v>6.0739010000000002</v>
      </c>
      <c r="G347">
        <v>227.04733333333334</v>
      </c>
      <c r="H347">
        <v>2.0467213114754093</v>
      </c>
    </row>
    <row r="348" spans="1:8" x14ac:dyDescent="0.3">
      <c r="A348" t="s">
        <v>2</v>
      </c>
      <c r="B348">
        <v>2012.1</v>
      </c>
      <c r="C348">
        <v>0</v>
      </c>
      <c r="D348">
        <v>22.51</v>
      </c>
      <c r="E348">
        <v>230767</v>
      </c>
      <c r="F348">
        <v>6.1579709999999999</v>
      </c>
      <c r="G348">
        <v>228.32599999999999</v>
      </c>
      <c r="H348">
        <v>2.0400000000000005</v>
      </c>
    </row>
    <row r="349" spans="1:8" x14ac:dyDescent="0.3">
      <c r="A349" t="s">
        <v>2</v>
      </c>
      <c r="B349">
        <v>2012.2</v>
      </c>
      <c r="C349">
        <v>0</v>
      </c>
      <c r="D349">
        <v>23.24</v>
      </c>
      <c r="E349">
        <v>230767</v>
      </c>
      <c r="F349">
        <v>6.3274270000000001</v>
      </c>
      <c r="G349">
        <v>228.80799999999999</v>
      </c>
      <c r="H349">
        <v>1.8257812499999995</v>
      </c>
    </row>
    <row r="350" spans="1:8" x14ac:dyDescent="0.3">
      <c r="A350" t="s">
        <v>2</v>
      </c>
      <c r="B350">
        <v>2012.3</v>
      </c>
      <c r="C350">
        <v>0</v>
      </c>
      <c r="D350">
        <v>22.16</v>
      </c>
      <c r="E350">
        <v>230767</v>
      </c>
      <c r="F350">
        <v>6.5368139999999997</v>
      </c>
      <c r="G350">
        <v>229.84100000000001</v>
      </c>
      <c r="H350">
        <v>1.6412698412698408</v>
      </c>
    </row>
    <row r="351" spans="1:8" x14ac:dyDescent="0.3">
      <c r="A351" t="s">
        <v>2</v>
      </c>
      <c r="B351">
        <v>2012.4</v>
      </c>
      <c r="C351">
        <v>120</v>
      </c>
      <c r="D351">
        <v>22.61</v>
      </c>
      <c r="E351">
        <v>230887</v>
      </c>
      <c r="F351">
        <v>6.6986970000000001</v>
      </c>
      <c r="G351">
        <v>231.36933333333334</v>
      </c>
      <c r="H351">
        <v>1.7070491803278682</v>
      </c>
    </row>
    <row r="352" spans="1:8" x14ac:dyDescent="0.3">
      <c r="A352" t="s">
        <v>2</v>
      </c>
      <c r="B352">
        <v>2013.1</v>
      </c>
      <c r="C352">
        <v>0</v>
      </c>
      <c r="D352">
        <v>22.68</v>
      </c>
      <c r="E352">
        <v>230887</v>
      </c>
      <c r="F352">
        <v>6.6086270000000003</v>
      </c>
      <c r="G352">
        <v>232.29933333333332</v>
      </c>
      <c r="H352">
        <v>1.9510000000000003</v>
      </c>
    </row>
    <row r="353" spans="1:8" x14ac:dyDescent="0.3">
      <c r="A353" t="s">
        <v>2</v>
      </c>
      <c r="B353">
        <v>2013.2</v>
      </c>
      <c r="C353">
        <v>20</v>
      </c>
      <c r="D353">
        <v>22.98</v>
      </c>
      <c r="E353">
        <v>230907</v>
      </c>
      <c r="F353">
        <v>6.4418660000000001</v>
      </c>
      <c r="G353">
        <v>232.04499999999999</v>
      </c>
      <c r="H353">
        <v>1.9862499999999992</v>
      </c>
    </row>
    <row r="354" spans="1:8" x14ac:dyDescent="0.3">
      <c r="A354" t="s">
        <v>2</v>
      </c>
      <c r="B354">
        <v>2013.3</v>
      </c>
      <c r="C354">
        <v>28</v>
      </c>
      <c r="D354">
        <v>23.18</v>
      </c>
      <c r="E354">
        <v>230935</v>
      </c>
      <c r="F354">
        <v>6.2891940000000002</v>
      </c>
      <c r="G354">
        <v>233.3</v>
      </c>
      <c r="H354">
        <v>2.7065624999999995</v>
      </c>
    </row>
    <row r="355" spans="1:8" x14ac:dyDescent="0.3">
      <c r="A355" t="s">
        <v>2</v>
      </c>
      <c r="B355">
        <v>2013.4</v>
      </c>
      <c r="C355">
        <v>51</v>
      </c>
      <c r="D355">
        <v>23.42</v>
      </c>
      <c r="E355">
        <v>230986</v>
      </c>
      <c r="F355">
        <v>6.156892</v>
      </c>
      <c r="G355">
        <v>234.16266666666667</v>
      </c>
      <c r="H355">
        <v>2.7441935483870958</v>
      </c>
    </row>
    <row r="356" spans="1:8" x14ac:dyDescent="0.3">
      <c r="A356" t="s">
        <v>2</v>
      </c>
      <c r="B356">
        <v>2014.1</v>
      </c>
      <c r="C356">
        <v>0</v>
      </c>
      <c r="D356">
        <v>23.59</v>
      </c>
      <c r="E356">
        <v>230986</v>
      </c>
      <c r="F356">
        <v>6.0615509999999997</v>
      </c>
      <c r="G356">
        <v>235.62100000000001</v>
      </c>
      <c r="H356">
        <v>2.7654098360655737</v>
      </c>
    </row>
    <row r="357" spans="1:8" x14ac:dyDescent="0.3">
      <c r="A357" t="s">
        <v>2</v>
      </c>
      <c r="B357">
        <v>2014.2</v>
      </c>
      <c r="C357">
        <v>12</v>
      </c>
      <c r="D357">
        <v>23.24</v>
      </c>
      <c r="E357">
        <v>230998</v>
      </c>
      <c r="F357">
        <v>5.9465459999999997</v>
      </c>
      <c r="G357">
        <v>236.87233333333333</v>
      </c>
      <c r="H357">
        <v>2.6209523809523816</v>
      </c>
    </row>
    <row r="358" spans="1:8" x14ac:dyDescent="0.3">
      <c r="A358" t="s">
        <v>2</v>
      </c>
      <c r="B358">
        <v>2014.3</v>
      </c>
      <c r="C358">
        <v>102</v>
      </c>
      <c r="D358">
        <v>23.31</v>
      </c>
      <c r="E358">
        <v>231100</v>
      </c>
      <c r="F358">
        <v>5.7857279999999998</v>
      </c>
      <c r="G358">
        <v>237.47833333333332</v>
      </c>
      <c r="H358">
        <v>2.4995312500000004</v>
      </c>
    </row>
    <row r="359" spans="1:8" x14ac:dyDescent="0.3">
      <c r="A359" t="s">
        <v>2</v>
      </c>
      <c r="B359">
        <v>2014.4</v>
      </c>
      <c r="C359">
        <v>115</v>
      </c>
      <c r="D359">
        <v>24.2</v>
      </c>
      <c r="E359">
        <v>231215</v>
      </c>
      <c r="F359">
        <v>5.5662989999999999</v>
      </c>
      <c r="G359">
        <v>236.88833333333332</v>
      </c>
      <c r="H359">
        <v>2.2759677419354838</v>
      </c>
    </row>
    <row r="360" spans="1:8" x14ac:dyDescent="0.3">
      <c r="A360" t="s">
        <v>2</v>
      </c>
      <c r="B360">
        <v>2015.1</v>
      </c>
      <c r="C360">
        <v>531</v>
      </c>
      <c r="D360">
        <v>24.6</v>
      </c>
      <c r="E360">
        <v>231746</v>
      </c>
      <c r="F360">
        <v>5.4328500000000002</v>
      </c>
      <c r="G360">
        <v>235.35499999999999</v>
      </c>
      <c r="H360">
        <v>1.9688524590163936</v>
      </c>
    </row>
    <row r="361" spans="1:8" x14ac:dyDescent="0.3">
      <c r="A361" t="s">
        <v>2</v>
      </c>
      <c r="B361">
        <v>2015.2</v>
      </c>
      <c r="C361">
        <v>163</v>
      </c>
      <c r="D361">
        <v>24.62</v>
      </c>
      <c r="E361">
        <v>231909</v>
      </c>
      <c r="F361">
        <v>5.2937260000000004</v>
      </c>
      <c r="G361">
        <v>236.96</v>
      </c>
      <c r="H361">
        <v>2.1643750000000002</v>
      </c>
    </row>
    <row r="362" spans="1:8" x14ac:dyDescent="0.3">
      <c r="A362" t="s">
        <v>2</v>
      </c>
      <c r="B362">
        <v>2015.3</v>
      </c>
      <c r="C362">
        <v>151</v>
      </c>
      <c r="D362">
        <v>24.79</v>
      </c>
      <c r="E362">
        <v>232060</v>
      </c>
      <c r="F362">
        <v>5.252059</v>
      </c>
      <c r="G362">
        <v>237.85499999999999</v>
      </c>
      <c r="H362">
        <v>2.223125</v>
      </c>
    </row>
    <row r="363" spans="1:8" x14ac:dyDescent="0.3">
      <c r="A363" t="s">
        <v>2</v>
      </c>
      <c r="B363">
        <v>2015.4</v>
      </c>
      <c r="C363">
        <v>24</v>
      </c>
      <c r="D363">
        <v>24.93</v>
      </c>
      <c r="E363">
        <v>232084</v>
      </c>
      <c r="F363">
        <v>5.1105879999999999</v>
      </c>
      <c r="G363">
        <v>237.83699999999999</v>
      </c>
      <c r="H363">
        <v>2.1904838709677414</v>
      </c>
    </row>
    <row r="364" spans="1:8" x14ac:dyDescent="0.3">
      <c r="A364" t="s">
        <v>2</v>
      </c>
      <c r="B364">
        <v>2016.1</v>
      </c>
      <c r="C364">
        <v>450</v>
      </c>
      <c r="D364">
        <v>25.13</v>
      </c>
      <c r="E364">
        <v>232534</v>
      </c>
      <c r="F364">
        <v>5.1794849999999997</v>
      </c>
      <c r="G364">
        <v>237.68933333333334</v>
      </c>
      <c r="H364">
        <v>1.9142619999999999</v>
      </c>
    </row>
    <row r="365" spans="1:8" x14ac:dyDescent="0.3">
      <c r="A365" t="s">
        <v>2</v>
      </c>
      <c r="B365">
        <v>2016.2</v>
      </c>
      <c r="C365">
        <v>91</v>
      </c>
      <c r="D365">
        <v>25.18</v>
      </c>
      <c r="E365">
        <v>232625</v>
      </c>
      <c r="F365">
        <v>5.1280830000000002</v>
      </c>
      <c r="G365">
        <v>239.59033333333332</v>
      </c>
      <c r="H365">
        <v>1.750156</v>
      </c>
    </row>
    <row r="366" spans="1:8" x14ac:dyDescent="0.3">
      <c r="A366" t="s">
        <v>2</v>
      </c>
      <c r="B366">
        <v>2016.3</v>
      </c>
      <c r="C366">
        <v>71</v>
      </c>
      <c r="D366">
        <v>24.96</v>
      </c>
      <c r="E366">
        <v>232696</v>
      </c>
      <c r="F366">
        <v>5.0758010000000002</v>
      </c>
      <c r="G366">
        <v>240.60733333333334</v>
      </c>
      <c r="H366">
        <v>1.5643750000000001</v>
      </c>
    </row>
    <row r="367" spans="1:8" x14ac:dyDescent="0.3">
      <c r="A367" t="s">
        <v>2</v>
      </c>
      <c r="B367">
        <v>2016.4</v>
      </c>
      <c r="C367">
        <v>1147</v>
      </c>
      <c r="D367">
        <v>25.16</v>
      </c>
      <c r="E367">
        <v>233843</v>
      </c>
      <c r="F367">
        <v>5.0768399999999998</v>
      </c>
      <c r="G367">
        <v>242.13466666666667</v>
      </c>
      <c r="H367">
        <v>2.1386889999999998</v>
      </c>
    </row>
    <row r="368" spans="1:8" x14ac:dyDescent="0.3">
      <c r="A368" t="s">
        <v>2</v>
      </c>
      <c r="B368">
        <v>2017.1</v>
      </c>
      <c r="C368">
        <v>1511</v>
      </c>
      <c r="D368">
        <v>25.31</v>
      </c>
      <c r="E368">
        <v>235354</v>
      </c>
      <c r="F368">
        <v>5.0813280000000001</v>
      </c>
      <c r="G368">
        <v>243.83866666666665</v>
      </c>
      <c r="H368">
        <v>2.4466130000000001</v>
      </c>
    </row>
    <row r="369" spans="1:8" x14ac:dyDescent="0.3">
      <c r="A369" t="s">
        <v>2</v>
      </c>
      <c r="B369">
        <v>2017.2</v>
      </c>
      <c r="C369">
        <v>248</v>
      </c>
      <c r="D369">
        <v>25.34</v>
      </c>
      <c r="E369">
        <v>235602</v>
      </c>
      <c r="F369">
        <v>5.15815</v>
      </c>
      <c r="G369">
        <v>244.12</v>
      </c>
      <c r="H369">
        <v>2.2609520000000001</v>
      </c>
    </row>
    <row r="370" spans="1:8" x14ac:dyDescent="0.3">
      <c r="A370" t="s">
        <v>2</v>
      </c>
      <c r="B370">
        <v>2017.3</v>
      </c>
      <c r="C370">
        <v>420</v>
      </c>
      <c r="D370">
        <v>25.52</v>
      </c>
      <c r="E370">
        <v>236022</v>
      </c>
      <c r="F370">
        <v>5.2519669999999996</v>
      </c>
      <c r="G370">
        <v>245.28700000000001</v>
      </c>
      <c r="H370">
        <v>2.2414290000000001</v>
      </c>
    </row>
    <row r="371" spans="1:8" x14ac:dyDescent="0.3">
      <c r="A371" t="s">
        <v>1</v>
      </c>
      <c r="B371">
        <v>1987.1</v>
      </c>
      <c r="C371">
        <v>236</v>
      </c>
      <c r="D371">
        <v>12.03</v>
      </c>
      <c r="E371">
        <v>102105</v>
      </c>
      <c r="F371">
        <v>4.3479179999999999</v>
      </c>
      <c r="G371">
        <v>111.8</v>
      </c>
      <c r="H371">
        <v>7.1954098360655747</v>
      </c>
    </row>
    <row r="372" spans="1:8" x14ac:dyDescent="0.3">
      <c r="A372" t="s">
        <v>1</v>
      </c>
      <c r="B372">
        <v>1987.2</v>
      </c>
      <c r="C372">
        <v>866</v>
      </c>
      <c r="D372">
        <v>12.11</v>
      </c>
      <c r="E372">
        <v>102971</v>
      </c>
      <c r="F372">
        <v>4.3234870000000001</v>
      </c>
      <c r="G372">
        <v>113.06666666666666</v>
      </c>
      <c r="H372">
        <v>8.3426984126984127</v>
      </c>
    </row>
    <row r="373" spans="1:8" x14ac:dyDescent="0.3">
      <c r="A373" t="s">
        <v>1</v>
      </c>
      <c r="B373">
        <v>1987.3</v>
      </c>
      <c r="C373">
        <v>274</v>
      </c>
      <c r="D373">
        <v>11.8</v>
      </c>
      <c r="E373">
        <v>103245</v>
      </c>
      <c r="F373">
        <v>4.4051850000000004</v>
      </c>
      <c r="G373">
        <v>114.26666666666667</v>
      </c>
      <c r="H373">
        <v>8.8696874999999995</v>
      </c>
    </row>
    <row r="374" spans="1:8" x14ac:dyDescent="0.3">
      <c r="A374" t="s">
        <v>1</v>
      </c>
      <c r="B374">
        <v>1987.4</v>
      </c>
      <c r="C374">
        <v>4340</v>
      </c>
      <c r="D374">
        <v>11.49</v>
      </c>
      <c r="E374">
        <v>107585</v>
      </c>
      <c r="F374">
        <v>4.5665009999999997</v>
      </c>
      <c r="G374">
        <v>115.33333333333333</v>
      </c>
      <c r="H374">
        <v>9.129032258064516</v>
      </c>
    </row>
    <row r="375" spans="1:8" x14ac:dyDescent="0.3">
      <c r="A375" t="s">
        <v>1</v>
      </c>
      <c r="B375">
        <v>1988.1</v>
      </c>
      <c r="C375">
        <v>443</v>
      </c>
      <c r="D375">
        <v>11.12</v>
      </c>
      <c r="E375">
        <v>108028</v>
      </c>
      <c r="F375">
        <v>4.776186</v>
      </c>
      <c r="G375">
        <v>116.23333333333333</v>
      </c>
      <c r="H375">
        <v>8.4109677419354885</v>
      </c>
    </row>
    <row r="376" spans="1:8" x14ac:dyDescent="0.3">
      <c r="A376" t="s">
        <v>1</v>
      </c>
      <c r="B376">
        <v>1988.2</v>
      </c>
      <c r="C376">
        <v>0</v>
      </c>
      <c r="D376">
        <v>10.76</v>
      </c>
      <c r="E376">
        <v>108028</v>
      </c>
      <c r="F376">
        <v>4.7628370000000002</v>
      </c>
      <c r="G376">
        <v>117.56666666666666</v>
      </c>
      <c r="H376">
        <v>8.9128571428571437</v>
      </c>
    </row>
    <row r="377" spans="1:8" x14ac:dyDescent="0.3">
      <c r="A377" t="s">
        <v>1</v>
      </c>
      <c r="B377">
        <v>1988.3</v>
      </c>
      <c r="C377">
        <v>0</v>
      </c>
      <c r="D377">
        <v>10.51</v>
      </c>
      <c r="E377">
        <v>108028</v>
      </c>
      <c r="F377">
        <v>4.6169599999999997</v>
      </c>
      <c r="G377">
        <v>119</v>
      </c>
      <c r="H377">
        <v>9.1035937500000035</v>
      </c>
    </row>
    <row r="378" spans="1:8" x14ac:dyDescent="0.3">
      <c r="A378" t="s">
        <v>1</v>
      </c>
      <c r="B378">
        <v>1988.4</v>
      </c>
      <c r="C378">
        <v>0</v>
      </c>
      <c r="D378">
        <v>10.26</v>
      </c>
      <c r="E378">
        <v>108028</v>
      </c>
      <c r="F378">
        <v>4.49498</v>
      </c>
      <c r="G378">
        <v>120.3</v>
      </c>
      <c r="H378">
        <v>8.9570491803278678</v>
      </c>
    </row>
    <row r="379" spans="1:8" x14ac:dyDescent="0.3">
      <c r="A379" t="s">
        <v>1</v>
      </c>
      <c r="B379">
        <v>1989.1</v>
      </c>
      <c r="C379">
        <v>0</v>
      </c>
      <c r="D379">
        <v>10.39</v>
      </c>
      <c r="E379">
        <v>108028</v>
      </c>
      <c r="F379">
        <v>4.6169570000000002</v>
      </c>
      <c r="G379">
        <v>121.66666666666667</v>
      </c>
      <c r="H379">
        <v>9.2116393442622968</v>
      </c>
    </row>
    <row r="380" spans="1:8" x14ac:dyDescent="0.3">
      <c r="A380" t="s">
        <v>1</v>
      </c>
      <c r="B380">
        <v>1989.2</v>
      </c>
      <c r="C380">
        <v>383</v>
      </c>
      <c r="D380">
        <v>10.52</v>
      </c>
      <c r="E380">
        <v>108411</v>
      </c>
      <c r="F380">
        <v>4.8016819999999996</v>
      </c>
      <c r="G380">
        <v>123.63333333333334</v>
      </c>
      <c r="H380">
        <v>8.7579687500000016</v>
      </c>
    </row>
    <row r="381" spans="1:8" x14ac:dyDescent="0.3">
      <c r="A381" t="s">
        <v>1</v>
      </c>
      <c r="B381">
        <v>1989.3</v>
      </c>
      <c r="C381">
        <v>0</v>
      </c>
      <c r="D381">
        <v>10.58</v>
      </c>
      <c r="E381">
        <v>108411</v>
      </c>
      <c r="F381">
        <v>5.2319659999999999</v>
      </c>
      <c r="G381">
        <v>124.6</v>
      </c>
      <c r="H381">
        <v>8.1074603174603155</v>
      </c>
    </row>
    <row r="382" spans="1:8" x14ac:dyDescent="0.3">
      <c r="A382" t="s">
        <v>1</v>
      </c>
      <c r="B382">
        <v>1989.4</v>
      </c>
      <c r="C382">
        <v>0</v>
      </c>
      <c r="D382">
        <v>10.63</v>
      </c>
      <c r="E382">
        <v>108411</v>
      </c>
      <c r="F382">
        <v>5.5856120000000002</v>
      </c>
      <c r="G382">
        <v>125.86666666666666</v>
      </c>
      <c r="H382">
        <v>7.9070967741935476</v>
      </c>
    </row>
    <row r="383" spans="1:8" x14ac:dyDescent="0.3">
      <c r="A383" t="s">
        <v>1</v>
      </c>
      <c r="B383">
        <v>1990.1</v>
      </c>
      <c r="C383">
        <v>0</v>
      </c>
      <c r="D383">
        <v>11.24</v>
      </c>
      <c r="E383">
        <v>108411</v>
      </c>
      <c r="F383">
        <v>5.6896829999999996</v>
      </c>
      <c r="G383">
        <v>128.03333333333333</v>
      </c>
      <c r="H383">
        <v>8.4238709677419337</v>
      </c>
    </row>
    <row r="384" spans="1:8" x14ac:dyDescent="0.3">
      <c r="A384" t="s">
        <v>1</v>
      </c>
      <c r="B384">
        <v>1990.2</v>
      </c>
      <c r="C384">
        <v>0</v>
      </c>
      <c r="D384">
        <v>11.88</v>
      </c>
      <c r="E384">
        <v>108411</v>
      </c>
      <c r="F384">
        <v>6.0473460000000001</v>
      </c>
      <c r="G384">
        <v>129.30000000000001</v>
      </c>
      <c r="H384">
        <v>8.6741269841269819</v>
      </c>
    </row>
    <row r="385" spans="1:8" x14ac:dyDescent="0.3">
      <c r="A385" t="s">
        <v>1</v>
      </c>
      <c r="B385">
        <v>1990.3</v>
      </c>
      <c r="C385">
        <v>0</v>
      </c>
      <c r="D385">
        <v>12.06</v>
      </c>
      <c r="E385">
        <v>108411</v>
      </c>
      <c r="F385">
        <v>6.2918609999999999</v>
      </c>
      <c r="G385">
        <v>131.53333333333333</v>
      </c>
      <c r="H385">
        <v>8.7012698412698413</v>
      </c>
    </row>
    <row r="386" spans="1:8" x14ac:dyDescent="0.3">
      <c r="A386" t="s">
        <v>1</v>
      </c>
      <c r="B386">
        <v>1990.4</v>
      </c>
      <c r="C386">
        <v>0</v>
      </c>
      <c r="D386">
        <v>12.24</v>
      </c>
      <c r="E386">
        <v>108411</v>
      </c>
      <c r="F386">
        <v>6.5132519999999996</v>
      </c>
      <c r="G386">
        <v>133.76666666666668</v>
      </c>
      <c r="H386">
        <v>8.4059677419354859</v>
      </c>
    </row>
    <row r="387" spans="1:8" x14ac:dyDescent="0.3">
      <c r="A387" t="s">
        <v>1</v>
      </c>
      <c r="B387">
        <v>1991.1</v>
      </c>
      <c r="C387">
        <v>423</v>
      </c>
      <c r="D387">
        <v>12.02</v>
      </c>
      <c r="E387">
        <v>108834</v>
      </c>
      <c r="F387">
        <v>6.8464859999999996</v>
      </c>
      <c r="G387">
        <v>134.76666666666668</v>
      </c>
      <c r="H387">
        <v>8.0231666666666648</v>
      </c>
    </row>
    <row r="388" spans="1:8" x14ac:dyDescent="0.3">
      <c r="A388" t="s">
        <v>1</v>
      </c>
      <c r="B388">
        <v>1991.2</v>
      </c>
      <c r="C388">
        <v>0</v>
      </c>
      <c r="D388">
        <v>11.81</v>
      </c>
      <c r="E388">
        <v>108834</v>
      </c>
      <c r="F388">
        <v>7.0462300000000004</v>
      </c>
      <c r="G388">
        <v>135.56666666666666</v>
      </c>
      <c r="H388">
        <v>8.1254687499999996</v>
      </c>
    </row>
    <row r="389" spans="1:8" x14ac:dyDescent="0.3">
      <c r="A389" t="s">
        <v>1</v>
      </c>
      <c r="B389">
        <v>1991.3</v>
      </c>
      <c r="C389">
        <v>582</v>
      </c>
      <c r="D389">
        <v>11.57</v>
      </c>
      <c r="E389">
        <v>109416</v>
      </c>
      <c r="F389">
        <v>7.4888440000000003</v>
      </c>
      <c r="G389">
        <v>136.6</v>
      </c>
      <c r="H389">
        <v>7.9499999999999993</v>
      </c>
    </row>
    <row r="390" spans="1:8" x14ac:dyDescent="0.3">
      <c r="A390" t="s">
        <v>1</v>
      </c>
      <c r="B390">
        <v>1991.4</v>
      </c>
      <c r="C390">
        <v>0</v>
      </c>
      <c r="D390">
        <v>11.34</v>
      </c>
      <c r="E390">
        <v>109416</v>
      </c>
      <c r="F390">
        <v>7.4364439999999998</v>
      </c>
      <c r="G390">
        <v>137.73333333333332</v>
      </c>
      <c r="H390">
        <v>7.3450000000000006</v>
      </c>
    </row>
    <row r="391" spans="1:8" x14ac:dyDescent="0.3">
      <c r="A391" t="s">
        <v>1</v>
      </c>
      <c r="B391">
        <v>1992.1</v>
      </c>
      <c r="C391">
        <v>0</v>
      </c>
      <c r="D391">
        <v>11.41</v>
      </c>
      <c r="E391">
        <v>109416</v>
      </c>
      <c r="F391">
        <v>8.1919059999999995</v>
      </c>
      <c r="G391">
        <v>138.66666666666666</v>
      </c>
      <c r="H391">
        <v>7.3069354838709675</v>
      </c>
    </row>
    <row r="392" spans="1:8" x14ac:dyDescent="0.3">
      <c r="A392" t="s">
        <v>1</v>
      </c>
      <c r="B392">
        <v>1992.2</v>
      </c>
      <c r="C392">
        <v>75</v>
      </c>
      <c r="D392">
        <v>11.49</v>
      </c>
      <c r="E392">
        <v>109491</v>
      </c>
      <c r="F392">
        <v>9.0988279999999992</v>
      </c>
      <c r="G392">
        <v>139.73333333333332</v>
      </c>
      <c r="H392">
        <v>7.3760317460317451</v>
      </c>
    </row>
    <row r="393" spans="1:8" x14ac:dyDescent="0.3">
      <c r="A393" t="s">
        <v>1</v>
      </c>
      <c r="B393">
        <v>1992.3</v>
      </c>
      <c r="C393">
        <v>400</v>
      </c>
      <c r="D393">
        <v>11.43</v>
      </c>
      <c r="E393">
        <v>109891</v>
      </c>
      <c r="F393">
        <v>10.247389999999999</v>
      </c>
      <c r="G393">
        <v>140.80000000000001</v>
      </c>
      <c r="H393">
        <v>6.6187500000000021</v>
      </c>
    </row>
    <row r="394" spans="1:8" x14ac:dyDescent="0.3">
      <c r="A394" t="s">
        <v>1</v>
      </c>
      <c r="B394">
        <v>1992.4</v>
      </c>
      <c r="C394">
        <v>1830</v>
      </c>
      <c r="D394">
        <v>11.37</v>
      </c>
      <c r="E394">
        <v>111721</v>
      </c>
      <c r="F394">
        <v>11.06343</v>
      </c>
      <c r="G394">
        <v>142.03333333333333</v>
      </c>
      <c r="H394">
        <v>6.7403225806451594</v>
      </c>
    </row>
    <row r="395" spans="1:8" x14ac:dyDescent="0.3">
      <c r="A395" t="s">
        <v>1</v>
      </c>
      <c r="B395">
        <v>1993.1</v>
      </c>
      <c r="C395">
        <v>0</v>
      </c>
      <c r="D395">
        <v>11.58</v>
      </c>
      <c r="E395">
        <v>111721</v>
      </c>
      <c r="F395">
        <v>11.190899999999999</v>
      </c>
      <c r="G395">
        <v>143.06666666666666</v>
      </c>
      <c r="H395">
        <v>6.2581967213114744</v>
      </c>
    </row>
    <row r="396" spans="1:8" x14ac:dyDescent="0.3">
      <c r="A396" t="s">
        <v>1</v>
      </c>
      <c r="B396">
        <v>1993.2</v>
      </c>
      <c r="C396">
        <v>0</v>
      </c>
      <c r="D396">
        <v>11.8</v>
      </c>
      <c r="E396">
        <v>111721</v>
      </c>
      <c r="F396">
        <v>11.329739999999999</v>
      </c>
      <c r="G396">
        <v>144.1</v>
      </c>
      <c r="H396">
        <v>5.9880952380952381</v>
      </c>
    </row>
    <row r="397" spans="1:8" x14ac:dyDescent="0.3">
      <c r="A397" t="s">
        <v>1</v>
      </c>
      <c r="B397">
        <v>1993.3</v>
      </c>
      <c r="C397">
        <v>0</v>
      </c>
      <c r="D397">
        <v>11.58</v>
      </c>
      <c r="E397">
        <v>111721</v>
      </c>
      <c r="F397">
        <v>10.762779999999999</v>
      </c>
      <c r="G397">
        <v>144.76666666666668</v>
      </c>
      <c r="H397">
        <v>5.6153125000000017</v>
      </c>
    </row>
    <row r="398" spans="1:8" x14ac:dyDescent="0.3">
      <c r="A398" t="s">
        <v>1</v>
      </c>
      <c r="B398">
        <v>1993.4</v>
      </c>
      <c r="C398">
        <v>0</v>
      </c>
      <c r="D398">
        <v>11.36</v>
      </c>
      <c r="E398">
        <v>111721</v>
      </c>
      <c r="F398">
        <v>10.88693</v>
      </c>
      <c r="G398">
        <v>145.96666666666667</v>
      </c>
      <c r="H398">
        <v>5.6159677419354841</v>
      </c>
    </row>
    <row r="399" spans="1:8" x14ac:dyDescent="0.3">
      <c r="A399" t="s">
        <v>1</v>
      </c>
      <c r="B399">
        <v>1994.1</v>
      </c>
      <c r="C399">
        <v>0</v>
      </c>
      <c r="D399">
        <v>11.63</v>
      </c>
      <c r="E399">
        <v>111721</v>
      </c>
      <c r="F399">
        <v>11.01376</v>
      </c>
      <c r="G399">
        <v>146.69999999999999</v>
      </c>
      <c r="H399">
        <v>6.09032258064516</v>
      </c>
    </row>
    <row r="400" spans="1:8" x14ac:dyDescent="0.3">
      <c r="A400" t="s">
        <v>1</v>
      </c>
      <c r="B400">
        <v>1994.2</v>
      </c>
      <c r="C400">
        <v>0</v>
      </c>
      <c r="D400">
        <v>11.91</v>
      </c>
      <c r="E400">
        <v>111721</v>
      </c>
      <c r="F400">
        <v>10.937530000000001</v>
      </c>
      <c r="G400">
        <v>147.53333333333333</v>
      </c>
      <c r="H400">
        <v>7.0895161290322593</v>
      </c>
    </row>
    <row r="401" spans="1:8" x14ac:dyDescent="0.3">
      <c r="A401" t="s">
        <v>1</v>
      </c>
      <c r="B401">
        <v>1994.3</v>
      </c>
      <c r="C401">
        <v>0</v>
      </c>
      <c r="D401">
        <v>12.13</v>
      </c>
      <c r="E401">
        <v>111721</v>
      </c>
      <c r="F401">
        <v>10.379519999999999</v>
      </c>
      <c r="G401">
        <v>148.9</v>
      </c>
      <c r="H401">
        <v>7.327968750000001</v>
      </c>
    </row>
    <row r="402" spans="1:8" x14ac:dyDescent="0.3">
      <c r="A402" t="s">
        <v>1</v>
      </c>
      <c r="B402">
        <v>1994.4</v>
      </c>
      <c r="C402">
        <v>0</v>
      </c>
      <c r="D402">
        <v>12.36</v>
      </c>
      <c r="E402">
        <v>111721</v>
      </c>
      <c r="F402">
        <v>10.195489999999999</v>
      </c>
      <c r="G402">
        <v>149.76666666666668</v>
      </c>
      <c r="H402">
        <v>7.8372131147540989</v>
      </c>
    </row>
    <row r="403" spans="1:8" x14ac:dyDescent="0.3">
      <c r="A403" t="s">
        <v>1</v>
      </c>
      <c r="B403">
        <v>1995.1</v>
      </c>
      <c r="C403">
        <v>16</v>
      </c>
      <c r="D403">
        <v>12.26</v>
      </c>
      <c r="E403">
        <v>111737</v>
      </c>
      <c r="F403">
        <v>10.29513</v>
      </c>
      <c r="G403">
        <v>150.86666666666667</v>
      </c>
      <c r="H403">
        <v>7.4712903225806464</v>
      </c>
    </row>
    <row r="404" spans="1:8" x14ac:dyDescent="0.3">
      <c r="A404" t="s">
        <v>1</v>
      </c>
      <c r="B404">
        <v>1995.2</v>
      </c>
      <c r="C404">
        <v>6</v>
      </c>
      <c r="D404">
        <v>12.17</v>
      </c>
      <c r="E404">
        <v>111743</v>
      </c>
      <c r="F404">
        <v>9.7417850000000001</v>
      </c>
      <c r="G404">
        <v>152.1</v>
      </c>
      <c r="H404">
        <v>6.6001587301587294</v>
      </c>
    </row>
    <row r="405" spans="1:8" x14ac:dyDescent="0.3">
      <c r="A405" t="s">
        <v>1</v>
      </c>
      <c r="B405">
        <v>1995.3</v>
      </c>
      <c r="C405">
        <v>0</v>
      </c>
      <c r="D405">
        <v>12.67</v>
      </c>
      <c r="E405">
        <v>111743</v>
      </c>
      <c r="F405">
        <v>9.8103230000000003</v>
      </c>
      <c r="G405">
        <v>152.86666666666667</v>
      </c>
      <c r="H405">
        <v>6.3292063492063484</v>
      </c>
    </row>
    <row r="406" spans="1:8" x14ac:dyDescent="0.3">
      <c r="A406" t="s">
        <v>1</v>
      </c>
      <c r="B406">
        <v>1995.4</v>
      </c>
      <c r="C406">
        <v>14</v>
      </c>
      <c r="D406">
        <v>13.21</v>
      </c>
      <c r="E406">
        <v>111757</v>
      </c>
      <c r="F406">
        <v>9.6557410000000008</v>
      </c>
      <c r="G406">
        <v>153.69999999999999</v>
      </c>
      <c r="H406">
        <v>5.8985483870967741</v>
      </c>
    </row>
    <row r="407" spans="1:8" x14ac:dyDescent="0.3">
      <c r="A407" t="s">
        <v>1</v>
      </c>
      <c r="B407">
        <v>1996.1</v>
      </c>
      <c r="C407">
        <v>176</v>
      </c>
      <c r="D407">
        <v>14.01</v>
      </c>
      <c r="E407">
        <v>111933</v>
      </c>
      <c r="F407">
        <v>8.7117900000000006</v>
      </c>
      <c r="G407">
        <v>155.06666666666666</v>
      </c>
      <c r="H407">
        <v>5.9104838709677407</v>
      </c>
    </row>
    <row r="408" spans="1:8" x14ac:dyDescent="0.3">
      <c r="A408" t="s">
        <v>1</v>
      </c>
      <c r="B408">
        <v>1996.2</v>
      </c>
      <c r="C408">
        <v>0</v>
      </c>
      <c r="D408">
        <v>14.85</v>
      </c>
      <c r="E408">
        <v>111933</v>
      </c>
      <c r="F408">
        <v>8.6881799999999991</v>
      </c>
      <c r="G408">
        <v>156.4</v>
      </c>
      <c r="H408">
        <v>6.7140624999999998</v>
      </c>
    </row>
    <row r="409" spans="1:8" x14ac:dyDescent="0.3">
      <c r="A409" t="s">
        <v>1</v>
      </c>
      <c r="B409">
        <v>1996.3</v>
      </c>
      <c r="C409">
        <v>147</v>
      </c>
      <c r="D409">
        <v>15.24</v>
      </c>
      <c r="E409">
        <v>112080</v>
      </c>
      <c r="F409">
        <v>8.5117989999999999</v>
      </c>
      <c r="G409">
        <v>157.30000000000001</v>
      </c>
      <c r="H409">
        <v>6.7759375000000022</v>
      </c>
    </row>
    <row r="410" spans="1:8" x14ac:dyDescent="0.3">
      <c r="A410" t="s">
        <v>1</v>
      </c>
      <c r="B410">
        <v>1996.4</v>
      </c>
      <c r="C410">
        <v>0</v>
      </c>
      <c r="D410">
        <v>15.64</v>
      </c>
      <c r="E410">
        <v>112080</v>
      </c>
      <c r="F410">
        <v>8.4162099999999995</v>
      </c>
      <c r="G410">
        <v>158.66666666666666</v>
      </c>
      <c r="H410">
        <v>6.3541935483870962</v>
      </c>
    </row>
    <row r="411" spans="1:8" x14ac:dyDescent="0.3">
      <c r="A411" t="s">
        <v>1</v>
      </c>
      <c r="B411">
        <v>1997.1</v>
      </c>
      <c r="C411">
        <v>116</v>
      </c>
      <c r="D411">
        <v>16.68</v>
      </c>
      <c r="E411">
        <v>112196</v>
      </c>
      <c r="F411">
        <v>8.5918759999999992</v>
      </c>
      <c r="G411">
        <v>159.63333333333333</v>
      </c>
      <c r="H411">
        <v>6.5670000000000028</v>
      </c>
    </row>
    <row r="412" spans="1:8" x14ac:dyDescent="0.3">
      <c r="A412" t="s">
        <v>1</v>
      </c>
      <c r="B412">
        <v>1997.2</v>
      </c>
      <c r="C412">
        <v>189</v>
      </c>
      <c r="D412">
        <v>17.78</v>
      </c>
      <c r="E412">
        <v>112385</v>
      </c>
      <c r="F412">
        <v>8.6885940000000002</v>
      </c>
      <c r="G412">
        <v>160</v>
      </c>
      <c r="H412">
        <v>6.6996874999999996</v>
      </c>
    </row>
    <row r="413" spans="1:8" x14ac:dyDescent="0.3">
      <c r="A413" t="s">
        <v>1</v>
      </c>
      <c r="B413">
        <v>1997.3</v>
      </c>
      <c r="C413">
        <v>100</v>
      </c>
      <c r="D413">
        <v>18.64</v>
      </c>
      <c r="E413">
        <v>112485</v>
      </c>
      <c r="F413">
        <v>9.4660489999999999</v>
      </c>
      <c r="G413">
        <v>160.80000000000001</v>
      </c>
      <c r="H413">
        <v>6.2421875</v>
      </c>
    </row>
    <row r="414" spans="1:8" x14ac:dyDescent="0.3">
      <c r="A414" t="s">
        <v>1</v>
      </c>
      <c r="B414">
        <v>1997.4</v>
      </c>
      <c r="C414">
        <v>860</v>
      </c>
      <c r="D414">
        <v>19.55</v>
      </c>
      <c r="E414">
        <v>113345</v>
      </c>
      <c r="F414">
        <v>9.4580660000000005</v>
      </c>
      <c r="G414">
        <v>161.66666666666666</v>
      </c>
      <c r="H414">
        <v>5.906290322580646</v>
      </c>
    </row>
    <row r="415" spans="1:8" x14ac:dyDescent="0.3">
      <c r="A415" t="s">
        <v>1</v>
      </c>
      <c r="B415">
        <v>1998.1</v>
      </c>
      <c r="C415">
        <v>333</v>
      </c>
      <c r="D415">
        <v>19.420000000000002</v>
      </c>
      <c r="E415">
        <v>113678</v>
      </c>
      <c r="F415">
        <v>9.4437820000000006</v>
      </c>
      <c r="G415">
        <v>162</v>
      </c>
      <c r="H415">
        <v>5.5909836065573773</v>
      </c>
    </row>
    <row r="416" spans="1:8" x14ac:dyDescent="0.3">
      <c r="A416" t="s">
        <v>1</v>
      </c>
      <c r="B416">
        <v>1998.2</v>
      </c>
      <c r="C416">
        <v>1192</v>
      </c>
      <c r="D416">
        <v>19.28</v>
      </c>
      <c r="E416">
        <v>114870</v>
      </c>
      <c r="F416">
        <v>9.2001150000000003</v>
      </c>
      <c r="G416">
        <v>162.53333333333333</v>
      </c>
      <c r="H416">
        <v>5.5930158730158714</v>
      </c>
    </row>
    <row r="417" spans="1:8" x14ac:dyDescent="0.3">
      <c r="A417" t="s">
        <v>1</v>
      </c>
      <c r="B417">
        <v>1998.3</v>
      </c>
      <c r="C417">
        <v>1739</v>
      </c>
      <c r="D417">
        <v>19.79</v>
      </c>
      <c r="E417">
        <v>116609</v>
      </c>
      <c r="F417">
        <v>8.5219930000000002</v>
      </c>
      <c r="G417">
        <v>163.36666666666667</v>
      </c>
      <c r="H417">
        <v>5.2073437500000006</v>
      </c>
    </row>
    <row r="418" spans="1:8" x14ac:dyDescent="0.3">
      <c r="A418" t="s">
        <v>1</v>
      </c>
      <c r="B418">
        <v>1998.4</v>
      </c>
      <c r="C418">
        <v>2180</v>
      </c>
      <c r="D418">
        <v>20.309999999999999</v>
      </c>
      <c r="E418">
        <v>118789</v>
      </c>
      <c r="F418">
        <v>7.9863999999999997</v>
      </c>
      <c r="G418">
        <v>164.13333333333333</v>
      </c>
      <c r="H418">
        <v>4.661935483870967</v>
      </c>
    </row>
    <row r="419" spans="1:8" x14ac:dyDescent="0.3">
      <c r="A419" t="s">
        <v>1</v>
      </c>
      <c r="B419">
        <v>1999.1</v>
      </c>
      <c r="C419">
        <v>2528</v>
      </c>
      <c r="D419">
        <v>20.38</v>
      </c>
      <c r="E419">
        <v>121317</v>
      </c>
      <c r="F419">
        <v>7.9028520000000002</v>
      </c>
      <c r="G419">
        <v>164.73333333333332</v>
      </c>
      <c r="H419">
        <v>5.0008196721311462</v>
      </c>
    </row>
    <row r="420" spans="1:8" x14ac:dyDescent="0.3">
      <c r="A420" t="s">
        <v>1</v>
      </c>
      <c r="B420">
        <v>1999.2</v>
      </c>
      <c r="C420">
        <v>2164</v>
      </c>
      <c r="D420">
        <v>20.46</v>
      </c>
      <c r="E420">
        <v>123481</v>
      </c>
      <c r="F420">
        <v>7.9873120000000002</v>
      </c>
      <c r="G420">
        <v>165.96666666666667</v>
      </c>
      <c r="H420">
        <v>5.5412499999999998</v>
      </c>
    </row>
    <row r="421" spans="1:8" x14ac:dyDescent="0.3">
      <c r="A421" t="s">
        <v>1</v>
      </c>
      <c r="B421">
        <v>1999.3</v>
      </c>
      <c r="C421">
        <v>3229</v>
      </c>
      <c r="D421">
        <v>20.66</v>
      </c>
      <c r="E421">
        <v>126710</v>
      </c>
      <c r="F421">
        <v>8.0204850000000008</v>
      </c>
      <c r="G421">
        <v>167.2</v>
      </c>
      <c r="H421">
        <v>5.8829687499999981</v>
      </c>
    </row>
    <row r="422" spans="1:8" x14ac:dyDescent="0.3">
      <c r="A422" t="s">
        <v>1</v>
      </c>
      <c r="B422">
        <v>1999.4</v>
      </c>
      <c r="C422">
        <v>1495</v>
      </c>
      <c r="D422">
        <v>20.85</v>
      </c>
      <c r="E422">
        <v>128205</v>
      </c>
      <c r="F422">
        <v>8.2998860000000008</v>
      </c>
      <c r="G422">
        <v>168.43333333333334</v>
      </c>
      <c r="H422">
        <v>6.1448387096774191</v>
      </c>
    </row>
    <row r="423" spans="1:8" x14ac:dyDescent="0.3">
      <c r="A423" t="s">
        <v>1</v>
      </c>
      <c r="B423">
        <v>2000.1</v>
      </c>
      <c r="C423">
        <v>1032</v>
      </c>
      <c r="D423">
        <v>20.87</v>
      </c>
      <c r="E423">
        <v>129237</v>
      </c>
      <c r="F423">
        <v>8.6412530000000007</v>
      </c>
      <c r="G423">
        <v>170.1</v>
      </c>
      <c r="H423">
        <v>6.4684126984126982</v>
      </c>
    </row>
    <row r="424" spans="1:8" x14ac:dyDescent="0.3">
      <c r="A424" t="s">
        <v>1</v>
      </c>
      <c r="B424">
        <v>2000.2</v>
      </c>
      <c r="C424">
        <v>1005</v>
      </c>
      <c r="D424">
        <v>20.88</v>
      </c>
      <c r="E424">
        <v>130242</v>
      </c>
      <c r="F424">
        <v>8.4604700000000008</v>
      </c>
      <c r="G424">
        <v>171.43333333333334</v>
      </c>
      <c r="H424">
        <v>6.1849206349206343</v>
      </c>
    </row>
    <row r="425" spans="1:8" x14ac:dyDescent="0.3">
      <c r="A425" t="s">
        <v>1</v>
      </c>
      <c r="B425">
        <v>2000.3</v>
      </c>
      <c r="C425">
        <v>597</v>
      </c>
      <c r="D425">
        <v>20.96</v>
      </c>
      <c r="E425">
        <v>130839</v>
      </c>
      <c r="F425">
        <v>8.3760549999999991</v>
      </c>
      <c r="G425">
        <v>173</v>
      </c>
      <c r="H425">
        <v>5.8898412698412699</v>
      </c>
    </row>
    <row r="426" spans="1:8" x14ac:dyDescent="0.3">
      <c r="A426" t="s">
        <v>1</v>
      </c>
      <c r="B426">
        <v>2000.4</v>
      </c>
      <c r="C426">
        <v>192</v>
      </c>
      <c r="D426">
        <v>21.03</v>
      </c>
      <c r="E426">
        <v>131031</v>
      </c>
      <c r="F426">
        <v>8.476801</v>
      </c>
      <c r="G426">
        <v>174.23333333333332</v>
      </c>
      <c r="H426">
        <v>5.5706451612903232</v>
      </c>
    </row>
    <row r="427" spans="1:8" x14ac:dyDescent="0.3">
      <c r="A427" t="s">
        <v>1</v>
      </c>
      <c r="B427">
        <v>2001.1</v>
      </c>
      <c r="C427">
        <v>943</v>
      </c>
      <c r="D427">
        <v>20.28</v>
      </c>
      <c r="E427">
        <v>131974</v>
      </c>
      <c r="F427">
        <v>8.2713490000000007</v>
      </c>
      <c r="G427">
        <v>175.9</v>
      </c>
      <c r="H427">
        <v>5.0441935483870957</v>
      </c>
    </row>
    <row r="428" spans="1:8" x14ac:dyDescent="0.3">
      <c r="A428" t="s">
        <v>1</v>
      </c>
      <c r="B428">
        <v>2001.2</v>
      </c>
      <c r="C428">
        <v>755</v>
      </c>
      <c r="D428">
        <v>19.54</v>
      </c>
      <c r="E428">
        <v>132729</v>
      </c>
      <c r="F428">
        <v>8.4654249999999998</v>
      </c>
      <c r="G428">
        <v>177.13333333333333</v>
      </c>
      <c r="H428">
        <v>5.2761904761904761</v>
      </c>
    </row>
    <row r="429" spans="1:8" x14ac:dyDescent="0.3">
      <c r="A429" t="s">
        <v>1</v>
      </c>
      <c r="B429">
        <v>2001.3</v>
      </c>
      <c r="C429">
        <v>1314</v>
      </c>
      <c r="D429">
        <v>19.28</v>
      </c>
      <c r="E429">
        <v>134043</v>
      </c>
      <c r="F429">
        <v>8.5887360000000008</v>
      </c>
      <c r="G429">
        <v>177.63333333333333</v>
      </c>
      <c r="H429">
        <v>4.9957377049180334</v>
      </c>
    </row>
    <row r="430" spans="1:8" x14ac:dyDescent="0.3">
      <c r="A430" t="s">
        <v>1</v>
      </c>
      <c r="B430">
        <v>2001.4</v>
      </c>
      <c r="C430">
        <v>1738</v>
      </c>
      <c r="D430">
        <v>19.04</v>
      </c>
      <c r="E430">
        <v>135781</v>
      </c>
      <c r="F430">
        <v>8.916658</v>
      </c>
      <c r="G430">
        <v>177.5</v>
      </c>
      <c r="H430">
        <v>4.7620967741935463</v>
      </c>
    </row>
    <row r="431" spans="1:8" x14ac:dyDescent="0.3">
      <c r="A431" t="s">
        <v>1</v>
      </c>
      <c r="B431">
        <v>2002.1</v>
      </c>
      <c r="C431">
        <v>1545</v>
      </c>
      <c r="D431">
        <v>18.16</v>
      </c>
      <c r="E431">
        <v>137326</v>
      </c>
      <c r="F431">
        <v>8.9603560000000009</v>
      </c>
      <c r="G431">
        <v>178.06666666666666</v>
      </c>
      <c r="H431">
        <v>5.0791666666666666</v>
      </c>
    </row>
    <row r="432" spans="1:8" x14ac:dyDescent="0.3">
      <c r="A432" t="s">
        <v>1</v>
      </c>
      <c r="B432">
        <v>2002.2</v>
      </c>
      <c r="C432">
        <v>413</v>
      </c>
      <c r="D432">
        <v>17.32</v>
      </c>
      <c r="E432">
        <v>137739</v>
      </c>
      <c r="F432">
        <v>9.0201209999999996</v>
      </c>
      <c r="G432">
        <v>179.46666666666667</v>
      </c>
      <c r="H432">
        <v>5.1060937499999994</v>
      </c>
    </row>
    <row r="433" spans="1:8" x14ac:dyDescent="0.3">
      <c r="A433" t="s">
        <v>1</v>
      </c>
      <c r="B433">
        <v>2002.3</v>
      </c>
      <c r="C433">
        <v>171</v>
      </c>
      <c r="D433">
        <v>17.100000000000001</v>
      </c>
      <c r="E433">
        <v>137910</v>
      </c>
      <c r="F433">
        <v>9.2713429999999999</v>
      </c>
      <c r="G433">
        <v>180.43333333333334</v>
      </c>
      <c r="H433">
        <v>4.2723437499999992</v>
      </c>
    </row>
    <row r="434" spans="1:8" x14ac:dyDescent="0.3">
      <c r="A434" t="s">
        <v>1</v>
      </c>
      <c r="B434">
        <v>2002.4</v>
      </c>
      <c r="C434">
        <v>301</v>
      </c>
      <c r="D434">
        <v>16.63</v>
      </c>
      <c r="E434">
        <v>138211</v>
      </c>
      <c r="F434">
        <v>8.9498750000000005</v>
      </c>
      <c r="G434">
        <v>181.5</v>
      </c>
      <c r="H434">
        <v>4.0048387096774194</v>
      </c>
    </row>
    <row r="435" spans="1:8" x14ac:dyDescent="0.3">
      <c r="A435" t="s">
        <v>1</v>
      </c>
      <c r="B435">
        <v>2003.1</v>
      </c>
      <c r="C435">
        <v>311</v>
      </c>
      <c r="D435">
        <v>16.059999999999999</v>
      </c>
      <c r="E435">
        <v>138522</v>
      </c>
      <c r="F435">
        <v>8.8479840000000003</v>
      </c>
      <c r="G435">
        <v>183.36666666666667</v>
      </c>
      <c r="H435">
        <v>3.9199999999999995</v>
      </c>
    </row>
    <row r="436" spans="1:8" x14ac:dyDescent="0.3">
      <c r="A436" t="s">
        <v>1</v>
      </c>
      <c r="B436">
        <v>2003.2</v>
      </c>
      <c r="C436">
        <v>485</v>
      </c>
      <c r="D436">
        <v>16.18</v>
      </c>
      <c r="E436">
        <v>139007</v>
      </c>
      <c r="F436">
        <v>8.5818159999999999</v>
      </c>
      <c r="G436">
        <v>183.06666666666666</v>
      </c>
      <c r="H436">
        <v>3.6206349206349211</v>
      </c>
    </row>
    <row r="437" spans="1:8" x14ac:dyDescent="0.3">
      <c r="A437" t="s">
        <v>1</v>
      </c>
      <c r="B437">
        <v>2003.3</v>
      </c>
      <c r="C437">
        <v>160</v>
      </c>
      <c r="D437">
        <v>16.22</v>
      </c>
      <c r="E437">
        <v>139167</v>
      </c>
      <c r="F437">
        <v>8.1493889999999993</v>
      </c>
      <c r="G437">
        <v>184.43333333333334</v>
      </c>
      <c r="H437">
        <v>4.2276562499999981</v>
      </c>
    </row>
    <row r="438" spans="1:8" x14ac:dyDescent="0.3">
      <c r="A438" t="s">
        <v>1</v>
      </c>
      <c r="B438">
        <v>2003.4</v>
      </c>
      <c r="C438">
        <v>221</v>
      </c>
      <c r="D438">
        <v>16.53</v>
      </c>
      <c r="E438">
        <v>139388</v>
      </c>
      <c r="F438">
        <v>8.0673960000000005</v>
      </c>
      <c r="G438">
        <v>185.13333333333333</v>
      </c>
      <c r="H438">
        <v>4.2851612903225798</v>
      </c>
    </row>
    <row r="439" spans="1:8" x14ac:dyDescent="0.3">
      <c r="A439" t="s">
        <v>1</v>
      </c>
      <c r="B439">
        <v>2004.1</v>
      </c>
      <c r="C439">
        <v>24</v>
      </c>
      <c r="D439">
        <v>16.309999999999999</v>
      </c>
      <c r="E439">
        <v>139412</v>
      </c>
      <c r="F439">
        <v>7.8799409999999996</v>
      </c>
      <c r="G439">
        <v>186.7</v>
      </c>
      <c r="H439">
        <v>4.01</v>
      </c>
    </row>
    <row r="440" spans="1:8" x14ac:dyDescent="0.3">
      <c r="A440" t="s">
        <v>1</v>
      </c>
      <c r="B440">
        <v>2004.2</v>
      </c>
      <c r="C440">
        <v>311</v>
      </c>
      <c r="D440">
        <v>16.23</v>
      </c>
      <c r="E440">
        <v>139723</v>
      </c>
      <c r="F440">
        <v>7.636755</v>
      </c>
      <c r="G440">
        <v>188.16666666666666</v>
      </c>
      <c r="H440">
        <v>4.597096774193548</v>
      </c>
    </row>
    <row r="441" spans="1:8" x14ac:dyDescent="0.3">
      <c r="A441" t="s">
        <v>1</v>
      </c>
      <c r="B441">
        <v>2004.3</v>
      </c>
      <c r="C441">
        <v>111</v>
      </c>
      <c r="D441">
        <v>16.16</v>
      </c>
      <c r="E441">
        <v>139834</v>
      </c>
      <c r="F441">
        <v>7.48672</v>
      </c>
      <c r="G441">
        <v>189.36666666666667</v>
      </c>
      <c r="H441">
        <v>4.3014062500000003</v>
      </c>
    </row>
    <row r="442" spans="1:8" x14ac:dyDescent="0.3">
      <c r="A442" t="s">
        <v>1</v>
      </c>
      <c r="B442">
        <v>2004.4</v>
      </c>
      <c r="C442">
        <v>168</v>
      </c>
      <c r="D442">
        <v>16.079999999999998</v>
      </c>
      <c r="E442">
        <v>140002</v>
      </c>
      <c r="F442">
        <v>7.3494619999999999</v>
      </c>
      <c r="G442">
        <v>191.4</v>
      </c>
      <c r="H442">
        <v>4.1758064516129041</v>
      </c>
    </row>
    <row r="443" spans="1:8" x14ac:dyDescent="0.3">
      <c r="A443" t="s">
        <v>1</v>
      </c>
      <c r="B443">
        <v>2005.1</v>
      </c>
      <c r="C443">
        <v>131</v>
      </c>
      <c r="D443">
        <v>16.079999999999998</v>
      </c>
      <c r="E443">
        <v>140133</v>
      </c>
      <c r="F443">
        <v>7.3459219999999998</v>
      </c>
      <c r="G443">
        <v>192.36666666666667</v>
      </c>
      <c r="H443">
        <v>4.3036065573770488</v>
      </c>
    </row>
    <row r="444" spans="1:8" x14ac:dyDescent="0.3">
      <c r="A444" t="s">
        <v>1</v>
      </c>
      <c r="B444">
        <v>2005.2</v>
      </c>
      <c r="C444">
        <v>41</v>
      </c>
      <c r="D444">
        <v>16.100000000000001</v>
      </c>
      <c r="E444">
        <v>140174</v>
      </c>
      <c r="F444">
        <v>7.1428099999999999</v>
      </c>
      <c r="G444">
        <v>193.66666666666666</v>
      </c>
      <c r="H444">
        <v>4.1585937500000005</v>
      </c>
    </row>
    <row r="445" spans="1:8" x14ac:dyDescent="0.3">
      <c r="A445" t="s">
        <v>1</v>
      </c>
      <c r="B445">
        <v>2005.3</v>
      </c>
      <c r="C445">
        <v>41</v>
      </c>
      <c r="D445">
        <v>16.190000000000001</v>
      </c>
      <c r="E445">
        <v>140215</v>
      </c>
      <c r="F445">
        <v>6.8912269999999998</v>
      </c>
      <c r="G445">
        <v>196.6</v>
      </c>
      <c r="H445">
        <v>4.2151562499999997</v>
      </c>
    </row>
    <row r="446" spans="1:8" x14ac:dyDescent="0.3">
      <c r="A446" t="s">
        <v>1</v>
      </c>
      <c r="B446">
        <v>2005.4</v>
      </c>
      <c r="C446">
        <v>199</v>
      </c>
      <c r="D446">
        <v>16.3</v>
      </c>
      <c r="E446">
        <v>140414</v>
      </c>
      <c r="F446">
        <v>6.645931</v>
      </c>
      <c r="G446">
        <v>198.43333333333334</v>
      </c>
      <c r="H446">
        <v>4.4881967213114757</v>
      </c>
    </row>
    <row r="447" spans="1:8" x14ac:dyDescent="0.3">
      <c r="A447" t="s">
        <v>1</v>
      </c>
      <c r="B447">
        <v>2006.1</v>
      </c>
      <c r="C447">
        <v>580</v>
      </c>
      <c r="D447">
        <v>16.82</v>
      </c>
      <c r="E447">
        <v>140994</v>
      </c>
      <c r="F447">
        <v>6.2943090000000002</v>
      </c>
      <c r="G447">
        <v>199.46666666666667</v>
      </c>
      <c r="H447">
        <v>4.5770967741935502</v>
      </c>
    </row>
    <row r="448" spans="1:8" x14ac:dyDescent="0.3">
      <c r="A448" t="s">
        <v>1</v>
      </c>
      <c r="B448">
        <v>2006.2</v>
      </c>
      <c r="C448">
        <v>470</v>
      </c>
      <c r="D448">
        <v>17.11</v>
      </c>
      <c r="E448">
        <v>141464</v>
      </c>
      <c r="F448">
        <v>6.3125989999999996</v>
      </c>
      <c r="G448">
        <v>201.26666666666668</v>
      </c>
      <c r="H448">
        <v>5.0726984126984132</v>
      </c>
    </row>
    <row r="449" spans="1:8" x14ac:dyDescent="0.3">
      <c r="A449" t="s">
        <v>1</v>
      </c>
      <c r="B449">
        <v>2006.3</v>
      </c>
      <c r="C449">
        <v>867</v>
      </c>
      <c r="D449">
        <v>17.420000000000002</v>
      </c>
      <c r="E449">
        <v>142331</v>
      </c>
      <c r="F449">
        <v>6.1756950000000002</v>
      </c>
      <c r="G449">
        <v>203.16666666666666</v>
      </c>
      <c r="H449">
        <v>4.8934920634920651</v>
      </c>
    </row>
    <row r="450" spans="1:8" x14ac:dyDescent="0.3">
      <c r="A450" t="s">
        <v>1</v>
      </c>
      <c r="B450">
        <v>2006.4</v>
      </c>
      <c r="C450">
        <v>479</v>
      </c>
      <c r="D450">
        <v>17.72</v>
      </c>
      <c r="E450">
        <v>142810</v>
      </c>
      <c r="F450">
        <v>6.0807989999999998</v>
      </c>
      <c r="G450">
        <v>202.33333333333334</v>
      </c>
      <c r="H450">
        <v>4.6306451612903237</v>
      </c>
    </row>
    <row r="451" spans="1:8" x14ac:dyDescent="0.3">
      <c r="A451" t="s">
        <v>1</v>
      </c>
      <c r="B451">
        <v>2007.1</v>
      </c>
      <c r="C451">
        <v>350</v>
      </c>
      <c r="D451">
        <v>18.22</v>
      </c>
      <c r="E451">
        <v>143160</v>
      </c>
      <c r="F451">
        <v>5.9653809999999998</v>
      </c>
      <c r="G451">
        <v>204.31700000000001</v>
      </c>
      <c r="H451">
        <v>4.6790322580645167</v>
      </c>
    </row>
    <row r="452" spans="1:8" x14ac:dyDescent="0.3">
      <c r="A452" t="s">
        <v>1</v>
      </c>
      <c r="B452">
        <v>2007.2</v>
      </c>
      <c r="C452">
        <v>511</v>
      </c>
      <c r="D452">
        <v>18.27</v>
      </c>
      <c r="E452">
        <v>143671</v>
      </c>
      <c r="F452">
        <v>6.0375079999999999</v>
      </c>
      <c r="G452">
        <v>206.631</v>
      </c>
      <c r="H452">
        <v>4.8460937499999988</v>
      </c>
    </row>
    <row r="453" spans="1:8" x14ac:dyDescent="0.3">
      <c r="A453" t="s">
        <v>1</v>
      </c>
      <c r="B453">
        <v>2007.3</v>
      </c>
      <c r="C453">
        <v>900</v>
      </c>
      <c r="D453">
        <v>18.5</v>
      </c>
      <c r="E453">
        <v>144571</v>
      </c>
      <c r="F453">
        <v>6.0893329999999999</v>
      </c>
      <c r="G453">
        <v>207.93899999999999</v>
      </c>
      <c r="H453">
        <v>4.7384126984126951</v>
      </c>
    </row>
    <row r="454" spans="1:8" x14ac:dyDescent="0.3">
      <c r="A454" t="s">
        <v>1</v>
      </c>
      <c r="B454">
        <v>2007.4</v>
      </c>
      <c r="C454">
        <v>618</v>
      </c>
      <c r="D454">
        <v>18.71</v>
      </c>
      <c r="E454">
        <v>145189</v>
      </c>
      <c r="F454">
        <v>6.0118220000000004</v>
      </c>
      <c r="G454">
        <v>210.48966666666666</v>
      </c>
      <c r="H454">
        <v>4.2666129032258064</v>
      </c>
    </row>
    <row r="455" spans="1:8" x14ac:dyDescent="0.3">
      <c r="A455" t="s">
        <v>1</v>
      </c>
      <c r="B455">
        <v>2008.1</v>
      </c>
      <c r="C455">
        <v>1106</v>
      </c>
      <c r="D455">
        <v>19.170000000000002</v>
      </c>
      <c r="E455">
        <v>146295</v>
      </c>
      <c r="F455">
        <v>5.9383400000000002</v>
      </c>
      <c r="G455">
        <v>212.76966666666667</v>
      </c>
      <c r="H455">
        <v>3.6652459016393442</v>
      </c>
    </row>
    <row r="456" spans="1:8" x14ac:dyDescent="0.3">
      <c r="A456" t="s">
        <v>1</v>
      </c>
      <c r="B456">
        <v>2008.2</v>
      </c>
      <c r="C456">
        <v>105</v>
      </c>
      <c r="D456">
        <v>19.510000000000002</v>
      </c>
      <c r="E456">
        <v>146400</v>
      </c>
      <c r="F456">
        <v>5.4489239999999999</v>
      </c>
      <c r="G456">
        <v>215.53766666666667</v>
      </c>
      <c r="H456">
        <v>3.8815624999999998</v>
      </c>
    </row>
    <row r="457" spans="1:8" x14ac:dyDescent="0.3">
      <c r="A457" t="s">
        <v>1</v>
      </c>
      <c r="B457">
        <v>2008.3</v>
      </c>
      <c r="C457">
        <v>546</v>
      </c>
      <c r="D457">
        <v>19.64</v>
      </c>
      <c r="E457">
        <v>146946</v>
      </c>
      <c r="F457">
        <v>5.0869499999999999</v>
      </c>
      <c r="G457">
        <v>218.86099999999999</v>
      </c>
      <c r="H457">
        <v>3.8621875000000001</v>
      </c>
    </row>
    <row r="458" spans="1:8" x14ac:dyDescent="0.3">
      <c r="A458" t="s">
        <v>1</v>
      </c>
      <c r="B458">
        <v>2008.4</v>
      </c>
      <c r="C458">
        <v>1390</v>
      </c>
      <c r="D458">
        <v>19.670000000000002</v>
      </c>
      <c r="E458">
        <v>148336</v>
      </c>
      <c r="F458">
        <v>5.042719</v>
      </c>
      <c r="G458">
        <v>213.84866666666667</v>
      </c>
      <c r="H458">
        <v>3.2346774193548384</v>
      </c>
    </row>
    <row r="459" spans="1:8" x14ac:dyDescent="0.3">
      <c r="A459" t="s">
        <v>1</v>
      </c>
      <c r="B459">
        <v>2009.1</v>
      </c>
      <c r="C459">
        <v>704</v>
      </c>
      <c r="D459">
        <v>19.190000000000001</v>
      </c>
      <c r="E459">
        <v>149040</v>
      </c>
      <c r="F459">
        <v>5.2557429999999998</v>
      </c>
      <c r="G459">
        <v>212.37766666666667</v>
      </c>
      <c r="H459">
        <v>2.7362295081967209</v>
      </c>
    </row>
    <row r="460" spans="1:8" x14ac:dyDescent="0.3">
      <c r="A460" t="s">
        <v>1</v>
      </c>
      <c r="B460">
        <v>2009.2</v>
      </c>
      <c r="C460">
        <v>491</v>
      </c>
      <c r="D460">
        <v>18.89</v>
      </c>
      <c r="E460">
        <v>149531</v>
      </c>
      <c r="F460">
        <v>5.7166930000000002</v>
      </c>
      <c r="G460">
        <v>213.50700000000001</v>
      </c>
      <c r="H460">
        <v>3.3207936507936511</v>
      </c>
    </row>
    <row r="461" spans="1:8" x14ac:dyDescent="0.3">
      <c r="A461" t="s">
        <v>1</v>
      </c>
      <c r="B461">
        <v>2009.3</v>
      </c>
      <c r="C461">
        <v>429</v>
      </c>
      <c r="D461">
        <v>18.5</v>
      </c>
      <c r="E461">
        <v>149960</v>
      </c>
      <c r="F461">
        <v>6.3018859999999997</v>
      </c>
      <c r="G461">
        <v>215.34399999999999</v>
      </c>
      <c r="H461">
        <v>3.5178124999999998</v>
      </c>
    </row>
    <row r="462" spans="1:8" x14ac:dyDescent="0.3">
      <c r="A462" t="s">
        <v>1</v>
      </c>
      <c r="B462">
        <v>2009.4</v>
      </c>
      <c r="C462">
        <v>99</v>
      </c>
      <c r="D462">
        <v>18.28</v>
      </c>
      <c r="E462">
        <v>150059</v>
      </c>
      <c r="F462">
        <v>6.5409709999999999</v>
      </c>
      <c r="G462">
        <v>217.03</v>
      </c>
      <c r="H462">
        <v>3.464032258064516</v>
      </c>
    </row>
    <row r="463" spans="1:8" x14ac:dyDescent="0.3">
      <c r="A463" t="s">
        <v>1</v>
      </c>
      <c r="B463">
        <v>2010.1</v>
      </c>
      <c r="C463">
        <v>12</v>
      </c>
      <c r="D463">
        <v>18.100000000000001</v>
      </c>
      <c r="E463">
        <v>150071</v>
      </c>
      <c r="F463">
        <v>6.6551920000000004</v>
      </c>
      <c r="G463">
        <v>217.374</v>
      </c>
      <c r="H463">
        <v>3.7178688524590173</v>
      </c>
    </row>
    <row r="464" spans="1:8" x14ac:dyDescent="0.3">
      <c r="A464" t="s">
        <v>1</v>
      </c>
      <c r="B464">
        <v>2010.2</v>
      </c>
      <c r="C464">
        <v>465</v>
      </c>
      <c r="D464">
        <v>17.89</v>
      </c>
      <c r="E464">
        <v>150536</v>
      </c>
      <c r="F464">
        <v>6.6559990000000004</v>
      </c>
      <c r="G464">
        <v>217.29733333333334</v>
      </c>
      <c r="H464">
        <v>3.4924999999999993</v>
      </c>
    </row>
    <row r="465" spans="1:8" x14ac:dyDescent="0.3">
      <c r="A465" t="s">
        <v>1</v>
      </c>
      <c r="B465">
        <v>2010.3</v>
      </c>
      <c r="C465">
        <v>18</v>
      </c>
      <c r="D465">
        <v>17.77</v>
      </c>
      <c r="E465">
        <v>150554</v>
      </c>
      <c r="F465">
        <v>6.6521379999999999</v>
      </c>
      <c r="G465">
        <v>217.93433333333334</v>
      </c>
      <c r="H465">
        <v>2.7845312500000015</v>
      </c>
    </row>
    <row r="466" spans="1:8" x14ac:dyDescent="0.3">
      <c r="A466" t="s">
        <v>1</v>
      </c>
      <c r="B466">
        <v>2010.4</v>
      </c>
      <c r="C466">
        <v>0</v>
      </c>
      <c r="D466">
        <v>17.68</v>
      </c>
      <c r="E466">
        <v>150554</v>
      </c>
      <c r="F466">
        <v>6.5899089999999996</v>
      </c>
      <c r="G466">
        <v>219.69900000000001</v>
      </c>
      <c r="H466">
        <v>2.8783870967741949</v>
      </c>
    </row>
    <row r="467" spans="1:8" x14ac:dyDescent="0.3">
      <c r="A467" t="s">
        <v>1</v>
      </c>
      <c r="B467">
        <v>2011.1</v>
      </c>
      <c r="C467">
        <v>24</v>
      </c>
      <c r="D467">
        <v>18.07</v>
      </c>
      <c r="E467">
        <v>150578</v>
      </c>
      <c r="F467">
        <v>6.431476</v>
      </c>
      <c r="G467">
        <v>222.04366666666667</v>
      </c>
      <c r="H467">
        <v>3.4574193548387107</v>
      </c>
    </row>
    <row r="468" spans="1:8" x14ac:dyDescent="0.3">
      <c r="A468" t="s">
        <v>1</v>
      </c>
      <c r="B468">
        <v>2011.2</v>
      </c>
      <c r="C468">
        <v>59</v>
      </c>
      <c r="D468">
        <v>17.43</v>
      </c>
      <c r="E468">
        <v>150637</v>
      </c>
      <c r="F468">
        <v>6.2583799999999998</v>
      </c>
      <c r="G468">
        <v>224.56833333333333</v>
      </c>
      <c r="H468">
        <v>3.201428571428572</v>
      </c>
    </row>
    <row r="469" spans="1:8" x14ac:dyDescent="0.3">
      <c r="A469" t="s">
        <v>1</v>
      </c>
      <c r="B469">
        <v>2011.3</v>
      </c>
      <c r="C469">
        <v>10</v>
      </c>
      <c r="D469">
        <v>18.29</v>
      </c>
      <c r="E469">
        <v>150647</v>
      </c>
      <c r="F469">
        <v>5.9919070000000003</v>
      </c>
      <c r="G469">
        <v>226.03266666666667</v>
      </c>
      <c r="H469">
        <v>2.4142187500000003</v>
      </c>
    </row>
    <row r="470" spans="1:8" x14ac:dyDescent="0.3">
      <c r="A470" t="s">
        <v>1</v>
      </c>
      <c r="B470">
        <v>2011.4</v>
      </c>
      <c r="C470">
        <v>0</v>
      </c>
      <c r="D470">
        <v>17.78</v>
      </c>
      <c r="E470">
        <v>150647</v>
      </c>
      <c r="F470">
        <v>5.8391690000000001</v>
      </c>
      <c r="G470">
        <v>227.04733333333334</v>
      </c>
      <c r="H470">
        <v>2.0467213114754093</v>
      </c>
    </row>
    <row r="471" spans="1:8" x14ac:dyDescent="0.3">
      <c r="A471" t="s">
        <v>1</v>
      </c>
      <c r="B471">
        <v>2012.1</v>
      </c>
      <c r="C471">
        <v>143</v>
      </c>
      <c r="D471">
        <v>18.100000000000001</v>
      </c>
      <c r="E471">
        <v>150790</v>
      </c>
      <c r="F471">
        <v>5.8134629999999996</v>
      </c>
      <c r="G471">
        <v>228.32599999999999</v>
      </c>
      <c r="H471">
        <v>2.0400000000000005</v>
      </c>
    </row>
    <row r="472" spans="1:8" x14ac:dyDescent="0.3">
      <c r="A472" t="s">
        <v>1</v>
      </c>
      <c r="B472">
        <v>2012.2</v>
      </c>
      <c r="C472">
        <v>0</v>
      </c>
      <c r="D472">
        <v>17.84</v>
      </c>
      <c r="E472">
        <v>150790</v>
      </c>
      <c r="F472">
        <v>5.9112580000000001</v>
      </c>
      <c r="G472">
        <v>228.80799999999999</v>
      </c>
      <c r="H472">
        <v>1.8257812499999995</v>
      </c>
    </row>
    <row r="473" spans="1:8" x14ac:dyDescent="0.3">
      <c r="A473" t="s">
        <v>1</v>
      </c>
      <c r="B473">
        <v>2012.3</v>
      </c>
      <c r="C473">
        <v>352</v>
      </c>
      <c r="D473">
        <v>18.88</v>
      </c>
      <c r="E473">
        <v>151142</v>
      </c>
      <c r="F473">
        <v>5.9212300000000004</v>
      </c>
      <c r="G473">
        <v>229.84100000000001</v>
      </c>
      <c r="H473">
        <v>1.6412698412698408</v>
      </c>
    </row>
    <row r="474" spans="1:8" x14ac:dyDescent="0.3">
      <c r="A474" t="s">
        <v>1</v>
      </c>
      <c r="B474">
        <v>2012.4</v>
      </c>
      <c r="C474">
        <v>120</v>
      </c>
      <c r="D474">
        <v>18.309999999999999</v>
      </c>
      <c r="E474">
        <v>151262</v>
      </c>
      <c r="F474">
        <v>5.9173429999999998</v>
      </c>
      <c r="G474">
        <v>231.36933333333334</v>
      </c>
      <c r="H474">
        <v>1.7070491803278682</v>
      </c>
    </row>
    <row r="475" spans="1:8" x14ac:dyDescent="0.3">
      <c r="A475" t="s">
        <v>1</v>
      </c>
      <c r="B475">
        <v>2013.1</v>
      </c>
      <c r="C475">
        <v>75</v>
      </c>
      <c r="D475">
        <v>18.579999999999998</v>
      </c>
      <c r="E475">
        <v>151337</v>
      </c>
      <c r="F475">
        <v>5.8012639999999998</v>
      </c>
      <c r="G475">
        <v>232.29933333333332</v>
      </c>
      <c r="H475">
        <v>1.9510000000000003</v>
      </c>
    </row>
    <row r="476" spans="1:8" x14ac:dyDescent="0.3">
      <c r="A476" t="s">
        <v>1</v>
      </c>
      <c r="B476">
        <v>2013.2</v>
      </c>
      <c r="C476">
        <v>220</v>
      </c>
      <c r="D476">
        <v>19.23</v>
      </c>
      <c r="E476">
        <v>151557</v>
      </c>
      <c r="F476">
        <v>5.7605589999999998</v>
      </c>
      <c r="G476">
        <v>232.04499999999999</v>
      </c>
      <c r="H476">
        <v>1.9862499999999992</v>
      </c>
    </row>
    <row r="477" spans="1:8" x14ac:dyDescent="0.3">
      <c r="A477" t="s">
        <v>1</v>
      </c>
      <c r="B477">
        <v>2013.3</v>
      </c>
      <c r="C477">
        <v>10</v>
      </c>
      <c r="D477">
        <v>19.09</v>
      </c>
      <c r="E477">
        <v>151567</v>
      </c>
      <c r="F477">
        <v>5.7827099999999998</v>
      </c>
      <c r="G477">
        <v>233.3</v>
      </c>
      <c r="H477">
        <v>2.7065624999999995</v>
      </c>
    </row>
    <row r="478" spans="1:8" x14ac:dyDescent="0.3">
      <c r="A478" t="s">
        <v>1</v>
      </c>
      <c r="B478">
        <v>2013.4</v>
      </c>
      <c r="C478">
        <v>0</v>
      </c>
      <c r="D478">
        <v>19.77</v>
      </c>
      <c r="E478">
        <v>151567</v>
      </c>
      <c r="F478">
        <v>5.9019550000000001</v>
      </c>
      <c r="G478">
        <v>234.16266666666667</v>
      </c>
      <c r="H478">
        <v>2.7441935483870958</v>
      </c>
    </row>
    <row r="479" spans="1:8" x14ac:dyDescent="0.3">
      <c r="A479" t="s">
        <v>1</v>
      </c>
      <c r="B479">
        <v>2014.1</v>
      </c>
      <c r="C479">
        <v>214</v>
      </c>
      <c r="D479">
        <v>20.47</v>
      </c>
      <c r="E479">
        <v>151781</v>
      </c>
      <c r="F479">
        <v>5.9586389999999998</v>
      </c>
      <c r="G479">
        <v>235.62100000000001</v>
      </c>
      <c r="H479">
        <v>2.7654098360655737</v>
      </c>
    </row>
    <row r="480" spans="1:8" x14ac:dyDescent="0.3">
      <c r="A480" t="s">
        <v>1</v>
      </c>
      <c r="B480">
        <v>2014.2</v>
      </c>
      <c r="C480">
        <v>919</v>
      </c>
      <c r="D480">
        <v>21.15</v>
      </c>
      <c r="E480">
        <v>152700</v>
      </c>
      <c r="F480">
        <v>6.0187619999999997</v>
      </c>
      <c r="G480">
        <v>236.87233333333333</v>
      </c>
      <c r="H480">
        <v>2.6209523809523816</v>
      </c>
    </row>
    <row r="481" spans="1:8" x14ac:dyDescent="0.3">
      <c r="A481" t="s">
        <v>1</v>
      </c>
      <c r="B481">
        <v>2014.3</v>
      </c>
      <c r="C481">
        <v>864</v>
      </c>
      <c r="D481">
        <v>20.97</v>
      </c>
      <c r="E481">
        <v>153564</v>
      </c>
      <c r="F481">
        <v>5.9897369999999999</v>
      </c>
      <c r="G481">
        <v>237.47833333333332</v>
      </c>
      <c r="H481">
        <v>2.4995312500000004</v>
      </c>
    </row>
    <row r="482" spans="1:8" x14ac:dyDescent="0.3">
      <c r="A482" t="s">
        <v>1</v>
      </c>
      <c r="B482">
        <v>2014.4</v>
      </c>
      <c r="C482">
        <v>385</v>
      </c>
      <c r="D482">
        <v>21.66</v>
      </c>
      <c r="E482">
        <v>153949</v>
      </c>
      <c r="F482">
        <v>5.912293</v>
      </c>
      <c r="G482">
        <v>236.88833333333332</v>
      </c>
      <c r="H482">
        <v>2.2759677419354838</v>
      </c>
    </row>
    <row r="483" spans="1:8" x14ac:dyDescent="0.3">
      <c r="A483" t="s">
        <v>1</v>
      </c>
      <c r="B483">
        <v>2015.1</v>
      </c>
      <c r="C483">
        <v>704</v>
      </c>
      <c r="D483">
        <v>22.16</v>
      </c>
      <c r="E483">
        <v>154653</v>
      </c>
      <c r="F483">
        <v>5.8351980000000001</v>
      </c>
      <c r="G483">
        <v>235.35499999999999</v>
      </c>
      <c r="H483">
        <v>1.9688524590163936</v>
      </c>
    </row>
    <row r="484" spans="1:8" x14ac:dyDescent="0.3">
      <c r="A484" t="s">
        <v>1</v>
      </c>
      <c r="B484">
        <v>2015.2</v>
      </c>
      <c r="C484">
        <v>536</v>
      </c>
      <c r="D484">
        <v>22.1</v>
      </c>
      <c r="E484">
        <v>155189</v>
      </c>
      <c r="F484">
        <v>5.7008010000000002</v>
      </c>
      <c r="G484">
        <v>236.96</v>
      </c>
      <c r="H484">
        <v>2.1643750000000002</v>
      </c>
    </row>
    <row r="485" spans="1:8" x14ac:dyDescent="0.3">
      <c r="A485" t="s">
        <v>1</v>
      </c>
      <c r="B485">
        <v>2015.3</v>
      </c>
      <c r="C485">
        <v>1276</v>
      </c>
      <c r="D485">
        <v>22.54</v>
      </c>
      <c r="E485">
        <v>156465</v>
      </c>
      <c r="F485">
        <v>5.6069170000000002</v>
      </c>
      <c r="G485">
        <v>237.85499999999999</v>
      </c>
      <c r="H485">
        <v>2.223125</v>
      </c>
    </row>
    <row r="486" spans="1:8" x14ac:dyDescent="0.3">
      <c r="A486" t="s">
        <v>1</v>
      </c>
      <c r="B486">
        <v>2015.4</v>
      </c>
      <c r="C486">
        <v>1075</v>
      </c>
      <c r="D486">
        <v>22.94</v>
      </c>
      <c r="E486">
        <v>157540</v>
      </c>
      <c r="F486">
        <v>5.5717590000000001</v>
      </c>
      <c r="G486">
        <v>237.83699999999999</v>
      </c>
      <c r="H486">
        <v>2.1904838709677414</v>
      </c>
    </row>
    <row r="487" spans="1:8" x14ac:dyDescent="0.3">
      <c r="A487" t="s">
        <v>1</v>
      </c>
      <c r="B487">
        <v>2016.1</v>
      </c>
      <c r="C487">
        <v>626</v>
      </c>
      <c r="D487">
        <v>23.15</v>
      </c>
      <c r="E487">
        <v>158166</v>
      </c>
      <c r="F487">
        <v>5.6148210000000001</v>
      </c>
      <c r="G487">
        <v>237.68933333333334</v>
      </c>
      <c r="H487">
        <v>1.9142619999999999</v>
      </c>
    </row>
    <row r="488" spans="1:8" x14ac:dyDescent="0.3">
      <c r="A488" t="s">
        <v>1</v>
      </c>
      <c r="B488">
        <v>2016.2</v>
      </c>
      <c r="C488">
        <v>174</v>
      </c>
      <c r="D488">
        <v>23.11</v>
      </c>
      <c r="E488">
        <v>158340</v>
      </c>
      <c r="F488">
        <v>5.6039760000000003</v>
      </c>
      <c r="G488">
        <v>239.59033333333332</v>
      </c>
      <c r="H488">
        <v>1.750156</v>
      </c>
    </row>
    <row r="489" spans="1:8" x14ac:dyDescent="0.3">
      <c r="A489" t="s">
        <v>1</v>
      </c>
      <c r="B489">
        <v>2016.3</v>
      </c>
      <c r="C489">
        <v>1359</v>
      </c>
      <c r="D489">
        <v>23.45</v>
      </c>
      <c r="E489">
        <v>159699</v>
      </c>
      <c r="F489">
        <v>5.5490820000000003</v>
      </c>
      <c r="G489">
        <v>240.60733333333334</v>
      </c>
      <c r="H489">
        <v>1.5643750000000001</v>
      </c>
    </row>
    <row r="490" spans="1:8" x14ac:dyDescent="0.3">
      <c r="A490" t="s">
        <v>1</v>
      </c>
      <c r="B490">
        <v>2016.4</v>
      </c>
      <c r="C490">
        <v>439</v>
      </c>
      <c r="D490">
        <v>23.48</v>
      </c>
      <c r="E490">
        <v>160138</v>
      </c>
      <c r="F490">
        <v>5.2898389999999997</v>
      </c>
      <c r="G490">
        <v>242.13466666666667</v>
      </c>
      <c r="H490">
        <v>2.1386889999999998</v>
      </c>
    </row>
    <row r="491" spans="1:8" x14ac:dyDescent="0.3">
      <c r="A491" t="s">
        <v>1</v>
      </c>
      <c r="B491">
        <v>2017.1</v>
      </c>
      <c r="C491">
        <v>1362</v>
      </c>
      <c r="D491">
        <v>23.77</v>
      </c>
      <c r="E491">
        <v>161500</v>
      </c>
      <c r="F491">
        <v>5.039917</v>
      </c>
      <c r="G491">
        <v>243.83866666666665</v>
      </c>
      <c r="H491">
        <v>2.4466130000000001</v>
      </c>
    </row>
    <row r="492" spans="1:8" x14ac:dyDescent="0.3">
      <c r="A492" t="s">
        <v>1</v>
      </c>
      <c r="B492">
        <v>2017.2</v>
      </c>
      <c r="C492">
        <v>601</v>
      </c>
      <c r="D492">
        <v>23.98</v>
      </c>
      <c r="E492">
        <v>162101</v>
      </c>
      <c r="F492">
        <v>4.8113109999999999</v>
      </c>
      <c r="G492">
        <v>244.12</v>
      </c>
      <c r="H492">
        <v>2.2609520000000001</v>
      </c>
    </row>
    <row r="493" spans="1:8" x14ac:dyDescent="0.3">
      <c r="A493" t="s">
        <v>1</v>
      </c>
      <c r="B493">
        <v>2017.3</v>
      </c>
      <c r="C493">
        <v>656</v>
      </c>
      <c r="D493">
        <v>24.05</v>
      </c>
      <c r="E493">
        <v>162757</v>
      </c>
      <c r="F493">
        <v>4.6972750000000003</v>
      </c>
      <c r="G493">
        <v>245.28700000000001</v>
      </c>
      <c r="H493">
        <v>2.2414290000000001</v>
      </c>
    </row>
    <row r="494" spans="1:8" x14ac:dyDescent="0.3">
      <c r="A494" t="s">
        <v>6</v>
      </c>
      <c r="B494">
        <v>1987.1</v>
      </c>
      <c r="C494">
        <v>2627</v>
      </c>
      <c r="D494">
        <v>35.85</v>
      </c>
      <c r="E494">
        <v>412387</v>
      </c>
      <c r="F494">
        <v>7.8389740000000003</v>
      </c>
      <c r="G494">
        <v>111.8</v>
      </c>
      <c r="H494">
        <v>7.1954098360655747</v>
      </c>
    </row>
    <row r="495" spans="1:8" x14ac:dyDescent="0.3">
      <c r="A495" t="s">
        <v>6</v>
      </c>
      <c r="B495">
        <v>1987.2</v>
      </c>
      <c r="C495">
        <v>1286</v>
      </c>
      <c r="D495">
        <v>36.520000000000003</v>
      </c>
      <c r="E495">
        <v>413673</v>
      </c>
      <c r="F495">
        <v>7.8726609999999999</v>
      </c>
      <c r="G495">
        <v>113.06666666666666</v>
      </c>
      <c r="H495">
        <v>8.3426984126984127</v>
      </c>
    </row>
    <row r="496" spans="1:8" x14ac:dyDescent="0.3">
      <c r="A496" t="s">
        <v>6</v>
      </c>
      <c r="B496">
        <v>1987.3</v>
      </c>
      <c r="C496">
        <v>3334</v>
      </c>
      <c r="D496">
        <v>37.020000000000003</v>
      </c>
      <c r="E496">
        <v>417007</v>
      </c>
      <c r="F496">
        <v>7.8685780000000003</v>
      </c>
      <c r="G496">
        <v>114.26666666666667</v>
      </c>
      <c r="H496">
        <v>8.8696874999999995</v>
      </c>
    </row>
    <row r="497" spans="1:8" x14ac:dyDescent="0.3">
      <c r="A497" t="s">
        <v>6</v>
      </c>
      <c r="B497">
        <v>1987.4</v>
      </c>
      <c r="C497">
        <v>5300</v>
      </c>
      <c r="D497">
        <v>37.020000000000003</v>
      </c>
      <c r="E497">
        <v>422307</v>
      </c>
      <c r="F497">
        <v>7.605213</v>
      </c>
      <c r="G497">
        <v>115.33333333333333</v>
      </c>
      <c r="H497">
        <v>9.129032258064516</v>
      </c>
    </row>
    <row r="498" spans="1:8" x14ac:dyDescent="0.3">
      <c r="A498" t="s">
        <v>6</v>
      </c>
      <c r="B498">
        <v>1988.1</v>
      </c>
      <c r="C498">
        <v>3826</v>
      </c>
      <c r="D498">
        <v>37.770000000000003</v>
      </c>
      <c r="E498">
        <v>426133</v>
      </c>
      <c r="F498">
        <v>7.5545410000000004</v>
      </c>
      <c r="G498">
        <v>116.23333333333333</v>
      </c>
      <c r="H498">
        <v>8.4109677419354885</v>
      </c>
    </row>
    <row r="499" spans="1:8" x14ac:dyDescent="0.3">
      <c r="A499" t="s">
        <v>6</v>
      </c>
      <c r="B499">
        <v>1988.2</v>
      </c>
      <c r="C499">
        <v>2201</v>
      </c>
      <c r="D499">
        <v>38.270000000000003</v>
      </c>
      <c r="E499">
        <v>428334</v>
      </c>
      <c r="F499">
        <v>7.4162249999999998</v>
      </c>
      <c r="G499">
        <v>117.56666666666666</v>
      </c>
      <c r="H499">
        <v>8.9128571428571437</v>
      </c>
    </row>
    <row r="500" spans="1:8" x14ac:dyDescent="0.3">
      <c r="A500" t="s">
        <v>6</v>
      </c>
      <c r="B500">
        <v>1988.3</v>
      </c>
      <c r="C500">
        <v>1771</v>
      </c>
      <c r="D500">
        <v>38.33</v>
      </c>
      <c r="E500">
        <v>430105</v>
      </c>
      <c r="F500">
        <v>7.2506389999999996</v>
      </c>
      <c r="G500">
        <v>119</v>
      </c>
      <c r="H500">
        <v>9.1035937500000035</v>
      </c>
    </row>
    <row r="501" spans="1:8" x14ac:dyDescent="0.3">
      <c r="A501" t="s">
        <v>6</v>
      </c>
      <c r="B501">
        <v>1988.4</v>
      </c>
      <c r="C501">
        <v>2673</v>
      </c>
      <c r="D501">
        <v>38.17</v>
      </c>
      <c r="E501">
        <v>432778</v>
      </c>
      <c r="F501">
        <v>7.300046</v>
      </c>
      <c r="G501">
        <v>120.3</v>
      </c>
      <c r="H501">
        <v>8.9570491803278678</v>
      </c>
    </row>
    <row r="502" spans="1:8" x14ac:dyDescent="0.3">
      <c r="A502" t="s">
        <v>6</v>
      </c>
      <c r="B502">
        <v>1989.1</v>
      </c>
      <c r="C502">
        <v>2067</v>
      </c>
      <c r="D502">
        <v>37.47</v>
      </c>
      <c r="E502">
        <v>434845</v>
      </c>
      <c r="F502">
        <v>6.8579800000000004</v>
      </c>
      <c r="G502">
        <v>121.66666666666667</v>
      </c>
      <c r="H502">
        <v>9.2116393442622968</v>
      </c>
    </row>
    <row r="503" spans="1:8" x14ac:dyDescent="0.3">
      <c r="A503" t="s">
        <v>6</v>
      </c>
      <c r="B503">
        <v>1989.2</v>
      </c>
      <c r="C503">
        <v>4499</v>
      </c>
      <c r="D503">
        <v>36.880000000000003</v>
      </c>
      <c r="E503">
        <v>439344</v>
      </c>
      <c r="F503">
        <v>6.6192659999999997</v>
      </c>
      <c r="G503">
        <v>123.63333333333334</v>
      </c>
      <c r="H503">
        <v>8.7579687500000016</v>
      </c>
    </row>
    <row r="504" spans="1:8" x14ac:dyDescent="0.3">
      <c r="A504" t="s">
        <v>6</v>
      </c>
      <c r="B504">
        <v>1989.3</v>
      </c>
      <c r="C504">
        <v>1020</v>
      </c>
      <c r="D504">
        <v>36.729999999999997</v>
      </c>
      <c r="E504">
        <v>440364</v>
      </c>
      <c r="F504">
        <v>6.4492589999999996</v>
      </c>
      <c r="G504">
        <v>124.6</v>
      </c>
      <c r="H504">
        <v>8.1074603174603155</v>
      </c>
    </row>
    <row r="505" spans="1:8" x14ac:dyDescent="0.3">
      <c r="A505" t="s">
        <v>6</v>
      </c>
      <c r="B505">
        <v>1989.4</v>
      </c>
      <c r="C505">
        <v>4925</v>
      </c>
      <c r="D505">
        <v>36.840000000000003</v>
      </c>
      <c r="E505">
        <v>445289</v>
      </c>
      <c r="F505">
        <v>6.1680979999999996</v>
      </c>
      <c r="G505">
        <v>125.86666666666666</v>
      </c>
      <c r="H505">
        <v>7.9070967741935476</v>
      </c>
    </row>
    <row r="506" spans="1:8" x14ac:dyDescent="0.3">
      <c r="A506" t="s">
        <v>6</v>
      </c>
      <c r="B506">
        <v>1990.1</v>
      </c>
      <c r="C506">
        <v>2236</v>
      </c>
      <c r="D506">
        <v>37.049999999999997</v>
      </c>
      <c r="E506">
        <v>447525</v>
      </c>
      <c r="F506">
        <v>6.2663760000000002</v>
      </c>
      <c r="G506">
        <v>128.03333333333333</v>
      </c>
      <c r="H506">
        <v>8.4238709677419337</v>
      </c>
    </row>
    <row r="507" spans="1:8" x14ac:dyDescent="0.3">
      <c r="A507" t="s">
        <v>6</v>
      </c>
      <c r="B507">
        <v>1990.2</v>
      </c>
      <c r="C507">
        <v>3414</v>
      </c>
      <c r="D507">
        <v>37.21</v>
      </c>
      <c r="E507">
        <v>450939</v>
      </c>
      <c r="F507">
        <v>6.289574</v>
      </c>
      <c r="G507">
        <v>129.30000000000001</v>
      </c>
      <c r="H507">
        <v>8.6741269841269819</v>
      </c>
    </row>
    <row r="508" spans="1:8" x14ac:dyDescent="0.3">
      <c r="A508" t="s">
        <v>6</v>
      </c>
      <c r="B508">
        <v>1990.3</v>
      </c>
      <c r="C508">
        <v>1614</v>
      </c>
      <c r="D508">
        <v>37.26</v>
      </c>
      <c r="E508">
        <v>452553</v>
      </c>
      <c r="F508">
        <v>6.1920520000000003</v>
      </c>
      <c r="G508">
        <v>131.53333333333333</v>
      </c>
      <c r="H508">
        <v>8.7012698412698413</v>
      </c>
    </row>
    <row r="509" spans="1:8" x14ac:dyDescent="0.3">
      <c r="A509" t="s">
        <v>6</v>
      </c>
      <c r="B509">
        <v>1990.4</v>
      </c>
      <c r="C509">
        <v>44</v>
      </c>
      <c r="D509">
        <v>37.31</v>
      </c>
      <c r="E509">
        <v>452597</v>
      </c>
      <c r="F509">
        <v>6.4108159999999996</v>
      </c>
      <c r="G509">
        <v>133.76666666666668</v>
      </c>
      <c r="H509">
        <v>8.4059677419354859</v>
      </c>
    </row>
    <row r="510" spans="1:8" x14ac:dyDescent="0.3">
      <c r="A510" t="s">
        <v>6</v>
      </c>
      <c r="B510">
        <v>1991.1</v>
      </c>
      <c r="C510">
        <v>259</v>
      </c>
      <c r="D510">
        <v>37.43</v>
      </c>
      <c r="E510">
        <v>452856</v>
      </c>
      <c r="F510">
        <v>6.6674569999999997</v>
      </c>
      <c r="G510">
        <v>134.76666666666668</v>
      </c>
      <c r="H510">
        <v>8.0231666666666648</v>
      </c>
    </row>
    <row r="511" spans="1:8" x14ac:dyDescent="0.3">
      <c r="A511" t="s">
        <v>6</v>
      </c>
      <c r="B511">
        <v>1991.2</v>
      </c>
      <c r="C511">
        <v>834</v>
      </c>
      <c r="D511">
        <v>37.39</v>
      </c>
      <c r="E511">
        <v>453690</v>
      </c>
      <c r="F511">
        <v>7.0529500000000001</v>
      </c>
      <c r="G511">
        <v>135.56666666666666</v>
      </c>
      <c r="H511">
        <v>8.1254687499999996</v>
      </c>
    </row>
    <row r="512" spans="1:8" x14ac:dyDescent="0.3">
      <c r="A512" t="s">
        <v>6</v>
      </c>
      <c r="B512">
        <v>1991.3</v>
      </c>
      <c r="C512">
        <v>0</v>
      </c>
      <c r="D512">
        <v>37.01</v>
      </c>
      <c r="E512">
        <v>453690</v>
      </c>
      <c r="F512">
        <v>7.4170600000000002</v>
      </c>
      <c r="G512">
        <v>136.6</v>
      </c>
      <c r="H512">
        <v>7.9499999999999993</v>
      </c>
    </row>
    <row r="513" spans="1:8" x14ac:dyDescent="0.3">
      <c r="A513" t="s">
        <v>6</v>
      </c>
      <c r="B513">
        <v>1991.4</v>
      </c>
      <c r="C513">
        <v>430</v>
      </c>
      <c r="D513">
        <v>36.020000000000003</v>
      </c>
      <c r="E513">
        <v>454120</v>
      </c>
      <c r="F513">
        <v>7.777768</v>
      </c>
      <c r="G513">
        <v>137.73333333333332</v>
      </c>
      <c r="H513">
        <v>7.3450000000000006</v>
      </c>
    </row>
    <row r="514" spans="1:8" x14ac:dyDescent="0.3">
      <c r="A514" t="s">
        <v>6</v>
      </c>
      <c r="B514">
        <v>1992.1</v>
      </c>
      <c r="C514">
        <v>0</v>
      </c>
      <c r="D514">
        <v>35.43</v>
      </c>
      <c r="E514">
        <v>454120</v>
      </c>
      <c r="F514">
        <v>7.9037759999999997</v>
      </c>
      <c r="G514">
        <v>138.66666666666666</v>
      </c>
      <c r="H514">
        <v>7.3069354838709675</v>
      </c>
    </row>
    <row r="515" spans="1:8" x14ac:dyDescent="0.3">
      <c r="A515" t="s">
        <v>6</v>
      </c>
      <c r="B515">
        <v>1992.2</v>
      </c>
      <c r="C515">
        <v>1934</v>
      </c>
      <c r="D515">
        <v>34.29</v>
      </c>
      <c r="E515">
        <v>456054</v>
      </c>
      <c r="F515">
        <v>8.2142999999999997</v>
      </c>
      <c r="G515">
        <v>139.73333333333332</v>
      </c>
      <c r="H515">
        <v>7.3760317460317451</v>
      </c>
    </row>
    <row r="516" spans="1:8" x14ac:dyDescent="0.3">
      <c r="A516" t="s">
        <v>6</v>
      </c>
      <c r="B516">
        <v>1992.3</v>
      </c>
      <c r="C516">
        <v>0</v>
      </c>
      <c r="D516">
        <v>33.049999999999997</v>
      </c>
      <c r="E516">
        <v>456054</v>
      </c>
      <c r="F516">
        <v>8.5225860000000004</v>
      </c>
      <c r="G516">
        <v>140.80000000000001</v>
      </c>
      <c r="H516">
        <v>6.6187500000000021</v>
      </c>
    </row>
    <row r="517" spans="1:8" x14ac:dyDescent="0.3">
      <c r="A517" t="s">
        <v>6</v>
      </c>
      <c r="B517">
        <v>1992.4</v>
      </c>
      <c r="C517">
        <v>2457</v>
      </c>
      <c r="D517">
        <v>33.020000000000003</v>
      </c>
      <c r="E517">
        <v>458511</v>
      </c>
      <c r="F517">
        <v>9.0134270000000001</v>
      </c>
      <c r="G517">
        <v>142.03333333333333</v>
      </c>
      <c r="H517">
        <v>6.7403225806451594</v>
      </c>
    </row>
    <row r="518" spans="1:8" x14ac:dyDescent="0.3">
      <c r="A518" t="s">
        <v>6</v>
      </c>
      <c r="B518">
        <v>1993.1</v>
      </c>
      <c r="C518">
        <v>0</v>
      </c>
      <c r="D518">
        <v>33.5</v>
      </c>
      <c r="E518">
        <v>458511</v>
      </c>
      <c r="F518">
        <v>9.5206890000000008</v>
      </c>
      <c r="G518">
        <v>143.06666666666666</v>
      </c>
      <c r="H518">
        <v>6.2581967213114744</v>
      </c>
    </row>
    <row r="519" spans="1:8" x14ac:dyDescent="0.3">
      <c r="A519" t="s">
        <v>6</v>
      </c>
      <c r="B519">
        <v>1993.2</v>
      </c>
      <c r="C519">
        <v>0</v>
      </c>
      <c r="D519">
        <v>34.57</v>
      </c>
      <c r="E519">
        <v>458511</v>
      </c>
      <c r="F519">
        <v>9.8469820000000006</v>
      </c>
      <c r="G519">
        <v>144.1</v>
      </c>
      <c r="H519">
        <v>5.9880952380952381</v>
      </c>
    </row>
    <row r="520" spans="1:8" x14ac:dyDescent="0.3">
      <c r="A520" t="s">
        <v>6</v>
      </c>
      <c r="B520">
        <v>1993.3</v>
      </c>
      <c r="C520">
        <v>0</v>
      </c>
      <c r="D520">
        <v>34.020000000000003</v>
      </c>
      <c r="E520">
        <v>458511</v>
      </c>
      <c r="F520">
        <v>9.6587069999999997</v>
      </c>
      <c r="G520">
        <v>144.76666666666668</v>
      </c>
      <c r="H520">
        <v>5.6153125000000017</v>
      </c>
    </row>
    <row r="521" spans="1:8" x14ac:dyDescent="0.3">
      <c r="A521" t="s">
        <v>6</v>
      </c>
      <c r="B521">
        <v>1993.4</v>
      </c>
      <c r="C521">
        <v>0</v>
      </c>
      <c r="D521">
        <v>33.51</v>
      </c>
      <c r="E521">
        <v>458511</v>
      </c>
      <c r="F521">
        <v>9.4504169999999998</v>
      </c>
      <c r="G521">
        <v>145.96666666666667</v>
      </c>
      <c r="H521">
        <v>5.6159677419354841</v>
      </c>
    </row>
    <row r="522" spans="1:8" x14ac:dyDescent="0.3">
      <c r="A522" t="s">
        <v>6</v>
      </c>
      <c r="B522">
        <v>1994.1</v>
      </c>
      <c r="C522">
        <v>0</v>
      </c>
      <c r="D522">
        <v>33.68</v>
      </c>
      <c r="E522">
        <v>458511</v>
      </c>
      <c r="F522">
        <v>9.2100299999999997</v>
      </c>
      <c r="G522">
        <v>146.69999999999999</v>
      </c>
      <c r="H522">
        <v>6.09032258064516</v>
      </c>
    </row>
    <row r="523" spans="1:8" x14ac:dyDescent="0.3">
      <c r="A523" t="s">
        <v>6</v>
      </c>
      <c r="B523">
        <v>1994.2</v>
      </c>
      <c r="C523">
        <v>0</v>
      </c>
      <c r="D523">
        <v>34.369999999999997</v>
      </c>
      <c r="E523">
        <v>458511</v>
      </c>
      <c r="F523">
        <v>8.9316250000000004</v>
      </c>
      <c r="G523">
        <v>147.53333333333333</v>
      </c>
      <c r="H523">
        <v>7.0895161290322593</v>
      </c>
    </row>
    <row r="524" spans="1:8" x14ac:dyDescent="0.3">
      <c r="A524" t="s">
        <v>6</v>
      </c>
      <c r="B524">
        <v>1994.3</v>
      </c>
      <c r="C524">
        <v>0</v>
      </c>
      <c r="D524">
        <v>34.01</v>
      </c>
      <c r="E524">
        <v>458511</v>
      </c>
      <c r="F524">
        <v>9.0297180000000008</v>
      </c>
      <c r="G524">
        <v>148.9</v>
      </c>
      <c r="H524">
        <v>7.327968750000001</v>
      </c>
    </row>
    <row r="525" spans="1:8" x14ac:dyDescent="0.3">
      <c r="A525" t="s">
        <v>6</v>
      </c>
      <c r="B525">
        <v>1994.4</v>
      </c>
      <c r="C525">
        <v>0</v>
      </c>
      <c r="D525">
        <v>32.97</v>
      </c>
      <c r="E525">
        <v>458511</v>
      </c>
      <c r="F525">
        <v>9.1005529999999997</v>
      </c>
      <c r="G525">
        <v>149.76666666666668</v>
      </c>
      <c r="H525">
        <v>7.8372131147540989</v>
      </c>
    </row>
    <row r="526" spans="1:8" x14ac:dyDescent="0.3">
      <c r="A526" t="s">
        <v>6</v>
      </c>
      <c r="B526">
        <v>1995.1</v>
      </c>
      <c r="C526">
        <v>44</v>
      </c>
      <c r="D526">
        <v>32.549999999999997</v>
      </c>
      <c r="E526">
        <v>458555</v>
      </c>
      <c r="F526">
        <v>8.9335789999999999</v>
      </c>
      <c r="G526">
        <v>150.86666666666667</v>
      </c>
      <c r="H526">
        <v>7.4712903225806464</v>
      </c>
    </row>
    <row r="527" spans="1:8" x14ac:dyDescent="0.3">
      <c r="A527" t="s">
        <v>6</v>
      </c>
      <c r="B527">
        <v>1995.2</v>
      </c>
      <c r="C527">
        <v>0</v>
      </c>
      <c r="D527">
        <v>32.979999999999997</v>
      </c>
      <c r="E527">
        <v>458555</v>
      </c>
      <c r="F527">
        <v>8.7766730000000006</v>
      </c>
      <c r="G527">
        <v>152.1</v>
      </c>
      <c r="H527">
        <v>6.6001587301587294</v>
      </c>
    </row>
    <row r="528" spans="1:8" x14ac:dyDescent="0.3">
      <c r="A528" t="s">
        <v>6</v>
      </c>
      <c r="B528">
        <v>1995.3</v>
      </c>
      <c r="C528">
        <v>0</v>
      </c>
      <c r="D528">
        <v>34.36</v>
      </c>
      <c r="E528">
        <v>458555</v>
      </c>
      <c r="F528">
        <v>8.8444400000000005</v>
      </c>
      <c r="G528">
        <v>152.86666666666667</v>
      </c>
      <c r="H528">
        <v>6.3292063492063484</v>
      </c>
    </row>
    <row r="529" spans="1:8" x14ac:dyDescent="0.3">
      <c r="A529" t="s">
        <v>6</v>
      </c>
      <c r="B529">
        <v>1995.4</v>
      </c>
      <c r="C529">
        <v>0</v>
      </c>
      <c r="D529">
        <v>33.42</v>
      </c>
      <c r="E529">
        <v>458555</v>
      </c>
      <c r="F529">
        <v>8.6657440000000001</v>
      </c>
      <c r="G529">
        <v>153.69999999999999</v>
      </c>
      <c r="H529">
        <v>5.8985483870967741</v>
      </c>
    </row>
    <row r="530" spans="1:8" x14ac:dyDescent="0.3">
      <c r="A530" t="s">
        <v>6</v>
      </c>
      <c r="B530">
        <v>1996.1</v>
      </c>
      <c r="C530">
        <v>23</v>
      </c>
      <c r="D530">
        <v>34.409999999999997</v>
      </c>
      <c r="E530">
        <v>458578</v>
      </c>
      <c r="F530">
        <v>8.3326600000000006</v>
      </c>
      <c r="G530">
        <v>155.06666666666666</v>
      </c>
      <c r="H530">
        <v>5.9104838709677407</v>
      </c>
    </row>
    <row r="531" spans="1:8" x14ac:dyDescent="0.3">
      <c r="A531" t="s">
        <v>6</v>
      </c>
      <c r="B531">
        <v>1996.2</v>
      </c>
      <c r="C531">
        <v>0</v>
      </c>
      <c r="D531">
        <v>33.94</v>
      </c>
      <c r="E531">
        <v>458578</v>
      </c>
      <c r="F531">
        <v>8.0712080000000004</v>
      </c>
      <c r="G531">
        <v>156.4</v>
      </c>
      <c r="H531">
        <v>6.7140624999999998</v>
      </c>
    </row>
    <row r="532" spans="1:8" x14ac:dyDescent="0.3">
      <c r="A532" t="s">
        <v>6</v>
      </c>
      <c r="B532">
        <v>1996.3</v>
      </c>
      <c r="C532">
        <v>0</v>
      </c>
      <c r="D532">
        <v>34.58</v>
      </c>
      <c r="E532">
        <v>458578</v>
      </c>
      <c r="F532">
        <v>7.6872429999999996</v>
      </c>
      <c r="G532">
        <v>157.30000000000001</v>
      </c>
      <c r="H532">
        <v>6.7759375000000022</v>
      </c>
    </row>
    <row r="533" spans="1:8" x14ac:dyDescent="0.3">
      <c r="A533" t="s">
        <v>6</v>
      </c>
      <c r="B533">
        <v>1996.4</v>
      </c>
      <c r="C533">
        <v>0</v>
      </c>
      <c r="D533">
        <v>35.130000000000003</v>
      </c>
      <c r="E533">
        <v>458578</v>
      </c>
      <c r="F533">
        <v>7.5811630000000001</v>
      </c>
      <c r="G533">
        <v>158.66666666666666</v>
      </c>
      <c r="H533">
        <v>6.3541935483870962</v>
      </c>
    </row>
    <row r="534" spans="1:8" x14ac:dyDescent="0.3">
      <c r="A534" t="s">
        <v>6</v>
      </c>
      <c r="B534">
        <v>1997.1</v>
      </c>
      <c r="C534">
        <v>0</v>
      </c>
      <c r="D534">
        <v>34.840000000000003</v>
      </c>
      <c r="E534">
        <v>458578</v>
      </c>
      <c r="F534">
        <v>7.8885149999999999</v>
      </c>
      <c r="G534">
        <v>159.63333333333333</v>
      </c>
      <c r="H534">
        <v>6.5670000000000028</v>
      </c>
    </row>
    <row r="535" spans="1:8" x14ac:dyDescent="0.3">
      <c r="A535" t="s">
        <v>6</v>
      </c>
      <c r="B535">
        <v>1997.2</v>
      </c>
      <c r="C535">
        <v>450</v>
      </c>
      <c r="D535">
        <v>36.590000000000003</v>
      </c>
      <c r="E535">
        <v>459028</v>
      </c>
      <c r="F535">
        <v>8.1149740000000001</v>
      </c>
      <c r="G535">
        <v>160</v>
      </c>
      <c r="H535">
        <v>6.6996874999999996</v>
      </c>
    </row>
    <row r="536" spans="1:8" x14ac:dyDescent="0.3">
      <c r="A536" t="s">
        <v>6</v>
      </c>
      <c r="B536">
        <v>1997.3</v>
      </c>
      <c r="C536">
        <v>0</v>
      </c>
      <c r="D536">
        <v>37.770000000000003</v>
      </c>
      <c r="E536">
        <v>459028</v>
      </c>
      <c r="F536">
        <v>8.5578719999999997</v>
      </c>
      <c r="G536">
        <v>160.80000000000001</v>
      </c>
      <c r="H536">
        <v>6.2421875</v>
      </c>
    </row>
    <row r="537" spans="1:8" x14ac:dyDescent="0.3">
      <c r="A537" t="s">
        <v>6</v>
      </c>
      <c r="B537">
        <v>1997.4</v>
      </c>
      <c r="C537">
        <v>0</v>
      </c>
      <c r="D537">
        <v>38.630000000000003</v>
      </c>
      <c r="E537">
        <v>459028</v>
      </c>
      <c r="F537">
        <v>8.7949750000000009</v>
      </c>
      <c r="G537">
        <v>161.66666666666666</v>
      </c>
      <c r="H537">
        <v>5.906290322580646</v>
      </c>
    </row>
    <row r="538" spans="1:8" x14ac:dyDescent="0.3">
      <c r="A538" t="s">
        <v>6</v>
      </c>
      <c r="B538">
        <v>1998.1</v>
      </c>
      <c r="C538">
        <v>0</v>
      </c>
      <c r="D538">
        <v>38.880000000000003</v>
      </c>
      <c r="E538">
        <v>459028</v>
      </c>
      <c r="F538">
        <v>8.8745960000000004</v>
      </c>
      <c r="G538">
        <v>162</v>
      </c>
      <c r="H538">
        <v>5.5909836065573773</v>
      </c>
    </row>
    <row r="539" spans="1:8" x14ac:dyDescent="0.3">
      <c r="A539" t="s">
        <v>6</v>
      </c>
      <c r="B539">
        <v>1998.2</v>
      </c>
      <c r="C539">
        <v>0</v>
      </c>
      <c r="D539">
        <v>38.549999999999997</v>
      </c>
      <c r="E539">
        <v>459028</v>
      </c>
      <c r="F539">
        <v>8.4466739999999998</v>
      </c>
      <c r="G539">
        <v>162.53333333333333</v>
      </c>
      <c r="H539">
        <v>5.5930158730158714</v>
      </c>
    </row>
    <row r="540" spans="1:8" x14ac:dyDescent="0.3">
      <c r="A540" t="s">
        <v>6</v>
      </c>
      <c r="B540">
        <v>1998.3</v>
      </c>
      <c r="C540">
        <v>65</v>
      </c>
      <c r="D540">
        <v>38.869999999999997</v>
      </c>
      <c r="E540">
        <v>459093</v>
      </c>
      <c r="F540">
        <v>7.9908419999999998</v>
      </c>
      <c r="G540">
        <v>163.36666666666667</v>
      </c>
      <c r="H540">
        <v>5.2073437500000006</v>
      </c>
    </row>
    <row r="541" spans="1:8" x14ac:dyDescent="0.3">
      <c r="A541" t="s">
        <v>6</v>
      </c>
      <c r="B541">
        <v>1998.4</v>
      </c>
      <c r="C541">
        <v>0</v>
      </c>
      <c r="D541">
        <v>40.31</v>
      </c>
      <c r="E541">
        <v>459093</v>
      </c>
      <c r="F541">
        <v>7.5548060000000001</v>
      </c>
      <c r="G541">
        <v>164.13333333333333</v>
      </c>
      <c r="H541">
        <v>4.661935483870967</v>
      </c>
    </row>
    <row r="542" spans="1:8" x14ac:dyDescent="0.3">
      <c r="A542" t="s">
        <v>6</v>
      </c>
      <c r="B542">
        <v>1999.1</v>
      </c>
      <c r="C542">
        <v>80</v>
      </c>
      <c r="D542">
        <v>42.1</v>
      </c>
      <c r="E542">
        <v>459173</v>
      </c>
      <c r="F542">
        <v>6.915438</v>
      </c>
      <c r="G542">
        <v>164.73333333333332</v>
      </c>
      <c r="H542">
        <v>5.0008196721311462</v>
      </c>
    </row>
    <row r="543" spans="1:8" x14ac:dyDescent="0.3">
      <c r="A543" t="s">
        <v>6</v>
      </c>
      <c r="B543">
        <v>1999.2</v>
      </c>
      <c r="C543">
        <v>2034</v>
      </c>
      <c r="D543">
        <v>43.25</v>
      </c>
      <c r="E543">
        <v>461207</v>
      </c>
      <c r="F543">
        <v>7.0063909999999998</v>
      </c>
      <c r="G543">
        <v>165.96666666666667</v>
      </c>
      <c r="H543">
        <v>5.5412499999999998</v>
      </c>
    </row>
    <row r="544" spans="1:8" x14ac:dyDescent="0.3">
      <c r="A544" t="s">
        <v>6</v>
      </c>
      <c r="B544">
        <v>1999.3</v>
      </c>
      <c r="C544">
        <v>1054</v>
      </c>
      <c r="D544">
        <v>43.07</v>
      </c>
      <c r="E544">
        <v>462261</v>
      </c>
      <c r="F544">
        <v>6.9792899999999998</v>
      </c>
      <c r="G544">
        <v>167.2</v>
      </c>
      <c r="H544">
        <v>5.8829687499999981</v>
      </c>
    </row>
    <row r="545" spans="1:8" x14ac:dyDescent="0.3">
      <c r="A545" t="s">
        <v>6</v>
      </c>
      <c r="B545">
        <v>1999.4</v>
      </c>
      <c r="C545">
        <v>449</v>
      </c>
      <c r="D545">
        <v>45.4</v>
      </c>
      <c r="E545">
        <v>462710</v>
      </c>
      <c r="F545">
        <v>6.8879739999999998</v>
      </c>
      <c r="G545">
        <v>168.43333333333334</v>
      </c>
      <c r="H545">
        <v>6.1448387096774191</v>
      </c>
    </row>
    <row r="546" spans="1:8" x14ac:dyDescent="0.3">
      <c r="A546" t="s">
        <v>6</v>
      </c>
      <c r="B546">
        <v>2000.1</v>
      </c>
      <c r="C546">
        <v>170</v>
      </c>
      <c r="D546">
        <v>45.49</v>
      </c>
      <c r="E546">
        <v>462880</v>
      </c>
      <c r="F546">
        <v>6.9421080000000002</v>
      </c>
      <c r="G546">
        <v>170.1</v>
      </c>
      <c r="H546">
        <v>6.4684126984126982</v>
      </c>
    </row>
    <row r="547" spans="1:8" x14ac:dyDescent="0.3">
      <c r="A547" t="s">
        <v>6</v>
      </c>
      <c r="B547">
        <v>2000.2</v>
      </c>
      <c r="C547">
        <v>1165</v>
      </c>
      <c r="D547">
        <v>47.78</v>
      </c>
      <c r="E547">
        <v>464045</v>
      </c>
      <c r="F547">
        <v>6.9145130000000004</v>
      </c>
      <c r="G547">
        <v>171.43333333333334</v>
      </c>
      <c r="H547">
        <v>6.1849206349206343</v>
      </c>
    </row>
    <row r="548" spans="1:8" x14ac:dyDescent="0.3">
      <c r="A548" t="s">
        <v>6</v>
      </c>
      <c r="B548">
        <v>2000.3</v>
      </c>
      <c r="C548">
        <v>202</v>
      </c>
      <c r="D548">
        <v>47.24</v>
      </c>
      <c r="E548">
        <v>464247</v>
      </c>
      <c r="F548">
        <v>6.9094709999999999</v>
      </c>
      <c r="G548">
        <v>173</v>
      </c>
      <c r="H548">
        <v>5.8898412698412699</v>
      </c>
    </row>
    <row r="549" spans="1:8" x14ac:dyDescent="0.3">
      <c r="A549" t="s">
        <v>6</v>
      </c>
      <c r="B549">
        <v>2000.4</v>
      </c>
      <c r="C549">
        <v>0</v>
      </c>
      <c r="D549">
        <v>51.51</v>
      </c>
      <c r="E549">
        <v>464247</v>
      </c>
      <c r="F549">
        <v>6.9931960000000002</v>
      </c>
      <c r="G549">
        <v>174.23333333333332</v>
      </c>
      <c r="H549">
        <v>5.5706451612903232</v>
      </c>
    </row>
    <row r="550" spans="1:8" x14ac:dyDescent="0.3">
      <c r="A550" t="s">
        <v>6</v>
      </c>
      <c r="B550">
        <v>2001.1</v>
      </c>
      <c r="C550">
        <v>2754</v>
      </c>
      <c r="D550">
        <v>55.96</v>
      </c>
      <c r="E550">
        <f t="shared" ref="E550:E581" si="0">E549+C550</f>
        <v>467001</v>
      </c>
      <c r="F550">
        <v>7.4176149999999996</v>
      </c>
      <c r="G550">
        <v>175.9</v>
      </c>
      <c r="H550">
        <v>5.0441935483870957</v>
      </c>
    </row>
    <row r="551" spans="1:8" x14ac:dyDescent="0.3">
      <c r="A551" t="s">
        <v>6</v>
      </c>
      <c r="B551">
        <v>2001.2</v>
      </c>
      <c r="C551">
        <v>287</v>
      </c>
      <c r="D551">
        <v>57.25</v>
      </c>
      <c r="E551">
        <f t="shared" si="0"/>
        <v>467288</v>
      </c>
      <c r="F551">
        <v>7.7259229999999999</v>
      </c>
      <c r="G551">
        <v>177.13333333333333</v>
      </c>
      <c r="H551">
        <v>5.2761904761904761</v>
      </c>
    </row>
    <row r="552" spans="1:8" x14ac:dyDescent="0.3">
      <c r="A552" t="s">
        <v>6</v>
      </c>
      <c r="B552">
        <v>2001.3</v>
      </c>
      <c r="C552">
        <v>0</v>
      </c>
      <c r="D552">
        <v>55.31</v>
      </c>
      <c r="E552">
        <f t="shared" si="0"/>
        <v>467288</v>
      </c>
      <c r="F552">
        <v>7.9277559999999996</v>
      </c>
      <c r="G552">
        <v>177.63333333333333</v>
      </c>
      <c r="H552">
        <v>4.9957377049180334</v>
      </c>
    </row>
    <row r="553" spans="1:8" x14ac:dyDescent="0.3">
      <c r="A553" t="s">
        <v>6</v>
      </c>
      <c r="B553">
        <v>2001.4</v>
      </c>
      <c r="C553">
        <v>78</v>
      </c>
      <c r="D553">
        <v>55.59</v>
      </c>
      <c r="E553">
        <f t="shared" si="0"/>
        <v>467366</v>
      </c>
      <c r="F553">
        <v>8.1213669999999993</v>
      </c>
      <c r="G553">
        <v>177.5</v>
      </c>
      <c r="H553">
        <v>4.7620967741935463</v>
      </c>
    </row>
    <row r="554" spans="1:8" x14ac:dyDescent="0.3">
      <c r="A554" t="s">
        <v>6</v>
      </c>
      <c r="B554">
        <v>2002.1</v>
      </c>
      <c r="C554">
        <v>8024</v>
      </c>
      <c r="D554">
        <v>56.11</v>
      </c>
      <c r="E554">
        <f t="shared" si="0"/>
        <v>475390</v>
      </c>
      <c r="F554">
        <v>8.209994</v>
      </c>
      <c r="G554">
        <v>178.06666666666666</v>
      </c>
      <c r="H554">
        <v>5.0791666666666666</v>
      </c>
    </row>
    <row r="555" spans="1:8" x14ac:dyDescent="0.3">
      <c r="A555" t="s">
        <v>6</v>
      </c>
      <c r="B555">
        <v>2002.2</v>
      </c>
      <c r="C555">
        <v>3407</v>
      </c>
      <c r="D555">
        <v>54.92</v>
      </c>
      <c r="E555">
        <f t="shared" si="0"/>
        <v>478797</v>
      </c>
      <c r="F555">
        <v>8.2809570000000008</v>
      </c>
      <c r="G555">
        <v>179.46666666666667</v>
      </c>
      <c r="H555">
        <v>5.1060937499999994</v>
      </c>
    </row>
    <row r="556" spans="1:8" x14ac:dyDescent="0.3">
      <c r="A556" t="s">
        <v>6</v>
      </c>
      <c r="B556">
        <v>2002.3</v>
      </c>
      <c r="C556">
        <v>550</v>
      </c>
      <c r="D556">
        <v>54.86</v>
      </c>
      <c r="E556">
        <f t="shared" si="0"/>
        <v>479347</v>
      </c>
      <c r="F556">
        <v>8.3809520000000006</v>
      </c>
      <c r="G556">
        <v>180.43333333333334</v>
      </c>
      <c r="H556">
        <v>4.2723437499999992</v>
      </c>
    </row>
    <row r="557" spans="1:8" x14ac:dyDescent="0.3">
      <c r="A557" t="s">
        <v>6</v>
      </c>
      <c r="B557">
        <v>2002.4</v>
      </c>
      <c r="C557">
        <v>173</v>
      </c>
      <c r="D557">
        <v>53.92</v>
      </c>
      <c r="E557">
        <f t="shared" si="0"/>
        <v>479520</v>
      </c>
      <c r="F557">
        <v>8.4483809999999995</v>
      </c>
      <c r="G557">
        <v>181.5</v>
      </c>
      <c r="H557">
        <v>4.0048387096774194</v>
      </c>
    </row>
    <row r="558" spans="1:8" x14ac:dyDescent="0.3">
      <c r="A558" t="s">
        <v>6</v>
      </c>
      <c r="B558">
        <v>2003.1</v>
      </c>
      <c r="C558">
        <v>788</v>
      </c>
      <c r="D558">
        <v>52.61</v>
      </c>
      <c r="E558">
        <f t="shared" si="0"/>
        <v>480308</v>
      </c>
      <c r="F558">
        <v>8.3313179999999996</v>
      </c>
      <c r="G558">
        <v>183.36666666666667</v>
      </c>
      <c r="H558">
        <v>3.9199999999999995</v>
      </c>
    </row>
    <row r="559" spans="1:8" x14ac:dyDescent="0.3">
      <c r="A559" t="s">
        <v>6</v>
      </c>
      <c r="B559">
        <v>2003.2</v>
      </c>
      <c r="C559">
        <v>570</v>
      </c>
      <c r="D559">
        <v>50.77</v>
      </c>
      <c r="E559">
        <f t="shared" si="0"/>
        <v>480878</v>
      </c>
      <c r="F559">
        <v>8.3067980000000006</v>
      </c>
      <c r="G559">
        <v>183.06666666666666</v>
      </c>
      <c r="H559">
        <v>3.6206349206349211</v>
      </c>
    </row>
    <row r="560" spans="1:8" x14ac:dyDescent="0.3">
      <c r="A560" t="s">
        <v>6</v>
      </c>
      <c r="B560">
        <v>2003.3</v>
      </c>
      <c r="C560">
        <v>1339</v>
      </c>
      <c r="D560">
        <v>48.13</v>
      </c>
      <c r="E560">
        <f t="shared" si="0"/>
        <v>482217</v>
      </c>
      <c r="F560">
        <v>7.9418540000000002</v>
      </c>
      <c r="G560">
        <v>184.43333333333334</v>
      </c>
      <c r="H560">
        <v>4.2276562499999981</v>
      </c>
    </row>
    <row r="561" spans="1:8" x14ac:dyDescent="0.3">
      <c r="A561" t="s">
        <v>6</v>
      </c>
      <c r="B561">
        <v>2003.4</v>
      </c>
      <c r="C561">
        <v>1407</v>
      </c>
      <c r="D561">
        <v>45.68</v>
      </c>
      <c r="E561">
        <f t="shared" si="0"/>
        <v>483624</v>
      </c>
      <c r="F561">
        <v>7.8480670000000003</v>
      </c>
      <c r="G561">
        <v>185.13333333333333</v>
      </c>
      <c r="H561">
        <v>4.2851612903225798</v>
      </c>
    </row>
    <row r="562" spans="1:8" x14ac:dyDescent="0.3">
      <c r="A562" t="s">
        <v>6</v>
      </c>
      <c r="B562">
        <v>2004.1</v>
      </c>
      <c r="C562">
        <v>30</v>
      </c>
      <c r="D562">
        <v>44.23</v>
      </c>
      <c r="E562">
        <f t="shared" si="0"/>
        <v>483654</v>
      </c>
      <c r="F562">
        <v>7.5997960000000004</v>
      </c>
      <c r="G562">
        <v>186.7</v>
      </c>
      <c r="H562">
        <v>4.01</v>
      </c>
    </row>
    <row r="563" spans="1:8" x14ac:dyDescent="0.3">
      <c r="A563" t="s">
        <v>6</v>
      </c>
      <c r="B563">
        <v>2004.2</v>
      </c>
      <c r="C563">
        <v>2088</v>
      </c>
      <c r="D563">
        <v>44.39</v>
      </c>
      <c r="E563">
        <f t="shared" si="0"/>
        <v>485742</v>
      </c>
      <c r="F563">
        <v>7.2134819999999999</v>
      </c>
      <c r="G563">
        <v>188.16666666666666</v>
      </c>
      <c r="H563">
        <v>4.597096774193548</v>
      </c>
    </row>
    <row r="564" spans="1:8" x14ac:dyDescent="0.3">
      <c r="A564" t="s">
        <v>6</v>
      </c>
      <c r="B564">
        <v>2004.3</v>
      </c>
      <c r="C564">
        <v>0</v>
      </c>
      <c r="D564">
        <v>44.11</v>
      </c>
      <c r="E564">
        <f t="shared" si="0"/>
        <v>485742</v>
      </c>
      <c r="F564">
        <v>7.1084759999999996</v>
      </c>
      <c r="G564">
        <v>189.36666666666667</v>
      </c>
      <c r="H564">
        <v>4.3014062500000003</v>
      </c>
    </row>
    <row r="565" spans="1:8" x14ac:dyDescent="0.3">
      <c r="A565" t="s">
        <v>6</v>
      </c>
      <c r="B565">
        <v>2004.4</v>
      </c>
      <c r="C565">
        <v>0</v>
      </c>
      <c r="D565">
        <v>43.85</v>
      </c>
      <c r="E565">
        <f t="shared" si="0"/>
        <v>485742</v>
      </c>
      <c r="F565">
        <v>6.8076439999999998</v>
      </c>
      <c r="G565">
        <v>191.4</v>
      </c>
      <c r="H565">
        <v>4.1758064516129041</v>
      </c>
    </row>
    <row r="566" spans="1:8" x14ac:dyDescent="0.3">
      <c r="A566" t="s">
        <v>6</v>
      </c>
      <c r="B566">
        <v>2005.1</v>
      </c>
      <c r="C566">
        <v>1645</v>
      </c>
      <c r="D566">
        <v>45.72</v>
      </c>
      <c r="E566">
        <f t="shared" si="0"/>
        <v>487387</v>
      </c>
      <c r="F566">
        <v>6.6146440000000002</v>
      </c>
      <c r="G566">
        <v>192.36666666666667</v>
      </c>
      <c r="H566">
        <v>4.3036065573770488</v>
      </c>
    </row>
    <row r="567" spans="1:8" x14ac:dyDescent="0.3">
      <c r="A567" t="s">
        <v>6</v>
      </c>
      <c r="B567">
        <v>2005.2</v>
      </c>
      <c r="C567">
        <v>69</v>
      </c>
      <c r="D567">
        <v>46.55</v>
      </c>
      <c r="E567">
        <f t="shared" si="0"/>
        <v>487456</v>
      </c>
      <c r="F567">
        <v>6.4400180000000002</v>
      </c>
      <c r="G567">
        <v>193.66666666666666</v>
      </c>
      <c r="H567">
        <v>4.1585937500000005</v>
      </c>
    </row>
    <row r="568" spans="1:8" x14ac:dyDescent="0.3">
      <c r="A568" t="s">
        <v>6</v>
      </c>
      <c r="B568">
        <v>2005.3</v>
      </c>
      <c r="C568">
        <v>20</v>
      </c>
      <c r="D568">
        <v>47.44</v>
      </c>
      <c r="E568">
        <f t="shared" si="0"/>
        <v>487476</v>
      </c>
      <c r="F568">
        <v>6.2681430000000002</v>
      </c>
      <c r="G568">
        <v>196.6</v>
      </c>
      <c r="H568">
        <v>4.2151562499999997</v>
      </c>
    </row>
    <row r="569" spans="1:8" x14ac:dyDescent="0.3">
      <c r="A569" t="s">
        <v>6</v>
      </c>
      <c r="B569">
        <v>2005.4</v>
      </c>
      <c r="C569">
        <v>40</v>
      </c>
      <c r="D569">
        <v>48.3</v>
      </c>
      <c r="E569">
        <f t="shared" si="0"/>
        <v>487516</v>
      </c>
      <c r="F569">
        <v>6.0791539999999999</v>
      </c>
      <c r="G569">
        <v>198.43333333333334</v>
      </c>
      <c r="H569">
        <v>4.4881967213114757</v>
      </c>
    </row>
    <row r="570" spans="1:8" x14ac:dyDescent="0.3">
      <c r="A570" t="s">
        <v>6</v>
      </c>
      <c r="B570">
        <v>2006.1</v>
      </c>
      <c r="C570">
        <v>2308</v>
      </c>
      <c r="D570">
        <v>50.37</v>
      </c>
      <c r="E570">
        <f t="shared" si="0"/>
        <v>489824</v>
      </c>
      <c r="F570">
        <v>6.0132349999999999</v>
      </c>
      <c r="G570">
        <v>199.46666666666667</v>
      </c>
      <c r="H570">
        <v>4.5770967741935502</v>
      </c>
    </row>
    <row r="571" spans="1:8" x14ac:dyDescent="0.3">
      <c r="A571" t="s">
        <v>6</v>
      </c>
      <c r="B571">
        <v>2006.2</v>
      </c>
      <c r="C571">
        <v>0</v>
      </c>
      <c r="D571">
        <v>51.55</v>
      </c>
      <c r="E571">
        <f t="shared" si="0"/>
        <v>489824</v>
      </c>
      <c r="F571">
        <v>5.9433009999999999</v>
      </c>
      <c r="G571">
        <v>201.26666666666668</v>
      </c>
      <c r="H571">
        <v>5.0726984126984132</v>
      </c>
    </row>
    <row r="572" spans="1:8" x14ac:dyDescent="0.3">
      <c r="A572" t="s">
        <v>6</v>
      </c>
      <c r="B572">
        <v>2006.3</v>
      </c>
      <c r="C572">
        <v>0</v>
      </c>
      <c r="D572">
        <v>52.9</v>
      </c>
      <c r="E572">
        <f t="shared" si="0"/>
        <v>489824</v>
      </c>
      <c r="F572">
        <v>5.9096359999999999</v>
      </c>
      <c r="G572">
        <v>203.16666666666666</v>
      </c>
      <c r="H572">
        <v>4.8934920634920651</v>
      </c>
    </row>
    <row r="573" spans="1:8" x14ac:dyDescent="0.3">
      <c r="A573" t="s">
        <v>6</v>
      </c>
      <c r="B573">
        <v>2006.4</v>
      </c>
      <c r="C573">
        <v>0</v>
      </c>
      <c r="D573">
        <v>57.07</v>
      </c>
      <c r="E573">
        <f t="shared" si="0"/>
        <v>489824</v>
      </c>
      <c r="F573">
        <v>5.7099780000000004</v>
      </c>
      <c r="G573">
        <v>202.33333333333334</v>
      </c>
      <c r="H573">
        <v>4.6306451612903237</v>
      </c>
    </row>
    <row r="574" spans="1:8" x14ac:dyDescent="0.3">
      <c r="A574" t="s">
        <v>6</v>
      </c>
      <c r="B574">
        <v>2007.1</v>
      </c>
      <c r="C574">
        <v>1696</v>
      </c>
      <c r="D574">
        <v>59.14</v>
      </c>
      <c r="E574">
        <f t="shared" si="0"/>
        <v>491520</v>
      </c>
      <c r="F574">
        <v>5.4174629999999997</v>
      </c>
      <c r="G574">
        <v>204.31700000000001</v>
      </c>
      <c r="H574">
        <v>4.6790322580645167</v>
      </c>
    </row>
    <row r="575" spans="1:8" x14ac:dyDescent="0.3">
      <c r="A575" t="s">
        <v>6</v>
      </c>
      <c r="B575">
        <v>2007.2</v>
      </c>
      <c r="C575">
        <v>97</v>
      </c>
      <c r="D575">
        <v>61.29</v>
      </c>
      <c r="E575">
        <f t="shared" si="0"/>
        <v>491617</v>
      </c>
      <c r="F575">
        <v>5.033677</v>
      </c>
      <c r="G575">
        <v>206.631</v>
      </c>
      <c r="H575">
        <v>4.8460937499999988</v>
      </c>
    </row>
    <row r="576" spans="1:8" x14ac:dyDescent="0.3">
      <c r="A576" t="s">
        <v>6</v>
      </c>
      <c r="B576">
        <v>2007.3</v>
      </c>
      <c r="C576">
        <v>30</v>
      </c>
      <c r="D576">
        <v>67</v>
      </c>
      <c r="E576">
        <f t="shared" si="0"/>
        <v>491647</v>
      </c>
      <c r="F576">
        <v>4.6465560000000004</v>
      </c>
      <c r="G576">
        <v>207.93899999999999</v>
      </c>
      <c r="H576">
        <v>4.7384126984126951</v>
      </c>
    </row>
    <row r="577" spans="1:8" x14ac:dyDescent="0.3">
      <c r="A577" t="s">
        <v>6</v>
      </c>
      <c r="B577">
        <v>2007.4</v>
      </c>
      <c r="C577">
        <v>100</v>
      </c>
      <c r="D577">
        <v>68.400000000000006</v>
      </c>
      <c r="E577">
        <f t="shared" si="0"/>
        <v>491747</v>
      </c>
      <c r="F577">
        <v>4.456664</v>
      </c>
      <c r="G577">
        <v>210.48966666666666</v>
      </c>
      <c r="H577">
        <v>4.2666129032258064</v>
      </c>
    </row>
    <row r="578" spans="1:8" x14ac:dyDescent="0.3">
      <c r="A578" t="s">
        <v>6</v>
      </c>
      <c r="B578">
        <v>2008.1</v>
      </c>
      <c r="C578">
        <v>2199</v>
      </c>
      <c r="D578">
        <v>71.86</v>
      </c>
      <c r="E578">
        <f t="shared" si="0"/>
        <v>493946</v>
      </c>
      <c r="F578">
        <v>4.252605</v>
      </c>
      <c r="G578">
        <v>212.76966666666667</v>
      </c>
      <c r="H578">
        <v>3.6652459016393442</v>
      </c>
    </row>
    <row r="579" spans="1:8" x14ac:dyDescent="0.3">
      <c r="A579" t="s">
        <v>6</v>
      </c>
      <c r="B579">
        <v>2008.2</v>
      </c>
      <c r="C579">
        <v>179</v>
      </c>
      <c r="D579">
        <v>74.239999999999995</v>
      </c>
      <c r="E579">
        <f t="shared" si="0"/>
        <v>494125</v>
      </c>
      <c r="F579">
        <v>4.2473010000000002</v>
      </c>
      <c r="G579">
        <v>215.53766666666667</v>
      </c>
      <c r="H579">
        <v>3.8815624999999998</v>
      </c>
    </row>
    <row r="580" spans="1:8" x14ac:dyDescent="0.3">
      <c r="A580" t="s">
        <v>6</v>
      </c>
      <c r="B580">
        <v>2008.3</v>
      </c>
      <c r="C580">
        <v>327</v>
      </c>
      <c r="D580">
        <v>73.48</v>
      </c>
      <c r="E580">
        <f t="shared" si="0"/>
        <v>494452</v>
      </c>
      <c r="F580">
        <v>4.2275859999999996</v>
      </c>
      <c r="G580">
        <v>218.86099999999999</v>
      </c>
      <c r="H580">
        <v>3.8621875000000001</v>
      </c>
    </row>
    <row r="581" spans="1:8" x14ac:dyDescent="0.3">
      <c r="A581" t="s">
        <v>6</v>
      </c>
      <c r="B581">
        <v>2008.4</v>
      </c>
      <c r="C581">
        <v>21</v>
      </c>
      <c r="D581">
        <v>70.64</v>
      </c>
      <c r="E581">
        <f t="shared" si="0"/>
        <v>494473</v>
      </c>
      <c r="F581">
        <v>4.4117199999999999</v>
      </c>
      <c r="G581">
        <v>213.84866666666667</v>
      </c>
      <c r="H581">
        <v>3.2346774193548384</v>
      </c>
    </row>
    <row r="582" spans="1:8" x14ac:dyDescent="0.3">
      <c r="A582" t="s">
        <v>6</v>
      </c>
      <c r="B582">
        <v>2009.1</v>
      </c>
      <c r="C582">
        <v>8</v>
      </c>
      <c r="D582">
        <v>63.84</v>
      </c>
      <c r="E582">
        <f t="shared" ref="E582:E616" si="1">E581+C582</f>
        <v>494481</v>
      </c>
      <c r="F582">
        <v>4.905367</v>
      </c>
      <c r="G582">
        <v>212.37766666666667</v>
      </c>
      <c r="H582">
        <v>2.7362295081967209</v>
      </c>
    </row>
    <row r="583" spans="1:8" x14ac:dyDescent="0.3">
      <c r="A583" t="s">
        <v>6</v>
      </c>
      <c r="B583">
        <v>2009.2</v>
      </c>
      <c r="C583">
        <v>28</v>
      </c>
      <c r="D583">
        <v>56.5</v>
      </c>
      <c r="E583">
        <f t="shared" si="1"/>
        <v>494509</v>
      </c>
      <c r="F583">
        <v>5.6118350000000001</v>
      </c>
      <c r="G583">
        <v>213.50700000000001</v>
      </c>
      <c r="H583">
        <v>3.3207936507936511</v>
      </c>
    </row>
    <row r="584" spans="1:8" x14ac:dyDescent="0.3">
      <c r="A584" t="s">
        <v>6</v>
      </c>
      <c r="B584">
        <v>2009.3</v>
      </c>
      <c r="C584">
        <v>127</v>
      </c>
      <c r="D584">
        <v>56.71</v>
      </c>
      <c r="E584">
        <f t="shared" si="1"/>
        <v>494636</v>
      </c>
      <c r="F584">
        <v>6.2695150000000002</v>
      </c>
      <c r="G584">
        <v>215.34399999999999</v>
      </c>
      <c r="H584">
        <v>3.5178124999999998</v>
      </c>
    </row>
    <row r="585" spans="1:8" x14ac:dyDescent="0.3">
      <c r="A585" t="s">
        <v>6</v>
      </c>
      <c r="B585">
        <v>2009.4</v>
      </c>
      <c r="C585">
        <v>2199</v>
      </c>
      <c r="D585">
        <v>56</v>
      </c>
      <c r="E585">
        <f t="shared" si="1"/>
        <v>496835</v>
      </c>
      <c r="F585">
        <v>6.7407180000000002</v>
      </c>
      <c r="G585">
        <v>217.03</v>
      </c>
      <c r="H585">
        <v>3.464032258064516</v>
      </c>
    </row>
    <row r="586" spans="1:8" x14ac:dyDescent="0.3">
      <c r="A586" t="s">
        <v>6</v>
      </c>
      <c r="B586">
        <v>2010.1</v>
      </c>
      <c r="C586">
        <v>332</v>
      </c>
      <c r="D586">
        <v>54.79</v>
      </c>
      <c r="E586">
        <f t="shared" si="1"/>
        <v>497167</v>
      </c>
      <c r="F586">
        <v>6.8791710000000004</v>
      </c>
      <c r="G586">
        <v>217.374</v>
      </c>
      <c r="H586">
        <v>3.7178688524590173</v>
      </c>
    </row>
    <row r="587" spans="1:8" x14ac:dyDescent="0.3">
      <c r="A587" t="s">
        <v>6</v>
      </c>
      <c r="B587">
        <v>2010.2</v>
      </c>
      <c r="C587">
        <v>0</v>
      </c>
      <c r="D587">
        <v>53.87</v>
      </c>
      <c r="E587">
        <f t="shared" si="1"/>
        <v>497167</v>
      </c>
      <c r="F587">
        <v>6.7584390000000001</v>
      </c>
      <c r="G587">
        <v>217.29733333333334</v>
      </c>
      <c r="H587">
        <v>3.4924999999999993</v>
      </c>
    </row>
    <row r="588" spans="1:8" x14ac:dyDescent="0.3">
      <c r="A588" t="s">
        <v>6</v>
      </c>
      <c r="B588">
        <v>2010.3</v>
      </c>
      <c r="C588">
        <v>1371</v>
      </c>
      <c r="D588">
        <v>53.56</v>
      </c>
      <c r="E588">
        <f t="shared" si="1"/>
        <v>498538</v>
      </c>
      <c r="F588">
        <v>6.6143520000000002</v>
      </c>
      <c r="G588">
        <v>217.93433333333334</v>
      </c>
      <c r="H588">
        <v>2.7845312500000015</v>
      </c>
    </row>
    <row r="589" spans="1:8" x14ac:dyDescent="0.3">
      <c r="A589" t="s">
        <v>6</v>
      </c>
      <c r="B589">
        <v>2010.4</v>
      </c>
      <c r="C589">
        <v>259</v>
      </c>
      <c r="D589">
        <v>52.97</v>
      </c>
      <c r="E589">
        <f t="shared" si="1"/>
        <v>498797</v>
      </c>
      <c r="F589">
        <v>6.3602910000000001</v>
      </c>
      <c r="G589">
        <v>219.69900000000001</v>
      </c>
      <c r="H589">
        <v>2.8783870967741949</v>
      </c>
    </row>
    <row r="590" spans="1:8" x14ac:dyDescent="0.3">
      <c r="A590" t="s">
        <v>6</v>
      </c>
      <c r="B590">
        <v>2011.1</v>
      </c>
      <c r="C590">
        <v>88</v>
      </c>
      <c r="D590">
        <v>52.81</v>
      </c>
      <c r="E590">
        <f t="shared" si="1"/>
        <v>498885</v>
      </c>
      <c r="F590">
        <v>6.0857970000000003</v>
      </c>
      <c r="G590">
        <v>222.04366666666667</v>
      </c>
      <c r="H590">
        <v>3.4574193548387107</v>
      </c>
    </row>
    <row r="591" spans="1:8" x14ac:dyDescent="0.3">
      <c r="A591" t="s">
        <v>6</v>
      </c>
      <c r="B591">
        <v>2011.2</v>
      </c>
      <c r="C591">
        <v>0</v>
      </c>
      <c r="D591">
        <v>55.26</v>
      </c>
      <c r="E591">
        <f t="shared" si="1"/>
        <v>498885</v>
      </c>
      <c r="F591">
        <v>5.7741720000000001</v>
      </c>
      <c r="G591">
        <v>224.56833333333333</v>
      </c>
      <c r="H591">
        <v>3.201428571428572</v>
      </c>
    </row>
    <row r="592" spans="1:8" x14ac:dyDescent="0.3">
      <c r="A592" t="s">
        <v>6</v>
      </c>
      <c r="B592">
        <v>2011.3</v>
      </c>
      <c r="C592">
        <v>0</v>
      </c>
      <c r="D592">
        <v>55.85</v>
      </c>
      <c r="E592">
        <f t="shared" si="1"/>
        <v>498885</v>
      </c>
      <c r="F592">
        <v>5.4525949999999996</v>
      </c>
      <c r="G592">
        <v>226.03266666666667</v>
      </c>
      <c r="H592">
        <v>2.4142187500000003</v>
      </c>
    </row>
    <row r="593" spans="1:8" x14ac:dyDescent="0.3">
      <c r="A593" t="s">
        <v>6</v>
      </c>
      <c r="B593">
        <v>2011.4</v>
      </c>
      <c r="C593">
        <v>66</v>
      </c>
      <c r="D593">
        <v>56.84</v>
      </c>
      <c r="E593">
        <f t="shared" si="1"/>
        <v>498951</v>
      </c>
      <c r="F593">
        <v>5.1790039999999999</v>
      </c>
      <c r="G593">
        <v>227.04733333333334</v>
      </c>
      <c r="H593">
        <v>2.0467213114754093</v>
      </c>
    </row>
    <row r="594" spans="1:8" x14ac:dyDescent="0.3">
      <c r="A594" t="s">
        <v>6</v>
      </c>
      <c r="B594">
        <v>2012.1</v>
      </c>
      <c r="C594">
        <v>0</v>
      </c>
      <c r="D594">
        <v>56.3</v>
      </c>
      <c r="E594">
        <f t="shared" si="1"/>
        <v>498951</v>
      </c>
      <c r="F594">
        <v>5.051812</v>
      </c>
      <c r="G594">
        <v>228.32599999999999</v>
      </c>
      <c r="H594">
        <v>2.0400000000000005</v>
      </c>
    </row>
    <row r="595" spans="1:8" x14ac:dyDescent="0.3">
      <c r="A595" t="s">
        <v>6</v>
      </c>
      <c r="B595">
        <v>2012.2</v>
      </c>
      <c r="C595">
        <v>0</v>
      </c>
      <c r="D595">
        <v>58.69</v>
      </c>
      <c r="E595">
        <f t="shared" si="1"/>
        <v>498951</v>
      </c>
      <c r="F595">
        <v>4.9569190000000001</v>
      </c>
      <c r="G595">
        <v>228.80799999999999</v>
      </c>
      <c r="H595">
        <v>1.8257812499999995</v>
      </c>
    </row>
    <row r="596" spans="1:8" x14ac:dyDescent="0.3">
      <c r="A596" t="s">
        <v>6</v>
      </c>
      <c r="B596">
        <v>2012.3</v>
      </c>
      <c r="C596">
        <v>23</v>
      </c>
      <c r="D596">
        <v>58.98</v>
      </c>
      <c r="E596">
        <f t="shared" si="1"/>
        <v>498974</v>
      </c>
      <c r="F596">
        <v>4.9337479999999996</v>
      </c>
      <c r="G596">
        <v>229.84100000000001</v>
      </c>
      <c r="H596">
        <v>1.6412698412698408</v>
      </c>
    </row>
    <row r="597" spans="1:8" x14ac:dyDescent="0.3">
      <c r="A597" t="s">
        <v>6</v>
      </c>
      <c r="B597">
        <v>2012.4</v>
      </c>
      <c r="C597">
        <v>0</v>
      </c>
      <c r="D597">
        <v>60.35</v>
      </c>
      <c r="E597">
        <f t="shared" si="1"/>
        <v>498974</v>
      </c>
      <c r="F597">
        <v>4.928375</v>
      </c>
      <c r="G597">
        <v>231.36933333333334</v>
      </c>
      <c r="H597">
        <v>1.7070491803278682</v>
      </c>
    </row>
    <row r="598" spans="1:8" x14ac:dyDescent="0.3">
      <c r="A598" t="s">
        <v>6</v>
      </c>
      <c r="B598">
        <v>2013.1</v>
      </c>
      <c r="C598">
        <v>0</v>
      </c>
      <c r="D598">
        <v>59.51</v>
      </c>
      <c r="E598">
        <f t="shared" si="1"/>
        <v>498974</v>
      </c>
      <c r="F598">
        <v>4.8016829999999997</v>
      </c>
      <c r="G598">
        <v>232.29933333333332</v>
      </c>
      <c r="H598">
        <v>1.9510000000000003</v>
      </c>
    </row>
    <row r="599" spans="1:8" x14ac:dyDescent="0.3">
      <c r="A599" t="s">
        <v>6</v>
      </c>
      <c r="B599">
        <v>2013.2</v>
      </c>
      <c r="C599">
        <v>0</v>
      </c>
      <c r="D599">
        <v>59.24</v>
      </c>
      <c r="E599">
        <f t="shared" si="1"/>
        <v>498974</v>
      </c>
      <c r="F599">
        <v>4.7192410000000002</v>
      </c>
      <c r="G599">
        <v>232.04499999999999</v>
      </c>
      <c r="H599">
        <v>1.9862499999999992</v>
      </c>
    </row>
    <row r="600" spans="1:8" x14ac:dyDescent="0.3">
      <c r="A600" t="s">
        <v>6</v>
      </c>
      <c r="B600">
        <v>2013.3</v>
      </c>
      <c r="C600">
        <v>421</v>
      </c>
      <c r="D600">
        <v>59.12</v>
      </c>
      <c r="E600">
        <f t="shared" si="1"/>
        <v>499395</v>
      </c>
      <c r="F600">
        <v>4.6646869999999998</v>
      </c>
      <c r="G600">
        <v>233.3</v>
      </c>
      <c r="H600">
        <v>2.7065624999999995</v>
      </c>
    </row>
    <row r="601" spans="1:8" x14ac:dyDescent="0.3">
      <c r="A601" t="s">
        <v>6</v>
      </c>
      <c r="B601">
        <v>2013.4</v>
      </c>
      <c r="C601">
        <v>3903</v>
      </c>
      <c r="D601">
        <v>60.27</v>
      </c>
      <c r="E601">
        <f t="shared" si="1"/>
        <v>503298</v>
      </c>
      <c r="F601">
        <v>4.5459240000000003</v>
      </c>
      <c r="G601">
        <v>234.16266666666667</v>
      </c>
      <c r="H601">
        <v>2.7441935483870958</v>
      </c>
    </row>
    <row r="602" spans="1:8" x14ac:dyDescent="0.3">
      <c r="A602" t="s">
        <v>6</v>
      </c>
      <c r="B602">
        <v>2014.1</v>
      </c>
      <c r="C602">
        <v>33</v>
      </c>
      <c r="D602">
        <v>61.44</v>
      </c>
      <c r="E602">
        <f t="shared" si="1"/>
        <v>503331</v>
      </c>
      <c r="F602">
        <v>4.4858770000000003</v>
      </c>
      <c r="G602">
        <v>235.62100000000001</v>
      </c>
      <c r="H602">
        <v>2.7654098360655737</v>
      </c>
    </row>
    <row r="603" spans="1:8" x14ac:dyDescent="0.3">
      <c r="A603" t="s">
        <v>6</v>
      </c>
      <c r="B603">
        <v>2014.2</v>
      </c>
      <c r="C603">
        <v>35</v>
      </c>
      <c r="D603">
        <v>60.39</v>
      </c>
      <c r="E603">
        <f t="shared" si="1"/>
        <v>503366</v>
      </c>
      <c r="F603">
        <v>4.4148040000000002</v>
      </c>
      <c r="G603">
        <v>236.87233333333333</v>
      </c>
      <c r="H603">
        <v>2.6209523809523816</v>
      </c>
    </row>
    <row r="604" spans="1:8" x14ac:dyDescent="0.3">
      <c r="A604" t="s">
        <v>6</v>
      </c>
      <c r="B604">
        <v>2014.3</v>
      </c>
      <c r="C604">
        <v>528</v>
      </c>
      <c r="D604">
        <v>64.7</v>
      </c>
      <c r="E604">
        <f t="shared" si="1"/>
        <v>503894</v>
      </c>
      <c r="F604">
        <v>4.3681020000000004</v>
      </c>
      <c r="G604">
        <v>237.47833333333332</v>
      </c>
      <c r="H604">
        <v>2.4995312500000004</v>
      </c>
    </row>
    <row r="605" spans="1:8" x14ac:dyDescent="0.3">
      <c r="A605" t="s">
        <v>6</v>
      </c>
      <c r="B605">
        <v>2014.4</v>
      </c>
      <c r="C605">
        <v>3000</v>
      </c>
      <c r="D605">
        <v>63.72</v>
      </c>
      <c r="E605">
        <f t="shared" si="1"/>
        <v>506894</v>
      </c>
      <c r="F605">
        <v>4.3709930000000004</v>
      </c>
      <c r="G605">
        <v>236.88833333333332</v>
      </c>
      <c r="H605">
        <v>2.2759677419354838</v>
      </c>
    </row>
    <row r="606" spans="1:8" x14ac:dyDescent="0.3">
      <c r="A606" t="s">
        <v>6</v>
      </c>
      <c r="B606">
        <v>2015.1</v>
      </c>
      <c r="C606">
        <v>0</v>
      </c>
      <c r="D606">
        <v>63.52</v>
      </c>
      <c r="E606">
        <f t="shared" si="1"/>
        <v>506894</v>
      </c>
      <c r="F606">
        <v>4.2704779999999998</v>
      </c>
      <c r="G606">
        <v>235.35499999999999</v>
      </c>
      <c r="H606">
        <v>1.9688524590163936</v>
      </c>
    </row>
    <row r="607" spans="1:8" x14ac:dyDescent="0.3">
      <c r="A607" t="s">
        <v>6</v>
      </c>
      <c r="B607">
        <v>2015.2</v>
      </c>
      <c r="C607">
        <v>298</v>
      </c>
      <c r="D607">
        <v>64.430000000000007</v>
      </c>
      <c r="E607">
        <f t="shared" si="1"/>
        <v>507192</v>
      </c>
      <c r="F607">
        <v>4.2170100000000001</v>
      </c>
      <c r="G607">
        <v>236.96</v>
      </c>
      <c r="H607">
        <v>2.1643750000000002</v>
      </c>
    </row>
    <row r="608" spans="1:8" x14ac:dyDescent="0.3">
      <c r="A608" t="s">
        <v>6</v>
      </c>
      <c r="B608">
        <v>2015.3</v>
      </c>
      <c r="C608">
        <v>470</v>
      </c>
      <c r="D608">
        <v>66.83</v>
      </c>
      <c r="E608">
        <f t="shared" si="1"/>
        <v>507662</v>
      </c>
      <c r="F608">
        <v>4.1024799999999999</v>
      </c>
      <c r="G608">
        <v>237.85499999999999</v>
      </c>
      <c r="H608">
        <v>2.223125</v>
      </c>
    </row>
    <row r="609" spans="1:8" x14ac:dyDescent="0.3">
      <c r="A609" t="s">
        <v>6</v>
      </c>
      <c r="B609">
        <v>2015.4</v>
      </c>
      <c r="C609">
        <v>0</v>
      </c>
      <c r="D609">
        <v>66.86</v>
      </c>
      <c r="E609">
        <f t="shared" si="1"/>
        <v>507662</v>
      </c>
      <c r="F609">
        <v>3.940515</v>
      </c>
      <c r="G609">
        <v>237.83699999999999</v>
      </c>
      <c r="H609">
        <v>2.1904838709677414</v>
      </c>
    </row>
    <row r="610" spans="1:8" x14ac:dyDescent="0.3">
      <c r="A610" t="s">
        <v>6</v>
      </c>
      <c r="B610">
        <v>2016.1</v>
      </c>
      <c r="C610">
        <v>0</v>
      </c>
      <c r="D610">
        <v>67.23</v>
      </c>
      <c r="E610">
        <f t="shared" si="1"/>
        <v>507662</v>
      </c>
      <c r="F610">
        <v>3.9390390000000002</v>
      </c>
      <c r="G610">
        <v>237.68933333333334</v>
      </c>
      <c r="H610">
        <v>1.9142619999999999</v>
      </c>
    </row>
    <row r="611" spans="1:8" x14ac:dyDescent="0.3">
      <c r="A611" t="s">
        <v>6</v>
      </c>
      <c r="B611">
        <v>2016.2</v>
      </c>
      <c r="C611">
        <v>1700</v>
      </c>
      <c r="D611">
        <v>66.510000000000005</v>
      </c>
      <c r="E611">
        <f t="shared" si="1"/>
        <v>509362</v>
      </c>
      <c r="F611">
        <v>3.7995009999999998</v>
      </c>
      <c r="G611">
        <v>239.59033333333332</v>
      </c>
      <c r="H611">
        <v>1.750156</v>
      </c>
    </row>
    <row r="612" spans="1:8" x14ac:dyDescent="0.3">
      <c r="A612" t="s">
        <v>6</v>
      </c>
      <c r="B612">
        <v>2016.3</v>
      </c>
      <c r="C612">
        <v>0</v>
      </c>
      <c r="D612">
        <v>66.459999999999994</v>
      </c>
      <c r="E612">
        <f t="shared" si="1"/>
        <v>509362</v>
      </c>
      <c r="F612">
        <v>3.7430289999999999</v>
      </c>
      <c r="G612">
        <v>240.60733333333334</v>
      </c>
      <c r="H612">
        <v>1.5643750000000001</v>
      </c>
    </row>
    <row r="613" spans="1:8" x14ac:dyDescent="0.3">
      <c r="A613" t="s">
        <v>6</v>
      </c>
      <c r="B613">
        <v>2016.4</v>
      </c>
      <c r="C613">
        <v>328</v>
      </c>
      <c r="D613">
        <v>66.97</v>
      </c>
      <c r="E613">
        <f t="shared" si="1"/>
        <v>509690</v>
      </c>
      <c r="F613">
        <v>3.639294</v>
      </c>
      <c r="G613">
        <v>242.13466666666667</v>
      </c>
      <c r="H613">
        <v>2.1386889999999998</v>
      </c>
    </row>
    <row r="614" spans="1:8" x14ac:dyDescent="0.3">
      <c r="A614" t="s">
        <v>6</v>
      </c>
      <c r="B614">
        <v>2017.1</v>
      </c>
      <c r="C614">
        <v>29</v>
      </c>
      <c r="D614">
        <v>68.13</v>
      </c>
      <c r="E614">
        <f t="shared" si="1"/>
        <v>509719</v>
      </c>
      <c r="F614">
        <v>3.6377830000000002</v>
      </c>
      <c r="G614">
        <v>243.83866666666665</v>
      </c>
      <c r="H614">
        <v>2.4466130000000001</v>
      </c>
    </row>
    <row r="615" spans="1:8" x14ac:dyDescent="0.3">
      <c r="A615" t="s">
        <v>6</v>
      </c>
      <c r="B615">
        <v>2017.2</v>
      </c>
      <c r="C615">
        <v>0</v>
      </c>
      <c r="D615">
        <v>68.180000000000007</v>
      </c>
      <c r="E615">
        <f t="shared" si="1"/>
        <v>509719</v>
      </c>
      <c r="F615">
        <v>3.6725210000000001</v>
      </c>
      <c r="G615">
        <v>244.12</v>
      </c>
      <c r="H615">
        <v>2.2609520000000001</v>
      </c>
    </row>
    <row r="616" spans="1:8" x14ac:dyDescent="0.3">
      <c r="A616" t="s">
        <v>6</v>
      </c>
      <c r="B616">
        <v>2017.3</v>
      </c>
      <c r="C616">
        <v>86</v>
      </c>
      <c r="D616">
        <v>68.650000000000006</v>
      </c>
      <c r="E616">
        <f t="shared" si="1"/>
        <v>509805</v>
      </c>
      <c r="F616">
        <v>3.695916</v>
      </c>
      <c r="G616">
        <v>245.28700000000001</v>
      </c>
      <c r="H616">
        <v>2.2414290000000001</v>
      </c>
    </row>
    <row r="617" spans="1:8" x14ac:dyDescent="0.3">
      <c r="A617" t="s">
        <v>15</v>
      </c>
      <c r="B617">
        <v>1987.1</v>
      </c>
      <c r="C617">
        <v>304</v>
      </c>
      <c r="D617">
        <v>19.68</v>
      </c>
      <c r="E617">
        <v>34721</v>
      </c>
      <c r="F617">
        <v>7.9697849999999999</v>
      </c>
      <c r="G617">
        <v>111.8</v>
      </c>
      <c r="H617">
        <v>7.1954098360655747</v>
      </c>
    </row>
    <row r="618" spans="1:8" x14ac:dyDescent="0.3">
      <c r="A618" t="s">
        <v>15</v>
      </c>
      <c r="B618">
        <v>1987.2</v>
      </c>
      <c r="C618">
        <v>592</v>
      </c>
      <c r="D618">
        <v>19.170000000000002</v>
      </c>
      <c r="E618">
        <v>35313</v>
      </c>
      <c r="F618">
        <v>8.0663180000000008</v>
      </c>
      <c r="G618">
        <v>113.06666666666666</v>
      </c>
      <c r="H618">
        <v>8.3426984126984127</v>
      </c>
    </row>
    <row r="619" spans="1:8" x14ac:dyDescent="0.3">
      <c r="A619" t="s">
        <v>15</v>
      </c>
      <c r="B619">
        <v>1987.3</v>
      </c>
      <c r="C619">
        <v>882</v>
      </c>
      <c r="D619">
        <v>18.91</v>
      </c>
      <c r="E619">
        <v>36195</v>
      </c>
      <c r="F619">
        <v>8.1237089999999998</v>
      </c>
      <c r="G619">
        <v>114.26666666666667</v>
      </c>
      <c r="H619">
        <v>8.8696874999999995</v>
      </c>
    </row>
    <row r="620" spans="1:8" x14ac:dyDescent="0.3">
      <c r="A620" t="s">
        <v>15</v>
      </c>
      <c r="B620">
        <v>1987.4</v>
      </c>
      <c r="C620">
        <v>4010</v>
      </c>
      <c r="D620">
        <v>18.66</v>
      </c>
      <c r="E620">
        <v>40205</v>
      </c>
      <c r="F620">
        <v>8.0841390000000004</v>
      </c>
      <c r="G620">
        <v>115.33333333333333</v>
      </c>
      <c r="H620">
        <v>9.129032258064516</v>
      </c>
    </row>
    <row r="621" spans="1:8" x14ac:dyDescent="0.3">
      <c r="A621" t="s">
        <v>15</v>
      </c>
      <c r="B621">
        <v>1988.1</v>
      </c>
      <c r="C621">
        <v>1233</v>
      </c>
      <c r="D621">
        <v>18.79</v>
      </c>
      <c r="E621">
        <v>41438</v>
      </c>
      <c r="F621">
        <v>8.0189039999999991</v>
      </c>
      <c r="G621">
        <v>116.23333333333333</v>
      </c>
      <c r="H621">
        <v>8.4109677419354885</v>
      </c>
    </row>
    <row r="622" spans="1:8" x14ac:dyDescent="0.3">
      <c r="A622" t="s">
        <v>15</v>
      </c>
      <c r="B622">
        <v>1988.2</v>
      </c>
      <c r="C622">
        <v>1008</v>
      </c>
      <c r="D622">
        <v>18.91</v>
      </c>
      <c r="E622">
        <v>42446</v>
      </c>
      <c r="F622">
        <v>8.0386039999999994</v>
      </c>
      <c r="G622">
        <v>117.56666666666666</v>
      </c>
      <c r="H622">
        <v>8.9128571428571437</v>
      </c>
    </row>
    <row r="623" spans="1:8" x14ac:dyDescent="0.3">
      <c r="A623" t="s">
        <v>15</v>
      </c>
      <c r="B623">
        <v>1988.3</v>
      </c>
      <c r="C623">
        <v>726</v>
      </c>
      <c r="D623">
        <v>18.8</v>
      </c>
      <c r="E623">
        <v>43172</v>
      </c>
      <c r="F623">
        <v>7.8573219999999999</v>
      </c>
      <c r="G623">
        <v>119</v>
      </c>
      <c r="H623">
        <v>9.1035937500000035</v>
      </c>
    </row>
    <row r="624" spans="1:8" x14ac:dyDescent="0.3">
      <c r="A624" t="s">
        <v>15</v>
      </c>
      <c r="B624">
        <v>1988.4</v>
      </c>
      <c r="C624">
        <v>172</v>
      </c>
      <c r="D624">
        <v>18.68</v>
      </c>
      <c r="E624">
        <v>43344</v>
      </c>
      <c r="F624">
        <v>7.5727409999999997</v>
      </c>
      <c r="G624">
        <v>120.3</v>
      </c>
      <c r="H624">
        <v>8.9570491803278678</v>
      </c>
    </row>
    <row r="625" spans="1:8" x14ac:dyDescent="0.3">
      <c r="A625" t="s">
        <v>15</v>
      </c>
      <c r="B625">
        <v>1989.1</v>
      </c>
      <c r="C625">
        <v>1905</v>
      </c>
      <c r="D625">
        <v>18.53</v>
      </c>
      <c r="E625">
        <v>45249</v>
      </c>
      <c r="F625">
        <v>7.5218100000000003</v>
      </c>
      <c r="G625">
        <v>121.66666666666667</v>
      </c>
      <c r="H625">
        <v>9.2116393442622968</v>
      </c>
    </row>
    <row r="626" spans="1:8" x14ac:dyDescent="0.3">
      <c r="A626" t="s">
        <v>15</v>
      </c>
      <c r="B626">
        <v>1989.2</v>
      </c>
      <c r="C626">
        <v>664</v>
      </c>
      <c r="D626">
        <v>18.38</v>
      </c>
      <c r="E626">
        <v>45913</v>
      </c>
      <c r="F626">
        <v>7.2671489999999999</v>
      </c>
      <c r="G626">
        <v>123.63333333333334</v>
      </c>
      <c r="H626">
        <v>8.7579687500000016</v>
      </c>
    </row>
    <row r="627" spans="1:8" x14ac:dyDescent="0.3">
      <c r="A627" t="s">
        <v>15</v>
      </c>
      <c r="B627">
        <v>1989.3</v>
      </c>
      <c r="C627">
        <v>841</v>
      </c>
      <c r="D627">
        <v>18.21</v>
      </c>
      <c r="E627">
        <v>46754</v>
      </c>
      <c r="F627">
        <v>7.0650440000000003</v>
      </c>
      <c r="G627">
        <v>124.6</v>
      </c>
      <c r="H627">
        <v>8.1074603174603155</v>
      </c>
    </row>
    <row r="628" spans="1:8" x14ac:dyDescent="0.3">
      <c r="A628" t="s">
        <v>15</v>
      </c>
      <c r="B628">
        <v>1989.4</v>
      </c>
      <c r="C628">
        <v>835</v>
      </c>
      <c r="D628">
        <v>18.05</v>
      </c>
      <c r="E628">
        <v>47589</v>
      </c>
      <c r="F628">
        <v>7.0493329999999998</v>
      </c>
      <c r="G628">
        <v>125.86666666666666</v>
      </c>
      <c r="H628">
        <v>7.9070967741935476</v>
      </c>
    </row>
    <row r="629" spans="1:8" x14ac:dyDescent="0.3">
      <c r="A629" t="s">
        <v>15</v>
      </c>
      <c r="B629">
        <v>1990.1</v>
      </c>
      <c r="C629">
        <v>1421</v>
      </c>
      <c r="D629">
        <v>18.170000000000002</v>
      </c>
      <c r="E629">
        <v>49010</v>
      </c>
      <c r="F629">
        <v>6.8633699999999997</v>
      </c>
      <c r="G629">
        <v>128.03333333333333</v>
      </c>
      <c r="H629">
        <v>8.4238709677419337</v>
      </c>
    </row>
    <row r="630" spans="1:8" x14ac:dyDescent="0.3">
      <c r="A630" t="s">
        <v>15</v>
      </c>
      <c r="B630">
        <v>1990.2</v>
      </c>
      <c r="C630">
        <v>533</v>
      </c>
      <c r="D630">
        <v>18.29</v>
      </c>
      <c r="E630">
        <v>49543</v>
      </c>
      <c r="F630">
        <v>6.5598409999999996</v>
      </c>
      <c r="G630">
        <v>129.30000000000001</v>
      </c>
      <c r="H630">
        <v>8.6741269841269819</v>
      </c>
    </row>
    <row r="631" spans="1:8" x14ac:dyDescent="0.3">
      <c r="A631" t="s">
        <v>15</v>
      </c>
      <c r="B631">
        <v>1990.3</v>
      </c>
      <c r="C631">
        <v>1008</v>
      </c>
      <c r="D631">
        <v>18.260000000000002</v>
      </c>
      <c r="E631">
        <v>50551</v>
      </c>
      <c r="F631">
        <v>6.4756980000000004</v>
      </c>
      <c r="G631">
        <v>131.53333333333333</v>
      </c>
      <c r="H631">
        <v>8.7012698412698413</v>
      </c>
    </row>
    <row r="632" spans="1:8" x14ac:dyDescent="0.3">
      <c r="A632" t="s">
        <v>15</v>
      </c>
      <c r="B632">
        <v>1990.4</v>
      </c>
      <c r="C632">
        <v>731</v>
      </c>
      <c r="D632">
        <v>18.239999999999998</v>
      </c>
      <c r="E632">
        <v>51282</v>
      </c>
      <c r="F632">
        <v>6.6197239999999997</v>
      </c>
      <c r="G632">
        <v>133.76666666666668</v>
      </c>
      <c r="H632">
        <v>8.4059677419354859</v>
      </c>
    </row>
    <row r="633" spans="1:8" x14ac:dyDescent="0.3">
      <c r="A633" t="s">
        <v>15</v>
      </c>
      <c r="B633">
        <v>1991.1</v>
      </c>
      <c r="C633">
        <v>401</v>
      </c>
      <c r="D633">
        <v>18.14</v>
      </c>
      <c r="E633">
        <v>51683</v>
      </c>
      <c r="F633">
        <v>6.4964880000000003</v>
      </c>
      <c r="G633">
        <v>134.76666666666668</v>
      </c>
      <c r="H633">
        <v>8.0231666666666648</v>
      </c>
    </row>
    <row r="634" spans="1:8" x14ac:dyDescent="0.3">
      <c r="A634" t="s">
        <v>15</v>
      </c>
      <c r="B634">
        <v>1991.2</v>
      </c>
      <c r="C634">
        <v>445</v>
      </c>
      <c r="D634">
        <v>18.03</v>
      </c>
      <c r="E634">
        <v>52128</v>
      </c>
      <c r="F634">
        <v>6.6645799999999999</v>
      </c>
      <c r="G634">
        <v>135.56666666666666</v>
      </c>
      <c r="H634">
        <v>8.1254687499999996</v>
      </c>
    </row>
    <row r="635" spans="1:8" x14ac:dyDescent="0.3">
      <c r="A635" t="s">
        <v>15</v>
      </c>
      <c r="B635">
        <v>1991.3</v>
      </c>
      <c r="C635">
        <v>645</v>
      </c>
      <c r="D635">
        <v>17.78</v>
      </c>
      <c r="E635">
        <v>52773</v>
      </c>
      <c r="F635">
        <v>6.5759749999999997</v>
      </c>
      <c r="G635">
        <v>136.6</v>
      </c>
      <c r="H635">
        <v>7.9499999999999993</v>
      </c>
    </row>
    <row r="636" spans="1:8" x14ac:dyDescent="0.3">
      <c r="A636" t="s">
        <v>15</v>
      </c>
      <c r="B636">
        <v>1991.4</v>
      </c>
      <c r="C636">
        <v>546</v>
      </c>
      <c r="D636">
        <v>17.53</v>
      </c>
      <c r="E636">
        <v>53319</v>
      </c>
      <c r="F636">
        <v>6.3341510000000003</v>
      </c>
      <c r="G636">
        <v>137.73333333333332</v>
      </c>
      <c r="H636">
        <v>7.3450000000000006</v>
      </c>
    </row>
    <row r="637" spans="1:8" x14ac:dyDescent="0.3">
      <c r="A637" t="s">
        <v>15</v>
      </c>
      <c r="B637">
        <v>1992.1</v>
      </c>
      <c r="C637">
        <v>192</v>
      </c>
      <c r="D637">
        <v>16.96</v>
      </c>
      <c r="E637">
        <v>53511</v>
      </c>
      <c r="F637">
        <v>6.6432019999999996</v>
      </c>
      <c r="G637">
        <v>138.66666666666666</v>
      </c>
      <c r="H637">
        <v>7.3069354838709675</v>
      </c>
    </row>
    <row r="638" spans="1:8" x14ac:dyDescent="0.3">
      <c r="A638" t="s">
        <v>15</v>
      </c>
      <c r="B638">
        <v>1992.2</v>
      </c>
      <c r="C638">
        <v>34</v>
      </c>
      <c r="D638">
        <v>16.399999999999999</v>
      </c>
      <c r="E638">
        <v>53545</v>
      </c>
      <c r="F638">
        <v>6.8898849999999996</v>
      </c>
      <c r="G638">
        <v>139.73333333333332</v>
      </c>
      <c r="H638">
        <v>7.3760317460317451</v>
      </c>
    </row>
    <row r="639" spans="1:8" x14ac:dyDescent="0.3">
      <c r="A639" t="s">
        <v>15</v>
      </c>
      <c r="B639">
        <v>1992.3</v>
      </c>
      <c r="C639">
        <v>188</v>
      </c>
      <c r="D639">
        <v>16.260000000000002</v>
      </c>
      <c r="E639">
        <v>53733</v>
      </c>
      <c r="F639">
        <v>7.3588399999999998</v>
      </c>
      <c r="G639">
        <v>140.80000000000001</v>
      </c>
      <c r="H639">
        <v>6.6187500000000021</v>
      </c>
    </row>
    <row r="640" spans="1:8" x14ac:dyDescent="0.3">
      <c r="A640" t="s">
        <v>15</v>
      </c>
      <c r="B640">
        <v>1992.4</v>
      </c>
      <c r="C640">
        <v>0</v>
      </c>
      <c r="D640">
        <v>16.11</v>
      </c>
      <c r="E640">
        <v>53733</v>
      </c>
      <c r="F640">
        <v>8.0460980000000006</v>
      </c>
      <c r="G640">
        <v>142.03333333333333</v>
      </c>
      <c r="H640">
        <v>6.7403225806451594</v>
      </c>
    </row>
    <row r="641" spans="1:8" x14ac:dyDescent="0.3">
      <c r="A641" t="s">
        <v>15</v>
      </c>
      <c r="B641">
        <v>1993.1</v>
      </c>
      <c r="C641">
        <v>0</v>
      </c>
      <c r="D641">
        <v>15.89</v>
      </c>
      <c r="E641">
        <v>53733</v>
      </c>
      <c r="F641">
        <v>8.5690469999999994</v>
      </c>
      <c r="G641">
        <v>143.06666666666666</v>
      </c>
      <c r="H641">
        <v>6.2581967213114744</v>
      </c>
    </row>
    <row r="642" spans="1:8" x14ac:dyDescent="0.3">
      <c r="A642" t="s">
        <v>15</v>
      </c>
      <c r="B642">
        <v>1993.2</v>
      </c>
      <c r="C642">
        <v>0</v>
      </c>
      <c r="D642">
        <v>15.67</v>
      </c>
      <c r="E642">
        <v>53733</v>
      </c>
      <c r="F642">
        <v>9.0945719999999994</v>
      </c>
      <c r="G642">
        <v>144.1</v>
      </c>
      <c r="H642">
        <v>5.9880952380952381</v>
      </c>
    </row>
    <row r="643" spans="1:8" x14ac:dyDescent="0.3">
      <c r="A643" t="s">
        <v>15</v>
      </c>
      <c r="B643">
        <v>1993.3</v>
      </c>
      <c r="C643">
        <v>0</v>
      </c>
      <c r="D643">
        <v>15.58</v>
      </c>
      <c r="E643">
        <v>53733</v>
      </c>
      <c r="F643">
        <v>9.2166399999999999</v>
      </c>
      <c r="G643">
        <v>144.76666666666668</v>
      </c>
      <c r="H643">
        <v>5.6153125000000017</v>
      </c>
    </row>
    <row r="644" spans="1:8" x14ac:dyDescent="0.3">
      <c r="A644" t="s">
        <v>15</v>
      </c>
      <c r="B644">
        <v>1993.4</v>
      </c>
      <c r="C644">
        <v>0</v>
      </c>
      <c r="D644">
        <v>15.5</v>
      </c>
      <c r="E644">
        <v>53733</v>
      </c>
      <c r="F644">
        <v>9.2823390000000003</v>
      </c>
      <c r="G644">
        <v>145.96666666666667</v>
      </c>
      <c r="H644">
        <v>5.6159677419354841</v>
      </c>
    </row>
    <row r="645" spans="1:8" x14ac:dyDescent="0.3">
      <c r="A645" t="s">
        <v>15</v>
      </c>
      <c r="B645">
        <v>1994.1</v>
      </c>
      <c r="C645">
        <v>0</v>
      </c>
      <c r="D645">
        <v>15.76</v>
      </c>
      <c r="E645">
        <v>53733</v>
      </c>
      <c r="F645">
        <v>9.2626840000000001</v>
      </c>
      <c r="G645">
        <v>146.69999999999999</v>
      </c>
      <c r="H645">
        <v>6.09032258064516</v>
      </c>
    </row>
    <row r="646" spans="1:8" x14ac:dyDescent="0.3">
      <c r="A646" t="s">
        <v>15</v>
      </c>
      <c r="B646">
        <v>1994.2</v>
      </c>
      <c r="C646">
        <v>0</v>
      </c>
      <c r="D646">
        <v>16.02</v>
      </c>
      <c r="E646">
        <v>53733</v>
      </c>
      <c r="F646">
        <v>9.1553909999999998</v>
      </c>
      <c r="G646">
        <v>147.53333333333333</v>
      </c>
      <c r="H646">
        <v>7.0895161290322593</v>
      </c>
    </row>
    <row r="647" spans="1:8" x14ac:dyDescent="0.3">
      <c r="A647" t="s">
        <v>15</v>
      </c>
      <c r="B647">
        <v>1994.3</v>
      </c>
      <c r="C647">
        <v>245</v>
      </c>
      <c r="D647">
        <v>16.02</v>
      </c>
      <c r="E647">
        <v>53978</v>
      </c>
      <c r="F647">
        <v>9.2637640000000001</v>
      </c>
      <c r="G647">
        <v>148.9</v>
      </c>
      <c r="H647">
        <v>7.327968750000001</v>
      </c>
    </row>
    <row r="648" spans="1:8" x14ac:dyDescent="0.3">
      <c r="A648" t="s">
        <v>15</v>
      </c>
      <c r="B648">
        <v>1994.4</v>
      </c>
      <c r="C648">
        <v>0</v>
      </c>
      <c r="D648">
        <v>16.02</v>
      </c>
      <c r="E648">
        <v>53978</v>
      </c>
      <c r="F648">
        <v>9.6316970000000008</v>
      </c>
      <c r="G648">
        <v>149.76666666666668</v>
      </c>
      <c r="H648">
        <v>7.8372131147540989</v>
      </c>
    </row>
    <row r="649" spans="1:8" x14ac:dyDescent="0.3">
      <c r="A649" t="s">
        <v>15</v>
      </c>
      <c r="B649">
        <v>1995.1</v>
      </c>
      <c r="C649">
        <v>0</v>
      </c>
      <c r="D649">
        <v>16.22</v>
      </c>
      <c r="E649">
        <v>53978</v>
      </c>
      <c r="F649">
        <v>9.8319650000000003</v>
      </c>
      <c r="G649">
        <v>150.86666666666667</v>
      </c>
      <c r="H649">
        <v>7.4712903225806464</v>
      </c>
    </row>
    <row r="650" spans="1:8" x14ac:dyDescent="0.3">
      <c r="A650" t="s">
        <v>15</v>
      </c>
      <c r="B650">
        <v>1995.2</v>
      </c>
      <c r="C650">
        <v>32</v>
      </c>
      <c r="D650">
        <v>16.420000000000002</v>
      </c>
      <c r="E650">
        <v>54010</v>
      </c>
      <c r="F650">
        <v>10.090389999999999</v>
      </c>
      <c r="G650">
        <v>152.1</v>
      </c>
      <c r="H650">
        <v>6.6001587301587294</v>
      </c>
    </row>
    <row r="651" spans="1:8" x14ac:dyDescent="0.3">
      <c r="A651" t="s">
        <v>15</v>
      </c>
      <c r="B651">
        <v>1995.3</v>
      </c>
      <c r="C651">
        <v>0</v>
      </c>
      <c r="D651">
        <v>16.600000000000001</v>
      </c>
      <c r="E651">
        <v>54010</v>
      </c>
      <c r="F651">
        <v>10.334210000000001</v>
      </c>
      <c r="G651">
        <v>152.86666666666667</v>
      </c>
      <c r="H651">
        <v>6.3292063492063484</v>
      </c>
    </row>
    <row r="652" spans="1:8" x14ac:dyDescent="0.3">
      <c r="A652" t="s">
        <v>15</v>
      </c>
      <c r="B652">
        <v>1995.4</v>
      </c>
      <c r="C652">
        <v>0</v>
      </c>
      <c r="D652">
        <v>16.78</v>
      </c>
      <c r="E652">
        <v>54010</v>
      </c>
      <c r="F652">
        <v>9.7295289999999994</v>
      </c>
      <c r="G652">
        <v>153.69999999999999</v>
      </c>
      <c r="H652">
        <v>5.8985483870967741</v>
      </c>
    </row>
    <row r="653" spans="1:8" x14ac:dyDescent="0.3">
      <c r="A653" t="s">
        <v>15</v>
      </c>
      <c r="B653">
        <v>1996.1</v>
      </c>
      <c r="C653">
        <v>0</v>
      </c>
      <c r="D653">
        <v>17.02</v>
      </c>
      <c r="E653">
        <v>54010</v>
      </c>
      <c r="F653">
        <v>9.1674860000000002</v>
      </c>
      <c r="G653">
        <v>155.06666666666666</v>
      </c>
      <c r="H653">
        <v>5.9104838709677407</v>
      </c>
    </row>
    <row r="654" spans="1:8" x14ac:dyDescent="0.3">
      <c r="A654" t="s">
        <v>15</v>
      </c>
      <c r="B654">
        <v>1996.2</v>
      </c>
      <c r="C654">
        <v>0</v>
      </c>
      <c r="D654">
        <v>17.260000000000002</v>
      </c>
      <c r="E654">
        <v>54010</v>
      </c>
      <c r="F654">
        <v>8.8304379999999991</v>
      </c>
      <c r="G654">
        <v>156.4</v>
      </c>
      <c r="H654">
        <v>6.7140624999999998</v>
      </c>
    </row>
    <row r="655" spans="1:8" x14ac:dyDescent="0.3">
      <c r="A655" t="s">
        <v>15</v>
      </c>
      <c r="B655">
        <v>1996.3</v>
      </c>
      <c r="C655">
        <v>44</v>
      </c>
      <c r="D655">
        <v>17.54</v>
      </c>
      <c r="E655">
        <v>54054</v>
      </c>
      <c r="F655">
        <v>9.0277239999999992</v>
      </c>
      <c r="G655">
        <v>157.30000000000001</v>
      </c>
      <c r="H655">
        <v>6.7759375000000022</v>
      </c>
    </row>
    <row r="656" spans="1:8" x14ac:dyDescent="0.3">
      <c r="A656" t="s">
        <v>15</v>
      </c>
      <c r="B656">
        <v>1996.4</v>
      </c>
      <c r="C656">
        <v>63</v>
      </c>
      <c r="D656">
        <v>17.829999999999998</v>
      </c>
      <c r="E656">
        <v>54117</v>
      </c>
      <c r="F656">
        <v>9.1639789999999994</v>
      </c>
      <c r="G656">
        <v>158.66666666666666</v>
      </c>
      <c r="H656">
        <v>6.3541935483870962</v>
      </c>
    </row>
    <row r="657" spans="1:8" x14ac:dyDescent="0.3">
      <c r="A657" t="s">
        <v>15</v>
      </c>
      <c r="B657">
        <v>1997.1</v>
      </c>
      <c r="C657">
        <v>78</v>
      </c>
      <c r="D657">
        <v>18.3</v>
      </c>
      <c r="E657">
        <v>54195</v>
      </c>
      <c r="F657">
        <v>9.3954540000000009</v>
      </c>
      <c r="G657">
        <v>159.63333333333333</v>
      </c>
      <c r="H657">
        <v>6.5670000000000028</v>
      </c>
    </row>
    <row r="658" spans="1:8" x14ac:dyDescent="0.3">
      <c r="A658" t="s">
        <v>15</v>
      </c>
      <c r="B658">
        <v>1997.2</v>
      </c>
      <c r="C658">
        <v>0</v>
      </c>
      <c r="D658">
        <v>18.78</v>
      </c>
      <c r="E658">
        <v>54195</v>
      </c>
      <c r="F658">
        <v>9.1005950000000002</v>
      </c>
      <c r="G658">
        <v>160</v>
      </c>
      <c r="H658">
        <v>6.6996874999999996</v>
      </c>
    </row>
    <row r="659" spans="1:8" x14ac:dyDescent="0.3">
      <c r="A659" t="s">
        <v>15</v>
      </c>
      <c r="B659">
        <v>1997.3</v>
      </c>
      <c r="C659">
        <v>54</v>
      </c>
      <c r="D659">
        <v>19.600000000000001</v>
      </c>
      <c r="E659">
        <v>54249</v>
      </c>
      <c r="F659">
        <v>8.784986</v>
      </c>
      <c r="G659">
        <v>160.80000000000001</v>
      </c>
      <c r="H659">
        <v>6.2421875</v>
      </c>
    </row>
    <row r="660" spans="1:8" x14ac:dyDescent="0.3">
      <c r="A660" t="s">
        <v>15</v>
      </c>
      <c r="B660">
        <v>1997.4</v>
      </c>
      <c r="C660">
        <v>0</v>
      </c>
      <c r="D660">
        <v>20.46</v>
      </c>
      <c r="E660">
        <v>54249</v>
      </c>
      <c r="F660">
        <v>8.4019549999999992</v>
      </c>
      <c r="G660">
        <v>161.66666666666666</v>
      </c>
      <c r="H660">
        <v>5.906290322580646</v>
      </c>
    </row>
    <row r="661" spans="1:8" x14ac:dyDescent="0.3">
      <c r="A661" t="s">
        <v>15</v>
      </c>
      <c r="B661">
        <v>1998.1</v>
      </c>
      <c r="C661">
        <v>154</v>
      </c>
      <c r="D661">
        <v>21.2</v>
      </c>
      <c r="E661">
        <v>54403</v>
      </c>
      <c r="F661">
        <v>7.7551129999999997</v>
      </c>
      <c r="G661">
        <v>162</v>
      </c>
      <c r="H661">
        <v>5.5909836065573773</v>
      </c>
    </row>
    <row r="662" spans="1:8" x14ac:dyDescent="0.3">
      <c r="A662" t="s">
        <v>15</v>
      </c>
      <c r="B662">
        <v>1998.2</v>
      </c>
      <c r="C662">
        <v>215</v>
      </c>
      <c r="D662">
        <v>21.95</v>
      </c>
      <c r="E662">
        <v>54618</v>
      </c>
      <c r="F662">
        <v>7.6502309999999998</v>
      </c>
      <c r="G662">
        <v>162.53333333333333</v>
      </c>
      <c r="H662">
        <v>5.5930158730158714</v>
      </c>
    </row>
    <row r="663" spans="1:8" x14ac:dyDescent="0.3">
      <c r="A663" t="s">
        <v>15</v>
      </c>
      <c r="B663">
        <v>1998.3</v>
      </c>
      <c r="C663">
        <v>341</v>
      </c>
      <c r="D663">
        <v>22.9</v>
      </c>
      <c r="E663">
        <v>54959</v>
      </c>
      <c r="F663">
        <v>7.2263789999999997</v>
      </c>
      <c r="G663">
        <v>163.36666666666667</v>
      </c>
      <c r="H663">
        <v>5.2073437500000006</v>
      </c>
    </row>
    <row r="664" spans="1:8" x14ac:dyDescent="0.3">
      <c r="A664" t="s">
        <v>15</v>
      </c>
      <c r="B664">
        <v>1998.4</v>
      </c>
      <c r="C664">
        <v>282</v>
      </c>
      <c r="D664">
        <v>23.88</v>
      </c>
      <c r="E664">
        <v>55241</v>
      </c>
      <c r="F664">
        <v>7.3235070000000002</v>
      </c>
      <c r="G664">
        <v>164.13333333333333</v>
      </c>
      <c r="H664">
        <v>4.661935483870967</v>
      </c>
    </row>
    <row r="665" spans="1:8" x14ac:dyDescent="0.3">
      <c r="A665" t="s">
        <v>15</v>
      </c>
      <c r="B665">
        <v>1999.1</v>
      </c>
      <c r="C665">
        <v>84</v>
      </c>
      <c r="D665">
        <v>23.84</v>
      </c>
      <c r="E665">
        <v>55325</v>
      </c>
      <c r="F665">
        <v>7.4411839999999998</v>
      </c>
      <c r="G665">
        <v>164.73333333333332</v>
      </c>
      <c r="H665">
        <v>5.0008196721311462</v>
      </c>
    </row>
    <row r="666" spans="1:8" x14ac:dyDescent="0.3">
      <c r="A666" t="s">
        <v>15</v>
      </c>
      <c r="B666">
        <v>1999.2</v>
      </c>
      <c r="C666">
        <v>153</v>
      </c>
      <c r="D666">
        <v>23.8</v>
      </c>
      <c r="E666">
        <v>55478</v>
      </c>
      <c r="F666">
        <v>7.5487380000000002</v>
      </c>
      <c r="G666">
        <v>165.96666666666667</v>
      </c>
      <c r="H666">
        <v>5.5412499999999998</v>
      </c>
    </row>
    <row r="667" spans="1:8" x14ac:dyDescent="0.3">
      <c r="A667" t="s">
        <v>15</v>
      </c>
      <c r="B667">
        <v>1999.3</v>
      </c>
      <c r="C667">
        <v>1321</v>
      </c>
      <c r="D667">
        <v>24.42</v>
      </c>
      <c r="E667">
        <v>56799</v>
      </c>
      <c r="F667">
        <v>7.5659390000000002</v>
      </c>
      <c r="G667">
        <v>167.2</v>
      </c>
      <c r="H667">
        <v>5.8829687499999981</v>
      </c>
    </row>
    <row r="668" spans="1:8" x14ac:dyDescent="0.3">
      <c r="A668" t="s">
        <v>15</v>
      </c>
      <c r="B668">
        <v>1999.4</v>
      </c>
      <c r="C668">
        <v>349</v>
      </c>
      <c r="D668">
        <v>25.06</v>
      </c>
      <c r="E668">
        <v>57148</v>
      </c>
      <c r="F668">
        <v>7.4151899999999999</v>
      </c>
      <c r="G668">
        <v>168.43333333333334</v>
      </c>
      <c r="H668">
        <v>6.1448387096774191</v>
      </c>
    </row>
    <row r="669" spans="1:8" x14ac:dyDescent="0.3">
      <c r="A669" t="s">
        <v>15</v>
      </c>
      <c r="B669">
        <v>2000.1</v>
      </c>
      <c r="C669">
        <v>427</v>
      </c>
      <c r="D669">
        <v>25.76</v>
      </c>
      <c r="E669">
        <v>57575</v>
      </c>
      <c r="F669">
        <v>7.4024760000000001</v>
      </c>
      <c r="G669">
        <v>170.1</v>
      </c>
      <c r="H669">
        <v>6.4684126984126982</v>
      </c>
    </row>
    <row r="670" spans="1:8" x14ac:dyDescent="0.3">
      <c r="A670" t="s">
        <v>15</v>
      </c>
      <c r="B670">
        <v>2000.2</v>
      </c>
      <c r="C670">
        <v>817</v>
      </c>
      <c r="D670">
        <v>26.49</v>
      </c>
      <c r="E670">
        <v>58392</v>
      </c>
      <c r="F670">
        <v>7.37601</v>
      </c>
      <c r="G670">
        <v>171.43333333333334</v>
      </c>
      <c r="H670">
        <v>6.1849206349206343</v>
      </c>
    </row>
    <row r="671" spans="1:8" x14ac:dyDescent="0.3">
      <c r="A671" t="s">
        <v>15</v>
      </c>
      <c r="B671">
        <v>2000.3</v>
      </c>
      <c r="C671">
        <v>1104</v>
      </c>
      <c r="D671">
        <v>26.62</v>
      </c>
      <c r="E671">
        <v>59496</v>
      </c>
      <c r="F671">
        <v>7.4816929999999999</v>
      </c>
      <c r="G671">
        <v>173</v>
      </c>
      <c r="H671">
        <v>5.8898412698412699</v>
      </c>
    </row>
    <row r="672" spans="1:8" x14ac:dyDescent="0.3">
      <c r="A672" t="s">
        <v>15</v>
      </c>
      <c r="B672">
        <v>2000.4</v>
      </c>
      <c r="C672">
        <v>1291</v>
      </c>
      <c r="D672">
        <v>26.74</v>
      </c>
      <c r="E672">
        <v>60787</v>
      </c>
      <c r="F672">
        <v>7.4494119999999997</v>
      </c>
      <c r="G672">
        <v>174.23333333333332</v>
      </c>
      <c r="H672">
        <v>5.5706451612903232</v>
      </c>
    </row>
    <row r="673" spans="1:8" x14ac:dyDescent="0.3">
      <c r="A673" t="s">
        <v>15</v>
      </c>
      <c r="B673">
        <v>2001.1</v>
      </c>
      <c r="C673">
        <v>387</v>
      </c>
      <c r="D673">
        <v>26.89</v>
      </c>
      <c r="E673">
        <v>61174</v>
      </c>
      <c r="F673">
        <v>7.6267740000000002</v>
      </c>
      <c r="G673">
        <v>175.9</v>
      </c>
      <c r="H673">
        <v>5.0441935483870957</v>
      </c>
    </row>
    <row r="674" spans="1:8" x14ac:dyDescent="0.3">
      <c r="A674" t="s">
        <v>15</v>
      </c>
      <c r="B674">
        <v>2001.2</v>
      </c>
      <c r="C674">
        <v>677</v>
      </c>
      <c r="D674">
        <v>27.05</v>
      </c>
      <c r="E674">
        <v>61851</v>
      </c>
      <c r="F674">
        <v>7.5188689999999996</v>
      </c>
      <c r="G674">
        <v>177.13333333333333</v>
      </c>
      <c r="H674">
        <v>5.2761904761904761</v>
      </c>
    </row>
    <row r="675" spans="1:8" x14ac:dyDescent="0.3">
      <c r="A675" t="s">
        <v>15</v>
      </c>
      <c r="B675">
        <v>2001.3</v>
      </c>
      <c r="C675">
        <v>650</v>
      </c>
      <c r="D675">
        <v>26.9</v>
      </c>
      <c r="E675">
        <v>62501</v>
      </c>
      <c r="F675">
        <v>7.188142</v>
      </c>
      <c r="G675">
        <v>177.63333333333333</v>
      </c>
      <c r="H675">
        <v>4.9957377049180334</v>
      </c>
    </row>
    <row r="676" spans="1:8" x14ac:dyDescent="0.3">
      <c r="A676" t="s">
        <v>15</v>
      </c>
      <c r="B676">
        <v>2001.4</v>
      </c>
      <c r="C676">
        <v>1126</v>
      </c>
      <c r="D676">
        <v>26.75</v>
      </c>
      <c r="E676">
        <v>63627</v>
      </c>
      <c r="F676">
        <v>7.2179250000000001</v>
      </c>
      <c r="G676">
        <v>177.5</v>
      </c>
      <c r="H676">
        <v>4.7620967741935463</v>
      </c>
    </row>
    <row r="677" spans="1:8" x14ac:dyDescent="0.3">
      <c r="A677" t="s">
        <v>15</v>
      </c>
      <c r="B677">
        <v>2002.1</v>
      </c>
      <c r="C677">
        <v>136</v>
      </c>
      <c r="D677">
        <v>25.88</v>
      </c>
      <c r="E677">
        <v>63763</v>
      </c>
      <c r="F677">
        <v>7.2206029999999997</v>
      </c>
      <c r="G677">
        <v>178.06666666666666</v>
      </c>
      <c r="H677">
        <v>5.0791666666666666</v>
      </c>
    </row>
    <row r="678" spans="1:8" x14ac:dyDescent="0.3">
      <c r="A678" t="s">
        <v>15</v>
      </c>
      <c r="B678">
        <v>2002.2</v>
      </c>
      <c r="C678">
        <v>200</v>
      </c>
      <c r="D678">
        <v>25.05</v>
      </c>
      <c r="E678">
        <v>63963</v>
      </c>
      <c r="F678">
        <v>7.2259909999999996</v>
      </c>
      <c r="G678">
        <v>179.46666666666667</v>
      </c>
      <c r="H678">
        <v>5.1060937499999994</v>
      </c>
    </row>
    <row r="679" spans="1:8" x14ac:dyDescent="0.3">
      <c r="A679" t="s">
        <v>15</v>
      </c>
      <c r="B679">
        <v>2002.3</v>
      </c>
      <c r="C679">
        <v>465</v>
      </c>
      <c r="D679">
        <v>24.36</v>
      </c>
      <c r="E679">
        <v>64428</v>
      </c>
      <c r="F679">
        <v>7.321917</v>
      </c>
      <c r="G679">
        <v>180.43333333333334</v>
      </c>
      <c r="H679">
        <v>4.2723437499999992</v>
      </c>
    </row>
    <row r="680" spans="1:8" x14ac:dyDescent="0.3">
      <c r="A680" t="s">
        <v>15</v>
      </c>
      <c r="B680">
        <v>2002.4</v>
      </c>
      <c r="C680">
        <v>19</v>
      </c>
      <c r="D680">
        <v>23.68</v>
      </c>
      <c r="E680">
        <v>64447</v>
      </c>
      <c r="F680">
        <v>7.383057</v>
      </c>
      <c r="G680">
        <v>181.5</v>
      </c>
      <c r="H680">
        <v>4.0048387096774194</v>
      </c>
    </row>
    <row r="681" spans="1:8" x14ac:dyDescent="0.3">
      <c r="A681" t="s">
        <v>15</v>
      </c>
      <c r="B681">
        <v>2003.1</v>
      </c>
      <c r="C681">
        <v>83</v>
      </c>
      <c r="D681">
        <v>23.05</v>
      </c>
      <c r="E681">
        <v>64530</v>
      </c>
      <c r="F681">
        <v>7.4689959999999997</v>
      </c>
      <c r="G681">
        <v>183.36666666666667</v>
      </c>
      <c r="H681">
        <v>3.9199999999999995</v>
      </c>
    </row>
    <row r="682" spans="1:8" x14ac:dyDescent="0.3">
      <c r="A682" t="s">
        <v>15</v>
      </c>
      <c r="B682">
        <v>2003.2</v>
      </c>
      <c r="C682">
        <v>439</v>
      </c>
      <c r="D682">
        <v>22.66</v>
      </c>
      <c r="E682">
        <v>64969</v>
      </c>
      <c r="F682">
        <v>7.4268229999999997</v>
      </c>
      <c r="G682">
        <v>183.06666666666666</v>
      </c>
      <c r="H682">
        <v>3.6206349206349211</v>
      </c>
    </row>
    <row r="683" spans="1:8" x14ac:dyDescent="0.3">
      <c r="A683" t="s">
        <v>15</v>
      </c>
      <c r="B683">
        <v>2003.3</v>
      </c>
      <c r="C683">
        <v>11</v>
      </c>
      <c r="D683">
        <v>22.32</v>
      </c>
      <c r="E683">
        <v>64980</v>
      </c>
      <c r="F683">
        <v>7.2145619999999999</v>
      </c>
      <c r="G683">
        <v>184.43333333333334</v>
      </c>
      <c r="H683">
        <v>4.2276562499999981</v>
      </c>
    </row>
    <row r="684" spans="1:8" x14ac:dyDescent="0.3">
      <c r="A684" t="s">
        <v>15</v>
      </c>
      <c r="B684">
        <v>2003.4</v>
      </c>
      <c r="C684">
        <v>36</v>
      </c>
      <c r="D684">
        <v>22.5</v>
      </c>
      <c r="E684">
        <v>65016</v>
      </c>
      <c r="F684">
        <v>7.0771389999999998</v>
      </c>
      <c r="G684">
        <v>185.13333333333333</v>
      </c>
      <c r="H684">
        <v>4.2851612903225798</v>
      </c>
    </row>
    <row r="685" spans="1:8" x14ac:dyDescent="0.3">
      <c r="A685" t="s">
        <v>15</v>
      </c>
      <c r="B685">
        <v>2004.1</v>
      </c>
      <c r="C685">
        <v>385</v>
      </c>
      <c r="D685">
        <v>23.52</v>
      </c>
      <c r="E685">
        <v>65401</v>
      </c>
      <c r="F685">
        <v>6.778162</v>
      </c>
      <c r="G685">
        <v>186.7</v>
      </c>
      <c r="H685">
        <v>4.01</v>
      </c>
    </row>
    <row r="686" spans="1:8" x14ac:dyDescent="0.3">
      <c r="A686" t="s">
        <v>15</v>
      </c>
      <c r="B686">
        <v>2004.2</v>
      </c>
      <c r="C686">
        <v>41</v>
      </c>
      <c r="D686">
        <v>22.92</v>
      </c>
      <c r="E686">
        <v>65442</v>
      </c>
      <c r="F686">
        <v>6.5938549999999996</v>
      </c>
      <c r="G686">
        <v>188.16666666666666</v>
      </c>
      <c r="H686">
        <v>4.597096774193548</v>
      </c>
    </row>
    <row r="687" spans="1:8" x14ac:dyDescent="0.3">
      <c r="A687" t="s">
        <v>15</v>
      </c>
      <c r="B687">
        <v>2004.3</v>
      </c>
      <c r="C687">
        <v>101</v>
      </c>
      <c r="D687">
        <v>23.15</v>
      </c>
      <c r="E687">
        <v>65543</v>
      </c>
      <c r="F687">
        <v>6.4007329999999998</v>
      </c>
      <c r="G687">
        <v>189.36666666666667</v>
      </c>
      <c r="H687">
        <v>4.3014062500000003</v>
      </c>
    </row>
    <row r="688" spans="1:8" x14ac:dyDescent="0.3">
      <c r="A688" t="s">
        <v>15</v>
      </c>
      <c r="B688">
        <v>2004.4</v>
      </c>
      <c r="C688">
        <v>11</v>
      </c>
      <c r="D688">
        <v>23.45</v>
      </c>
      <c r="E688">
        <v>65554</v>
      </c>
      <c r="F688">
        <v>6.1184890000000003</v>
      </c>
      <c r="G688">
        <v>191.4</v>
      </c>
      <c r="H688">
        <v>4.1758064516129041</v>
      </c>
    </row>
    <row r="689" spans="1:8" x14ac:dyDescent="0.3">
      <c r="A689" t="s">
        <v>15</v>
      </c>
      <c r="B689">
        <v>2005.1</v>
      </c>
      <c r="C689">
        <v>17</v>
      </c>
      <c r="D689">
        <v>24.18</v>
      </c>
      <c r="E689">
        <v>65571</v>
      </c>
      <c r="F689">
        <v>5.9295479999999996</v>
      </c>
      <c r="G689">
        <v>192.36666666666667</v>
      </c>
      <c r="H689">
        <v>4.3036065573770488</v>
      </c>
    </row>
    <row r="690" spans="1:8" x14ac:dyDescent="0.3">
      <c r="A690" t="s">
        <v>15</v>
      </c>
      <c r="B690">
        <v>2005.2</v>
      </c>
      <c r="C690">
        <v>198</v>
      </c>
      <c r="D690">
        <v>24.56</v>
      </c>
      <c r="E690">
        <v>65769</v>
      </c>
      <c r="F690">
        <v>5.9336679999999999</v>
      </c>
      <c r="G690">
        <v>193.66666666666666</v>
      </c>
      <c r="H690">
        <v>4.1585937500000005</v>
      </c>
    </row>
    <row r="691" spans="1:8" x14ac:dyDescent="0.3">
      <c r="A691" t="s">
        <v>15</v>
      </c>
      <c r="B691">
        <v>2005.3</v>
      </c>
      <c r="C691">
        <v>0</v>
      </c>
      <c r="D691">
        <v>24.97</v>
      </c>
      <c r="E691">
        <v>65769</v>
      </c>
      <c r="F691">
        <v>5.891489</v>
      </c>
      <c r="G691">
        <v>196.6</v>
      </c>
      <c r="H691">
        <v>4.2151562499999997</v>
      </c>
    </row>
    <row r="692" spans="1:8" x14ac:dyDescent="0.3">
      <c r="A692" t="s">
        <v>15</v>
      </c>
      <c r="B692">
        <v>2005.4</v>
      </c>
      <c r="C692">
        <v>122</v>
      </c>
      <c r="D692">
        <v>25.28</v>
      </c>
      <c r="E692">
        <v>65891</v>
      </c>
      <c r="F692">
        <v>5.76783</v>
      </c>
      <c r="G692">
        <v>198.43333333333334</v>
      </c>
      <c r="H692">
        <v>4.4881967213114757</v>
      </c>
    </row>
    <row r="693" spans="1:8" x14ac:dyDescent="0.3">
      <c r="A693" t="s">
        <v>15</v>
      </c>
      <c r="B693">
        <v>2006.1</v>
      </c>
      <c r="C693">
        <v>343</v>
      </c>
      <c r="D693">
        <v>26.97</v>
      </c>
      <c r="E693">
        <v>66234</v>
      </c>
      <c r="F693">
        <v>5.649553</v>
      </c>
      <c r="G693">
        <v>199.46666666666667</v>
      </c>
      <c r="H693">
        <v>4.5770967741935502</v>
      </c>
    </row>
    <row r="694" spans="1:8" x14ac:dyDescent="0.3">
      <c r="A694" t="s">
        <v>15</v>
      </c>
      <c r="B694">
        <v>2006.2</v>
      </c>
      <c r="C694">
        <v>378</v>
      </c>
      <c r="D694">
        <v>27.2</v>
      </c>
      <c r="E694">
        <v>66612</v>
      </c>
      <c r="F694">
        <v>5.4897660000000004</v>
      </c>
      <c r="G694">
        <v>201.26666666666668</v>
      </c>
      <c r="H694">
        <v>5.0726984126984132</v>
      </c>
    </row>
    <row r="695" spans="1:8" x14ac:dyDescent="0.3">
      <c r="A695" t="s">
        <v>15</v>
      </c>
      <c r="B695">
        <v>2006.3</v>
      </c>
      <c r="C695">
        <v>210</v>
      </c>
      <c r="D695">
        <v>27.3</v>
      </c>
      <c r="E695">
        <v>66822</v>
      </c>
      <c r="F695">
        <v>5.4734230000000004</v>
      </c>
      <c r="G695">
        <v>203.16666666666666</v>
      </c>
      <c r="H695">
        <v>4.8934920634920651</v>
      </c>
    </row>
    <row r="696" spans="1:8" x14ac:dyDescent="0.3">
      <c r="A696" t="s">
        <v>15</v>
      </c>
      <c r="B696">
        <v>2006.4</v>
      </c>
      <c r="C696">
        <v>174</v>
      </c>
      <c r="D696">
        <v>27.48</v>
      </c>
      <c r="E696">
        <v>66996</v>
      </c>
      <c r="F696">
        <v>5.5279800000000003</v>
      </c>
      <c r="G696">
        <v>202.33333333333334</v>
      </c>
      <c r="H696">
        <v>4.6306451612903237</v>
      </c>
    </row>
    <row r="697" spans="1:8" x14ac:dyDescent="0.3">
      <c r="A697" t="s">
        <v>15</v>
      </c>
      <c r="B697">
        <v>2007.1</v>
      </c>
      <c r="C697">
        <v>598</v>
      </c>
      <c r="D697">
        <v>29.18</v>
      </c>
      <c r="E697">
        <v>67594</v>
      </c>
      <c r="F697">
        <v>5.4931989999999997</v>
      </c>
      <c r="G697">
        <v>204.31700000000001</v>
      </c>
      <c r="H697">
        <v>4.6790322580645167</v>
      </c>
    </row>
    <row r="698" spans="1:8" x14ac:dyDescent="0.3">
      <c r="A698" t="s">
        <v>15</v>
      </c>
      <c r="B698">
        <v>2007.2</v>
      </c>
      <c r="C698">
        <v>659</v>
      </c>
      <c r="D698">
        <v>29.09</v>
      </c>
      <c r="E698">
        <v>68253</v>
      </c>
      <c r="F698">
        <v>5.2422040000000001</v>
      </c>
      <c r="G698">
        <v>206.631</v>
      </c>
      <c r="H698">
        <v>4.8460937499999988</v>
      </c>
    </row>
    <row r="699" spans="1:8" x14ac:dyDescent="0.3">
      <c r="A699" t="s">
        <v>15</v>
      </c>
      <c r="B699">
        <v>2007.3</v>
      </c>
      <c r="C699">
        <v>1092</v>
      </c>
      <c r="D699">
        <v>29.32</v>
      </c>
      <c r="E699">
        <v>69345</v>
      </c>
      <c r="F699">
        <v>5.066503</v>
      </c>
      <c r="G699">
        <v>207.93899999999999</v>
      </c>
      <c r="H699">
        <v>4.7384126984126951</v>
      </c>
    </row>
    <row r="700" spans="1:8" x14ac:dyDescent="0.3">
      <c r="A700" t="s">
        <v>15</v>
      </c>
      <c r="B700">
        <v>2007.4</v>
      </c>
      <c r="C700">
        <v>686</v>
      </c>
      <c r="D700">
        <v>29.51</v>
      </c>
      <c r="E700">
        <v>70031</v>
      </c>
      <c r="F700">
        <v>4.9199719999999996</v>
      </c>
      <c r="G700">
        <v>210.48966666666666</v>
      </c>
      <c r="H700">
        <v>4.2666129032258064</v>
      </c>
    </row>
    <row r="701" spans="1:8" x14ac:dyDescent="0.3">
      <c r="A701" t="s">
        <v>15</v>
      </c>
      <c r="B701">
        <v>2008.1</v>
      </c>
      <c r="C701">
        <v>764</v>
      </c>
      <c r="D701">
        <v>29.54</v>
      </c>
      <c r="E701">
        <v>70795</v>
      </c>
      <c r="F701">
        <v>4.7897090000000002</v>
      </c>
      <c r="G701">
        <v>212.76966666666667</v>
      </c>
      <c r="H701">
        <v>3.6652459016393442</v>
      </c>
    </row>
    <row r="702" spans="1:8" x14ac:dyDescent="0.3">
      <c r="A702" t="s">
        <v>15</v>
      </c>
      <c r="B702">
        <v>2008.2</v>
      </c>
      <c r="C702">
        <v>446</v>
      </c>
      <c r="D702">
        <v>29.25</v>
      </c>
      <c r="E702">
        <v>71241</v>
      </c>
      <c r="F702">
        <v>4.8800790000000003</v>
      </c>
      <c r="G702">
        <v>215.53766666666667</v>
      </c>
      <c r="H702">
        <v>3.8815624999999998</v>
      </c>
    </row>
    <row r="703" spans="1:8" x14ac:dyDescent="0.3">
      <c r="A703" t="s">
        <v>15</v>
      </c>
      <c r="B703">
        <v>2008.3</v>
      </c>
      <c r="C703">
        <v>40</v>
      </c>
      <c r="D703">
        <v>28.88</v>
      </c>
      <c r="E703">
        <v>71281</v>
      </c>
      <c r="F703">
        <v>5.0122590000000002</v>
      </c>
      <c r="G703">
        <v>218.86099999999999</v>
      </c>
      <c r="H703">
        <v>3.8621875000000001</v>
      </c>
    </row>
    <row r="704" spans="1:8" x14ac:dyDescent="0.3">
      <c r="A704" t="s">
        <v>15</v>
      </c>
      <c r="B704">
        <v>2008.4</v>
      </c>
      <c r="C704">
        <v>48</v>
      </c>
      <c r="D704">
        <v>27.99</v>
      </c>
      <c r="E704">
        <v>71329</v>
      </c>
      <c r="F704">
        <v>5.2369500000000002</v>
      </c>
      <c r="G704">
        <v>213.84866666666667</v>
      </c>
      <c r="H704">
        <v>3.2346774193548384</v>
      </c>
    </row>
    <row r="705" spans="1:8" x14ac:dyDescent="0.3">
      <c r="A705" t="s">
        <v>15</v>
      </c>
      <c r="B705">
        <v>2009.1</v>
      </c>
      <c r="C705">
        <v>35</v>
      </c>
      <c r="D705">
        <v>26.17</v>
      </c>
      <c r="E705">
        <v>71364</v>
      </c>
      <c r="F705">
        <v>5.5182599999999997</v>
      </c>
      <c r="G705">
        <v>212.37766666666667</v>
      </c>
      <c r="H705">
        <v>2.7362295081967209</v>
      </c>
    </row>
    <row r="706" spans="1:8" x14ac:dyDescent="0.3">
      <c r="A706" t="s">
        <v>15</v>
      </c>
      <c r="B706">
        <v>2009.2</v>
      </c>
      <c r="C706">
        <v>0</v>
      </c>
      <c r="D706">
        <v>25.33</v>
      </c>
      <c r="E706">
        <v>71364</v>
      </c>
      <c r="F706">
        <v>5.7791030000000001</v>
      </c>
      <c r="G706">
        <v>213.50700000000001</v>
      </c>
      <c r="H706">
        <v>3.3207936507936511</v>
      </c>
    </row>
    <row r="707" spans="1:8" x14ac:dyDescent="0.3">
      <c r="A707" t="s">
        <v>15</v>
      </c>
      <c r="B707">
        <v>2009.3</v>
      </c>
      <c r="C707">
        <v>0</v>
      </c>
      <c r="D707">
        <v>24.94</v>
      </c>
      <c r="E707">
        <v>71364</v>
      </c>
      <c r="F707">
        <v>6.0030109999999999</v>
      </c>
      <c r="G707">
        <v>215.34399999999999</v>
      </c>
      <c r="H707">
        <v>3.5178124999999998</v>
      </c>
    </row>
    <row r="708" spans="1:8" x14ac:dyDescent="0.3">
      <c r="A708" t="s">
        <v>15</v>
      </c>
      <c r="B708">
        <v>2009.4</v>
      </c>
      <c r="C708">
        <v>0</v>
      </c>
      <c r="D708">
        <v>24.29</v>
      </c>
      <c r="E708">
        <v>71364</v>
      </c>
      <c r="F708">
        <v>6.0820319999999999</v>
      </c>
      <c r="G708">
        <v>217.03</v>
      </c>
      <c r="H708">
        <v>3.464032258064516</v>
      </c>
    </row>
    <row r="709" spans="1:8" x14ac:dyDescent="0.3">
      <c r="A709" t="s">
        <v>15</v>
      </c>
      <c r="B709">
        <v>2010.1</v>
      </c>
      <c r="C709">
        <v>0</v>
      </c>
      <c r="D709">
        <v>23.45</v>
      </c>
      <c r="E709">
        <v>71364</v>
      </c>
      <c r="F709">
        <v>6.2187409999999996</v>
      </c>
      <c r="G709">
        <v>217.374</v>
      </c>
      <c r="H709">
        <v>3.7178688524590173</v>
      </c>
    </row>
    <row r="710" spans="1:8" x14ac:dyDescent="0.3">
      <c r="A710" t="s">
        <v>15</v>
      </c>
      <c r="B710">
        <v>2010.2</v>
      </c>
      <c r="C710">
        <v>0</v>
      </c>
      <c r="D710">
        <v>22.63</v>
      </c>
      <c r="E710">
        <v>71364</v>
      </c>
      <c r="F710">
        <v>6.1950799999999999</v>
      </c>
      <c r="G710">
        <v>217.29733333333334</v>
      </c>
      <c r="H710">
        <v>3.4924999999999993</v>
      </c>
    </row>
    <row r="711" spans="1:8" x14ac:dyDescent="0.3">
      <c r="A711" t="s">
        <v>15</v>
      </c>
      <c r="B711">
        <v>2010.3</v>
      </c>
      <c r="C711">
        <v>0</v>
      </c>
      <c r="D711">
        <v>21.96</v>
      </c>
      <c r="E711">
        <v>71364</v>
      </c>
      <c r="F711">
        <v>6.0910209999999996</v>
      </c>
      <c r="G711">
        <v>217.93433333333334</v>
      </c>
      <c r="H711">
        <v>2.7845312500000015</v>
      </c>
    </row>
    <row r="712" spans="1:8" x14ac:dyDescent="0.3">
      <c r="A712" t="s">
        <v>15</v>
      </c>
      <c r="B712">
        <v>2010.4</v>
      </c>
      <c r="C712">
        <v>0</v>
      </c>
      <c r="D712">
        <v>21.38</v>
      </c>
      <c r="E712">
        <v>71364</v>
      </c>
      <c r="F712">
        <v>6.0986979999999997</v>
      </c>
      <c r="G712">
        <v>219.69900000000001</v>
      </c>
      <c r="H712">
        <v>2.8783870967741949</v>
      </c>
    </row>
    <row r="713" spans="1:8" x14ac:dyDescent="0.3">
      <c r="A713" t="s">
        <v>15</v>
      </c>
      <c r="B713">
        <v>2011.1</v>
      </c>
      <c r="C713">
        <v>0</v>
      </c>
      <c r="D713">
        <v>21.88</v>
      </c>
      <c r="E713">
        <v>71364</v>
      </c>
      <c r="F713">
        <v>6.0369910000000004</v>
      </c>
      <c r="G713">
        <v>222.04366666666667</v>
      </c>
      <c r="H713">
        <v>3.4574193548387107</v>
      </c>
    </row>
    <row r="714" spans="1:8" x14ac:dyDescent="0.3">
      <c r="A714" t="s">
        <v>15</v>
      </c>
      <c r="B714">
        <v>2011.2</v>
      </c>
      <c r="C714">
        <v>0</v>
      </c>
      <c r="D714">
        <v>21.91</v>
      </c>
      <c r="E714">
        <v>71364</v>
      </c>
      <c r="F714">
        <v>6.4045579999999998</v>
      </c>
      <c r="G714">
        <v>224.56833333333333</v>
      </c>
      <c r="H714">
        <v>3.201428571428572</v>
      </c>
    </row>
    <row r="715" spans="1:8" x14ac:dyDescent="0.3">
      <c r="A715" t="s">
        <v>15</v>
      </c>
      <c r="B715">
        <v>2011.3</v>
      </c>
      <c r="C715">
        <v>0</v>
      </c>
      <c r="D715">
        <v>21.76</v>
      </c>
      <c r="E715">
        <v>71364</v>
      </c>
      <c r="F715">
        <v>6.25556</v>
      </c>
      <c r="G715">
        <v>226.03266666666667</v>
      </c>
      <c r="H715">
        <v>2.4142187500000003</v>
      </c>
    </row>
    <row r="716" spans="1:8" x14ac:dyDescent="0.3">
      <c r="A716" t="s">
        <v>15</v>
      </c>
      <c r="B716">
        <v>2011.4</v>
      </c>
      <c r="C716">
        <v>48</v>
      </c>
      <c r="D716">
        <v>22.43</v>
      </c>
      <c r="E716">
        <v>71412</v>
      </c>
      <c r="F716">
        <v>5.9895399999999999</v>
      </c>
      <c r="G716">
        <v>227.04733333333334</v>
      </c>
      <c r="H716">
        <v>2.0467213114754093</v>
      </c>
    </row>
    <row r="717" spans="1:8" x14ac:dyDescent="0.3">
      <c r="A717" t="s">
        <v>15</v>
      </c>
      <c r="B717">
        <v>2012.1</v>
      </c>
      <c r="C717">
        <v>0</v>
      </c>
      <c r="D717">
        <v>21.74</v>
      </c>
      <c r="E717">
        <v>71412</v>
      </c>
      <c r="F717">
        <v>5.7726839999999999</v>
      </c>
      <c r="G717">
        <v>228.32599999999999</v>
      </c>
      <c r="H717">
        <v>2.0400000000000005</v>
      </c>
    </row>
    <row r="718" spans="1:8" x14ac:dyDescent="0.3">
      <c r="A718" t="s">
        <v>15</v>
      </c>
      <c r="B718">
        <v>2012.2</v>
      </c>
      <c r="C718">
        <v>0</v>
      </c>
      <c r="D718">
        <v>22.01</v>
      </c>
      <c r="E718">
        <v>71412</v>
      </c>
      <c r="F718">
        <v>5.2130520000000002</v>
      </c>
      <c r="G718">
        <v>228.80799999999999</v>
      </c>
      <c r="H718">
        <v>1.8257812499999995</v>
      </c>
    </row>
    <row r="719" spans="1:8" x14ac:dyDescent="0.3">
      <c r="A719" t="s">
        <v>15</v>
      </c>
      <c r="B719">
        <v>2012.3</v>
      </c>
      <c r="C719">
        <v>0</v>
      </c>
      <c r="D719">
        <v>22.14</v>
      </c>
      <c r="E719">
        <v>71412</v>
      </c>
      <c r="F719">
        <v>5.0936360000000001</v>
      </c>
      <c r="G719">
        <v>229.84100000000001</v>
      </c>
      <c r="H719">
        <v>1.6412698412698408</v>
      </c>
    </row>
    <row r="720" spans="1:8" x14ac:dyDescent="0.3">
      <c r="A720" t="s">
        <v>15</v>
      </c>
      <c r="B720">
        <v>2012.4</v>
      </c>
      <c r="C720">
        <v>0</v>
      </c>
      <c r="D720">
        <v>22.69</v>
      </c>
      <c r="E720">
        <v>71412</v>
      </c>
      <c r="F720">
        <v>5.1051039999999999</v>
      </c>
      <c r="G720">
        <v>231.36933333333334</v>
      </c>
      <c r="H720">
        <v>1.7070491803278682</v>
      </c>
    </row>
    <row r="721" spans="1:8" x14ac:dyDescent="0.3">
      <c r="A721" t="s">
        <v>15</v>
      </c>
      <c r="B721">
        <v>2013.1</v>
      </c>
      <c r="C721">
        <v>0</v>
      </c>
      <c r="D721">
        <v>22.57</v>
      </c>
      <c r="E721">
        <v>71412</v>
      </c>
      <c r="F721">
        <v>5.0698889999999999</v>
      </c>
      <c r="G721">
        <v>232.29933333333332</v>
      </c>
      <c r="H721">
        <v>1.9510000000000003</v>
      </c>
    </row>
    <row r="722" spans="1:8" x14ac:dyDescent="0.3">
      <c r="A722" t="s">
        <v>15</v>
      </c>
      <c r="B722">
        <v>2013.2</v>
      </c>
      <c r="C722">
        <v>0</v>
      </c>
      <c r="D722">
        <v>22.48</v>
      </c>
      <c r="E722">
        <v>71412</v>
      </c>
      <c r="F722">
        <v>5.038335</v>
      </c>
      <c r="G722">
        <v>232.04499999999999</v>
      </c>
      <c r="H722">
        <v>1.9862499999999992</v>
      </c>
    </row>
    <row r="723" spans="1:8" x14ac:dyDescent="0.3">
      <c r="A723" t="s">
        <v>15</v>
      </c>
      <c r="B723">
        <v>2013.3</v>
      </c>
      <c r="C723">
        <v>0</v>
      </c>
      <c r="D723">
        <v>22.71</v>
      </c>
      <c r="E723">
        <v>71412</v>
      </c>
      <c r="F723">
        <v>5.0587840000000002</v>
      </c>
      <c r="G723">
        <v>233.3</v>
      </c>
      <c r="H723">
        <v>2.7065624999999995</v>
      </c>
    </row>
    <row r="724" spans="1:8" x14ac:dyDescent="0.3">
      <c r="A724" t="s">
        <v>15</v>
      </c>
      <c r="B724">
        <v>2013.4</v>
      </c>
      <c r="C724">
        <v>0</v>
      </c>
      <c r="D724">
        <v>22.77</v>
      </c>
      <c r="E724">
        <v>71412</v>
      </c>
      <c r="F724">
        <v>4.9081340000000004</v>
      </c>
      <c r="G724">
        <v>234.16266666666667</v>
      </c>
      <c r="H724">
        <v>2.7441935483870958</v>
      </c>
    </row>
    <row r="725" spans="1:8" x14ac:dyDescent="0.3">
      <c r="A725" t="s">
        <v>15</v>
      </c>
      <c r="B725">
        <v>2014.1</v>
      </c>
      <c r="C725">
        <v>0</v>
      </c>
      <c r="D725">
        <v>22.83</v>
      </c>
      <c r="E725">
        <v>71412</v>
      </c>
      <c r="F725">
        <v>4.8282930000000004</v>
      </c>
      <c r="G725">
        <v>235.62100000000001</v>
      </c>
      <c r="H725">
        <v>2.7654098360655737</v>
      </c>
    </row>
    <row r="726" spans="1:8" x14ac:dyDescent="0.3">
      <c r="A726" t="s">
        <v>15</v>
      </c>
      <c r="B726">
        <v>2014.2</v>
      </c>
      <c r="C726">
        <v>0</v>
      </c>
      <c r="D726">
        <v>23.81</v>
      </c>
      <c r="E726">
        <v>71412</v>
      </c>
      <c r="F726">
        <v>4.7286190000000001</v>
      </c>
      <c r="G726">
        <v>236.87233333333333</v>
      </c>
      <c r="H726">
        <v>2.6209523809523816</v>
      </c>
    </row>
    <row r="727" spans="1:8" x14ac:dyDescent="0.3">
      <c r="A727" t="s">
        <v>15</v>
      </c>
      <c r="B727">
        <v>2014.3</v>
      </c>
      <c r="C727">
        <v>435</v>
      </c>
      <c r="D727">
        <v>23.66</v>
      </c>
      <c r="E727">
        <v>71847</v>
      </c>
      <c r="F727">
        <v>4.5300659999999997</v>
      </c>
      <c r="G727">
        <v>237.47833333333332</v>
      </c>
      <c r="H727">
        <v>2.4995312500000004</v>
      </c>
    </row>
    <row r="728" spans="1:8" x14ac:dyDescent="0.3">
      <c r="A728" t="s">
        <v>15</v>
      </c>
      <c r="B728">
        <v>2014.4</v>
      </c>
      <c r="C728">
        <v>0</v>
      </c>
      <c r="D728">
        <v>25.09</v>
      </c>
      <c r="E728">
        <v>71847</v>
      </c>
      <c r="F728">
        <v>4.4739610000000001</v>
      </c>
      <c r="G728">
        <v>236.88833333333332</v>
      </c>
      <c r="H728">
        <v>2.2759677419354838</v>
      </c>
    </row>
    <row r="729" spans="1:8" x14ac:dyDescent="0.3">
      <c r="A729" t="s">
        <v>15</v>
      </c>
      <c r="B729">
        <v>2015.1</v>
      </c>
      <c r="C729">
        <v>110</v>
      </c>
      <c r="D729">
        <v>25.66</v>
      </c>
      <c r="E729">
        <v>71957</v>
      </c>
      <c r="F729">
        <v>4.3198840000000001</v>
      </c>
      <c r="G729">
        <v>235.35499999999999</v>
      </c>
      <c r="H729">
        <v>1.9688524590163936</v>
      </c>
    </row>
    <row r="730" spans="1:8" x14ac:dyDescent="0.3">
      <c r="A730" t="s">
        <v>15</v>
      </c>
      <c r="B730">
        <v>2015.2</v>
      </c>
      <c r="C730">
        <v>0</v>
      </c>
      <c r="D730">
        <v>26.14</v>
      </c>
      <c r="E730">
        <v>71957</v>
      </c>
      <c r="F730">
        <v>4.1988599999999998</v>
      </c>
      <c r="G730">
        <v>236.96</v>
      </c>
      <c r="H730">
        <v>2.1643750000000002</v>
      </c>
    </row>
    <row r="731" spans="1:8" x14ac:dyDescent="0.3">
      <c r="A731" t="s">
        <v>15</v>
      </c>
      <c r="B731">
        <v>2015.3</v>
      </c>
      <c r="C731">
        <v>0</v>
      </c>
      <c r="D731">
        <v>26.71</v>
      </c>
      <c r="E731">
        <v>71957</v>
      </c>
      <c r="F731">
        <v>4.2506259999999996</v>
      </c>
      <c r="G731">
        <v>237.85499999999999</v>
      </c>
      <c r="H731">
        <v>2.223125</v>
      </c>
    </row>
    <row r="732" spans="1:8" x14ac:dyDescent="0.3">
      <c r="A732" t="s">
        <v>15</v>
      </c>
      <c r="B732">
        <v>2015.4</v>
      </c>
      <c r="C732">
        <v>0</v>
      </c>
      <c r="D732">
        <v>27.72</v>
      </c>
      <c r="E732">
        <v>71957</v>
      </c>
      <c r="F732">
        <v>4.4018949999999997</v>
      </c>
      <c r="G732">
        <v>237.83699999999999</v>
      </c>
      <c r="H732">
        <v>2.1904838709677414</v>
      </c>
    </row>
    <row r="733" spans="1:8" x14ac:dyDescent="0.3">
      <c r="A733" t="s">
        <v>15</v>
      </c>
      <c r="B733">
        <v>2016.1</v>
      </c>
      <c r="C733">
        <v>617</v>
      </c>
      <c r="D733">
        <v>28.39</v>
      </c>
      <c r="E733">
        <v>72574</v>
      </c>
      <c r="F733">
        <v>4.4771570000000001</v>
      </c>
      <c r="G733">
        <v>237.68933333333334</v>
      </c>
      <c r="H733">
        <v>1.9142619999999999</v>
      </c>
    </row>
    <row r="734" spans="1:8" x14ac:dyDescent="0.3">
      <c r="A734" t="s">
        <v>15</v>
      </c>
      <c r="B734">
        <v>2016.2</v>
      </c>
      <c r="C734">
        <v>0</v>
      </c>
      <c r="D734">
        <v>28.61</v>
      </c>
      <c r="E734">
        <v>72574</v>
      </c>
      <c r="F734">
        <v>4.5235440000000002</v>
      </c>
      <c r="G734">
        <v>239.59033333333332</v>
      </c>
      <c r="H734">
        <v>1.750156</v>
      </c>
    </row>
    <row r="735" spans="1:8" x14ac:dyDescent="0.3">
      <c r="A735" t="s">
        <v>15</v>
      </c>
      <c r="B735">
        <v>2016.3</v>
      </c>
      <c r="C735">
        <v>0</v>
      </c>
      <c r="D735">
        <v>28.58</v>
      </c>
      <c r="E735">
        <v>72574</v>
      </c>
      <c r="F735">
        <v>4.6797659999999999</v>
      </c>
      <c r="G735">
        <v>240.60733333333334</v>
      </c>
      <c r="H735">
        <v>1.5643750000000001</v>
      </c>
    </row>
    <row r="736" spans="1:8" x14ac:dyDescent="0.3">
      <c r="A736" t="s">
        <v>15</v>
      </c>
      <c r="B736">
        <v>2016.4</v>
      </c>
      <c r="C736">
        <v>0</v>
      </c>
      <c r="D736">
        <v>29.28</v>
      </c>
      <c r="E736">
        <v>72574</v>
      </c>
      <c r="F736">
        <v>4.4913869999999996</v>
      </c>
      <c r="G736">
        <v>242.13466666666667</v>
      </c>
      <c r="H736">
        <v>2.1386889999999998</v>
      </c>
    </row>
    <row r="737" spans="1:8" x14ac:dyDescent="0.3">
      <c r="A737" t="s">
        <v>15</v>
      </c>
      <c r="B737">
        <v>2017.1</v>
      </c>
      <c r="C737">
        <v>213</v>
      </c>
      <c r="D737">
        <v>29.99</v>
      </c>
      <c r="E737">
        <v>72787</v>
      </c>
      <c r="F737">
        <v>4.4182079999999999</v>
      </c>
      <c r="G737">
        <v>243.83866666666665</v>
      </c>
      <c r="H737">
        <v>2.4466130000000001</v>
      </c>
    </row>
    <row r="738" spans="1:8" x14ac:dyDescent="0.3">
      <c r="A738" t="s">
        <v>15</v>
      </c>
      <c r="B738">
        <v>2017.2</v>
      </c>
      <c r="C738">
        <v>0</v>
      </c>
      <c r="D738">
        <v>30.74</v>
      </c>
      <c r="E738">
        <v>72787</v>
      </c>
      <c r="F738">
        <v>4.3963140000000003</v>
      </c>
      <c r="G738">
        <v>244.12</v>
      </c>
      <c r="H738">
        <v>2.2609520000000001</v>
      </c>
    </row>
    <row r="739" spans="1:8" x14ac:dyDescent="0.3">
      <c r="A739" t="s">
        <v>15</v>
      </c>
      <c r="B739">
        <v>2017.3</v>
      </c>
      <c r="C739">
        <v>467</v>
      </c>
      <c r="D739">
        <v>30.98</v>
      </c>
      <c r="E739">
        <v>73254</v>
      </c>
      <c r="F739">
        <v>4.2528839999999999</v>
      </c>
      <c r="G739">
        <v>245.28700000000001</v>
      </c>
      <c r="H739">
        <v>2.2414290000000001</v>
      </c>
    </row>
    <row r="740" spans="1:8" x14ac:dyDescent="0.3">
      <c r="A740" t="s">
        <v>7</v>
      </c>
      <c r="B740">
        <v>1987.1</v>
      </c>
      <c r="C740">
        <v>206</v>
      </c>
      <c r="D740">
        <v>18.239999999999998</v>
      </c>
      <c r="E740">
        <v>24575</v>
      </c>
      <c r="F740">
        <v>7.2605620000000002</v>
      </c>
      <c r="G740">
        <v>111.8</v>
      </c>
      <c r="H740">
        <v>7.1954098360655747</v>
      </c>
    </row>
    <row r="741" spans="1:8" x14ac:dyDescent="0.3">
      <c r="A741" t="s">
        <v>7</v>
      </c>
      <c r="B741">
        <v>1987.2</v>
      </c>
      <c r="C741">
        <v>243</v>
      </c>
      <c r="D741">
        <v>18.32</v>
      </c>
      <c r="E741">
        <v>24818</v>
      </c>
      <c r="F741">
        <v>6.990926</v>
      </c>
      <c r="G741">
        <v>113.06666666666666</v>
      </c>
      <c r="H741">
        <v>8.3426984126984127</v>
      </c>
    </row>
    <row r="742" spans="1:8" x14ac:dyDescent="0.3">
      <c r="A742" t="s">
        <v>7</v>
      </c>
      <c r="B742">
        <v>1987.3</v>
      </c>
      <c r="C742">
        <v>283</v>
      </c>
      <c r="D742">
        <v>18.2</v>
      </c>
      <c r="E742">
        <v>25101</v>
      </c>
      <c r="F742">
        <v>6.8647580000000001</v>
      </c>
      <c r="G742">
        <v>114.26666666666667</v>
      </c>
      <c r="H742">
        <v>8.8696874999999995</v>
      </c>
    </row>
    <row r="743" spans="1:8" x14ac:dyDescent="0.3">
      <c r="A743" t="s">
        <v>7</v>
      </c>
      <c r="B743">
        <v>1987.4</v>
      </c>
      <c r="C743">
        <v>1499</v>
      </c>
      <c r="D743">
        <v>18.079999999999998</v>
      </c>
      <c r="E743">
        <v>26600</v>
      </c>
      <c r="F743">
        <v>6.7820049999999998</v>
      </c>
      <c r="G743">
        <v>115.33333333333333</v>
      </c>
      <c r="H743">
        <v>9.129032258064516</v>
      </c>
    </row>
    <row r="744" spans="1:8" x14ac:dyDescent="0.3">
      <c r="A744" t="s">
        <v>7</v>
      </c>
      <c r="B744">
        <v>1988.1</v>
      </c>
      <c r="C744">
        <v>942</v>
      </c>
      <c r="D744">
        <v>18.04</v>
      </c>
      <c r="E744">
        <v>27542</v>
      </c>
      <c r="F744">
        <v>6.7470939999999997</v>
      </c>
      <c r="G744">
        <v>116.23333333333333</v>
      </c>
      <c r="H744">
        <v>8.4109677419354885</v>
      </c>
    </row>
    <row r="745" spans="1:8" x14ac:dyDescent="0.3">
      <c r="A745" t="s">
        <v>7</v>
      </c>
      <c r="B745">
        <v>1988.2</v>
      </c>
      <c r="C745">
        <v>288</v>
      </c>
      <c r="D745">
        <v>18</v>
      </c>
      <c r="E745">
        <v>27830</v>
      </c>
      <c r="F745">
        <v>6.635834</v>
      </c>
      <c r="G745">
        <v>117.56666666666666</v>
      </c>
      <c r="H745">
        <v>8.9128571428571437</v>
      </c>
    </row>
    <row r="746" spans="1:8" x14ac:dyDescent="0.3">
      <c r="A746" t="s">
        <v>7</v>
      </c>
      <c r="B746">
        <v>1988.3</v>
      </c>
      <c r="C746">
        <v>379</v>
      </c>
      <c r="D746">
        <v>17.96</v>
      </c>
      <c r="E746">
        <v>28209</v>
      </c>
      <c r="F746">
        <v>6.3065910000000001</v>
      </c>
      <c r="G746">
        <v>119</v>
      </c>
      <c r="H746">
        <v>9.1035937500000035</v>
      </c>
    </row>
    <row r="747" spans="1:8" x14ac:dyDescent="0.3">
      <c r="A747" t="s">
        <v>7</v>
      </c>
      <c r="B747">
        <v>1988.4</v>
      </c>
      <c r="C747">
        <v>742</v>
      </c>
      <c r="D747">
        <v>17.920000000000002</v>
      </c>
      <c r="E747">
        <v>28951</v>
      </c>
      <c r="F747">
        <v>6.0394050000000004</v>
      </c>
      <c r="G747">
        <v>120.3</v>
      </c>
      <c r="H747">
        <v>8.9570491803278678</v>
      </c>
    </row>
    <row r="748" spans="1:8" x14ac:dyDescent="0.3">
      <c r="A748" t="s">
        <v>7</v>
      </c>
      <c r="B748">
        <v>1989.1</v>
      </c>
      <c r="C748">
        <v>538</v>
      </c>
      <c r="D748">
        <v>17.89</v>
      </c>
      <c r="E748">
        <v>29489</v>
      </c>
      <c r="F748">
        <v>5.9403629999999996</v>
      </c>
      <c r="G748">
        <v>121.66666666666667</v>
      </c>
      <c r="H748">
        <v>9.2116393442622968</v>
      </c>
    </row>
    <row r="749" spans="1:8" x14ac:dyDescent="0.3">
      <c r="A749" t="s">
        <v>7</v>
      </c>
      <c r="B749">
        <v>1989.2</v>
      </c>
      <c r="C749">
        <v>1974</v>
      </c>
      <c r="D749">
        <v>17.87</v>
      </c>
      <c r="E749">
        <v>31463</v>
      </c>
      <c r="F749">
        <v>6.3766299999999996</v>
      </c>
      <c r="G749">
        <v>123.63333333333334</v>
      </c>
      <c r="H749">
        <v>8.7579687500000016</v>
      </c>
    </row>
    <row r="750" spans="1:8" x14ac:dyDescent="0.3">
      <c r="A750" t="s">
        <v>7</v>
      </c>
      <c r="B750">
        <v>1989.3</v>
      </c>
      <c r="C750">
        <v>228</v>
      </c>
      <c r="D750">
        <v>17.91</v>
      </c>
      <c r="E750">
        <v>31691</v>
      </c>
      <c r="F750">
        <v>6.6405940000000001</v>
      </c>
      <c r="G750">
        <v>124.6</v>
      </c>
      <c r="H750">
        <v>8.1074603174603155</v>
      </c>
    </row>
    <row r="751" spans="1:8" x14ac:dyDescent="0.3">
      <c r="A751" t="s">
        <v>7</v>
      </c>
      <c r="B751">
        <v>1989.4</v>
      </c>
      <c r="C751">
        <v>821</v>
      </c>
      <c r="D751">
        <v>17.95</v>
      </c>
      <c r="E751">
        <v>32512</v>
      </c>
      <c r="F751">
        <v>7.0249750000000004</v>
      </c>
      <c r="G751">
        <v>125.86666666666666</v>
      </c>
      <c r="H751">
        <v>7.9070967741935476</v>
      </c>
    </row>
    <row r="752" spans="1:8" x14ac:dyDescent="0.3">
      <c r="A752" t="s">
        <v>7</v>
      </c>
      <c r="B752">
        <v>1990.1</v>
      </c>
      <c r="C752">
        <v>1083</v>
      </c>
      <c r="D752">
        <v>17.600000000000001</v>
      </c>
      <c r="E752">
        <v>33595</v>
      </c>
      <c r="F752">
        <v>7.1316389999999998</v>
      </c>
      <c r="G752">
        <v>128.03333333333333</v>
      </c>
      <c r="H752">
        <v>8.4238709677419337</v>
      </c>
    </row>
    <row r="753" spans="1:8" x14ac:dyDescent="0.3">
      <c r="A753" t="s">
        <v>7</v>
      </c>
      <c r="B753">
        <v>1990.2</v>
      </c>
      <c r="C753">
        <v>278</v>
      </c>
      <c r="D753">
        <v>17.27</v>
      </c>
      <c r="E753">
        <v>33873</v>
      </c>
      <c r="F753">
        <v>7.110309</v>
      </c>
      <c r="G753">
        <v>129.30000000000001</v>
      </c>
      <c r="H753">
        <v>8.6741269841269819</v>
      </c>
    </row>
    <row r="754" spans="1:8" x14ac:dyDescent="0.3">
      <c r="A754" t="s">
        <v>7</v>
      </c>
      <c r="B754">
        <v>1990.3</v>
      </c>
      <c r="C754">
        <v>400</v>
      </c>
      <c r="D754">
        <v>17.309999999999999</v>
      </c>
      <c r="E754">
        <v>34273</v>
      </c>
      <c r="F754">
        <v>7.1321880000000002</v>
      </c>
      <c r="G754">
        <v>131.53333333333333</v>
      </c>
      <c r="H754">
        <v>8.7012698412698413</v>
      </c>
    </row>
    <row r="755" spans="1:8" x14ac:dyDescent="0.3">
      <c r="A755" t="s">
        <v>7</v>
      </c>
      <c r="B755">
        <v>1990.4</v>
      </c>
      <c r="C755">
        <v>859</v>
      </c>
      <c r="D755">
        <v>17.350000000000001</v>
      </c>
      <c r="E755">
        <v>35132</v>
      </c>
      <c r="F755">
        <v>7.0558199999999998</v>
      </c>
      <c r="G755">
        <v>133.76666666666668</v>
      </c>
      <c r="H755">
        <v>8.4059677419354859</v>
      </c>
    </row>
    <row r="756" spans="1:8" x14ac:dyDescent="0.3">
      <c r="A756" t="s">
        <v>7</v>
      </c>
      <c r="B756">
        <v>1991.1</v>
      </c>
      <c r="C756">
        <v>304</v>
      </c>
      <c r="D756">
        <v>16.7</v>
      </c>
      <c r="E756">
        <v>35436</v>
      </c>
      <c r="F756">
        <v>7.0827159999999996</v>
      </c>
      <c r="G756">
        <v>134.76666666666668</v>
      </c>
      <c r="H756">
        <v>8.0231666666666648</v>
      </c>
    </row>
    <row r="757" spans="1:8" x14ac:dyDescent="0.3">
      <c r="A757" t="s">
        <v>7</v>
      </c>
      <c r="B757">
        <v>1991.2</v>
      </c>
      <c r="C757">
        <v>304</v>
      </c>
      <c r="D757">
        <v>16.07</v>
      </c>
      <c r="E757">
        <v>35740</v>
      </c>
      <c r="F757">
        <v>6.9810350000000003</v>
      </c>
      <c r="G757">
        <v>135.56666666666666</v>
      </c>
      <c r="H757">
        <v>8.1254687499999996</v>
      </c>
    </row>
    <row r="758" spans="1:8" x14ac:dyDescent="0.3">
      <c r="A758" t="s">
        <v>7</v>
      </c>
      <c r="B758">
        <v>1991.3</v>
      </c>
      <c r="C758">
        <v>38</v>
      </c>
      <c r="D758">
        <v>15.88</v>
      </c>
      <c r="E758">
        <v>35778</v>
      </c>
      <c r="F758">
        <v>6.976845</v>
      </c>
      <c r="G758">
        <v>136.6</v>
      </c>
      <c r="H758">
        <v>7.9499999999999993</v>
      </c>
    </row>
    <row r="759" spans="1:8" x14ac:dyDescent="0.3">
      <c r="A759" t="s">
        <v>7</v>
      </c>
      <c r="B759">
        <v>1991.4</v>
      </c>
      <c r="C759">
        <v>682</v>
      </c>
      <c r="D759">
        <v>15.69</v>
      </c>
      <c r="E759">
        <v>36460</v>
      </c>
      <c r="F759">
        <v>7.2037399999999998</v>
      </c>
      <c r="G759">
        <v>137.73333333333332</v>
      </c>
      <c r="H759">
        <v>7.3450000000000006</v>
      </c>
    </row>
    <row r="760" spans="1:8" x14ac:dyDescent="0.3">
      <c r="A760" t="s">
        <v>7</v>
      </c>
      <c r="B760">
        <v>1992.1</v>
      </c>
      <c r="C760">
        <v>0</v>
      </c>
      <c r="D760">
        <v>15.48</v>
      </c>
      <c r="E760">
        <v>36460</v>
      </c>
      <c r="F760">
        <v>7.3517070000000002</v>
      </c>
      <c r="G760">
        <v>138.66666666666666</v>
      </c>
      <c r="H760">
        <v>7.3069354838709675</v>
      </c>
    </row>
    <row r="761" spans="1:8" x14ac:dyDescent="0.3">
      <c r="A761" t="s">
        <v>7</v>
      </c>
      <c r="B761">
        <v>1992.2</v>
      </c>
      <c r="C761">
        <v>150</v>
      </c>
      <c r="D761">
        <v>15.27</v>
      </c>
      <c r="E761">
        <v>36610</v>
      </c>
      <c r="F761">
        <v>7.8217309999999998</v>
      </c>
      <c r="G761">
        <v>139.73333333333332</v>
      </c>
      <c r="H761">
        <v>7.3760317460317451</v>
      </c>
    </row>
    <row r="762" spans="1:8" x14ac:dyDescent="0.3">
      <c r="A762" t="s">
        <v>7</v>
      </c>
      <c r="B762">
        <v>1992.3</v>
      </c>
      <c r="C762">
        <v>181</v>
      </c>
      <c r="D762">
        <v>14.92</v>
      </c>
      <c r="E762">
        <v>36791</v>
      </c>
      <c r="F762">
        <v>8.0938680000000005</v>
      </c>
      <c r="G762">
        <v>140.80000000000001</v>
      </c>
      <c r="H762">
        <v>6.6187500000000021</v>
      </c>
    </row>
    <row r="763" spans="1:8" x14ac:dyDescent="0.3">
      <c r="A763" t="s">
        <v>7</v>
      </c>
      <c r="B763">
        <v>1992.4</v>
      </c>
      <c r="C763">
        <v>0</v>
      </c>
      <c r="D763">
        <v>14.57</v>
      </c>
      <c r="E763">
        <v>36791</v>
      </c>
      <c r="F763">
        <v>8.2039240000000007</v>
      </c>
      <c r="G763">
        <v>142.03333333333333</v>
      </c>
      <c r="H763">
        <v>6.7403225806451594</v>
      </c>
    </row>
    <row r="764" spans="1:8" x14ac:dyDescent="0.3">
      <c r="A764" t="s">
        <v>7</v>
      </c>
      <c r="B764">
        <v>1993.1</v>
      </c>
      <c r="C764">
        <v>0</v>
      </c>
      <c r="D764">
        <v>14.46</v>
      </c>
      <c r="E764">
        <v>36791</v>
      </c>
      <c r="F764">
        <v>8.4061109999999992</v>
      </c>
      <c r="G764">
        <v>143.06666666666666</v>
      </c>
      <c r="H764">
        <v>6.2581967213114744</v>
      </c>
    </row>
    <row r="765" spans="1:8" x14ac:dyDescent="0.3">
      <c r="A765" t="s">
        <v>7</v>
      </c>
      <c r="B765">
        <v>1993.2</v>
      </c>
      <c r="C765">
        <v>71</v>
      </c>
      <c r="D765">
        <v>14.35</v>
      </c>
      <c r="E765">
        <v>36862</v>
      </c>
      <c r="F765">
        <v>8.257612</v>
      </c>
      <c r="G765">
        <v>144.1</v>
      </c>
      <c r="H765">
        <v>5.9880952380952381</v>
      </c>
    </row>
    <row r="766" spans="1:8" x14ac:dyDescent="0.3">
      <c r="A766" t="s">
        <v>7</v>
      </c>
      <c r="B766">
        <v>1993.3</v>
      </c>
      <c r="C766">
        <v>0</v>
      </c>
      <c r="D766">
        <v>14.44</v>
      </c>
      <c r="E766">
        <v>36862</v>
      </c>
      <c r="F766">
        <v>8.5246729999999999</v>
      </c>
      <c r="G766">
        <v>144.76666666666668</v>
      </c>
      <c r="H766">
        <v>5.6153125000000017</v>
      </c>
    </row>
    <row r="767" spans="1:8" x14ac:dyDescent="0.3">
      <c r="A767" t="s">
        <v>7</v>
      </c>
      <c r="B767">
        <v>1993.4</v>
      </c>
      <c r="C767">
        <v>0</v>
      </c>
      <c r="D767">
        <v>14.53</v>
      </c>
      <c r="E767">
        <v>36862</v>
      </c>
      <c r="F767">
        <v>8.8000950000000007</v>
      </c>
      <c r="G767">
        <v>145.96666666666667</v>
      </c>
      <c r="H767">
        <v>5.6159677419354841</v>
      </c>
    </row>
    <row r="768" spans="1:8" x14ac:dyDescent="0.3">
      <c r="A768" t="s">
        <v>7</v>
      </c>
      <c r="B768">
        <v>1994.1</v>
      </c>
      <c r="C768">
        <v>0</v>
      </c>
      <c r="D768">
        <v>14.42</v>
      </c>
      <c r="E768">
        <v>36862</v>
      </c>
      <c r="F768">
        <v>9.2731049999999993</v>
      </c>
      <c r="G768">
        <v>146.69999999999999</v>
      </c>
      <c r="H768">
        <v>6.09032258064516</v>
      </c>
    </row>
    <row r="769" spans="1:8" x14ac:dyDescent="0.3">
      <c r="A769" t="s">
        <v>7</v>
      </c>
      <c r="B769">
        <v>1994.2</v>
      </c>
      <c r="C769">
        <v>0</v>
      </c>
      <c r="D769">
        <v>14.32</v>
      </c>
      <c r="E769">
        <v>36862</v>
      </c>
      <c r="F769">
        <v>9.7258630000000004</v>
      </c>
      <c r="G769">
        <v>147.53333333333333</v>
      </c>
      <c r="H769">
        <v>7.0895161290322593</v>
      </c>
    </row>
    <row r="770" spans="1:8" x14ac:dyDescent="0.3">
      <c r="A770" t="s">
        <v>7</v>
      </c>
      <c r="B770">
        <v>1994.3</v>
      </c>
      <c r="C770">
        <v>0</v>
      </c>
      <c r="D770">
        <v>14.95</v>
      </c>
      <c r="E770">
        <v>36862</v>
      </c>
      <c r="F770">
        <v>9.9661539999999995</v>
      </c>
      <c r="G770">
        <v>148.9</v>
      </c>
      <c r="H770">
        <v>7.327968750000001</v>
      </c>
    </row>
    <row r="771" spans="1:8" x14ac:dyDescent="0.3">
      <c r="A771" t="s">
        <v>7</v>
      </c>
      <c r="B771">
        <v>1994.4</v>
      </c>
      <c r="C771">
        <v>0</v>
      </c>
      <c r="D771">
        <v>15.61</v>
      </c>
      <c r="E771">
        <v>36862</v>
      </c>
      <c r="F771">
        <v>10.001340000000001</v>
      </c>
      <c r="G771">
        <v>149.76666666666668</v>
      </c>
      <c r="H771">
        <v>7.8372131147540989</v>
      </c>
    </row>
    <row r="772" spans="1:8" x14ac:dyDescent="0.3">
      <c r="A772" t="s">
        <v>7</v>
      </c>
      <c r="B772">
        <v>1995.1</v>
      </c>
      <c r="C772">
        <v>0</v>
      </c>
      <c r="D772">
        <v>15.25</v>
      </c>
      <c r="E772">
        <v>36862</v>
      </c>
      <c r="F772">
        <v>10.23804</v>
      </c>
      <c r="G772">
        <v>150.86666666666667</v>
      </c>
      <c r="H772">
        <v>7.4712903225806464</v>
      </c>
    </row>
    <row r="773" spans="1:8" x14ac:dyDescent="0.3">
      <c r="A773" t="s">
        <v>7</v>
      </c>
      <c r="B773">
        <v>1995.2</v>
      </c>
      <c r="C773">
        <v>0</v>
      </c>
      <c r="D773">
        <v>14.9</v>
      </c>
      <c r="E773">
        <v>36862</v>
      </c>
      <c r="F773">
        <v>10.28138</v>
      </c>
      <c r="G773">
        <v>152.1</v>
      </c>
      <c r="H773">
        <v>6.6001587301587294</v>
      </c>
    </row>
    <row r="774" spans="1:8" x14ac:dyDescent="0.3">
      <c r="A774" t="s">
        <v>7</v>
      </c>
      <c r="B774">
        <v>1995.3</v>
      </c>
      <c r="C774">
        <v>0</v>
      </c>
      <c r="D774">
        <v>15.03</v>
      </c>
      <c r="E774">
        <v>36862</v>
      </c>
      <c r="F774">
        <v>10.357620000000001</v>
      </c>
      <c r="G774">
        <v>152.86666666666667</v>
      </c>
      <c r="H774">
        <v>6.3292063492063484</v>
      </c>
    </row>
    <row r="775" spans="1:8" x14ac:dyDescent="0.3">
      <c r="A775" t="s">
        <v>7</v>
      </c>
      <c r="B775">
        <v>1995.4</v>
      </c>
      <c r="C775">
        <v>0</v>
      </c>
      <c r="D775">
        <v>15.17</v>
      </c>
      <c r="E775">
        <v>36862</v>
      </c>
      <c r="F775">
        <v>10.42863</v>
      </c>
      <c r="G775">
        <v>153.69999999999999</v>
      </c>
      <c r="H775">
        <v>5.8985483870967741</v>
      </c>
    </row>
    <row r="776" spans="1:8" x14ac:dyDescent="0.3">
      <c r="A776" t="s">
        <v>7</v>
      </c>
      <c r="B776">
        <v>1996.1</v>
      </c>
      <c r="C776">
        <v>0</v>
      </c>
      <c r="D776">
        <v>15.7</v>
      </c>
      <c r="E776">
        <v>36862</v>
      </c>
      <c r="F776">
        <v>9.8047920000000008</v>
      </c>
      <c r="G776">
        <v>155.06666666666666</v>
      </c>
      <c r="H776">
        <v>5.9104838709677407</v>
      </c>
    </row>
    <row r="777" spans="1:8" x14ac:dyDescent="0.3">
      <c r="A777" t="s">
        <v>7</v>
      </c>
      <c r="B777">
        <v>1996.2</v>
      </c>
      <c r="C777">
        <v>144</v>
      </c>
      <c r="D777">
        <v>16.239999999999998</v>
      </c>
      <c r="E777">
        <v>37006</v>
      </c>
      <c r="F777">
        <v>9.820786</v>
      </c>
      <c r="G777">
        <v>156.4</v>
      </c>
      <c r="H777">
        <v>6.7140624999999998</v>
      </c>
    </row>
    <row r="778" spans="1:8" x14ac:dyDescent="0.3">
      <c r="A778" t="s">
        <v>7</v>
      </c>
      <c r="B778">
        <v>1996.3</v>
      </c>
      <c r="C778">
        <v>0</v>
      </c>
      <c r="D778">
        <v>16.38</v>
      </c>
      <c r="E778">
        <v>37006</v>
      </c>
      <c r="F778">
        <v>9.6115019999999998</v>
      </c>
      <c r="G778">
        <v>157.30000000000001</v>
      </c>
      <c r="H778">
        <v>6.7759375000000022</v>
      </c>
    </row>
    <row r="779" spans="1:8" x14ac:dyDescent="0.3">
      <c r="A779" t="s">
        <v>7</v>
      </c>
      <c r="B779">
        <v>1996.4</v>
      </c>
      <c r="C779">
        <v>0</v>
      </c>
      <c r="D779">
        <v>16.52</v>
      </c>
      <c r="E779">
        <v>37006</v>
      </c>
      <c r="F779">
        <v>9.0594830000000002</v>
      </c>
      <c r="G779">
        <v>158.66666666666666</v>
      </c>
      <c r="H779">
        <v>6.3541935483870962</v>
      </c>
    </row>
    <row r="780" spans="1:8" x14ac:dyDescent="0.3">
      <c r="A780" t="s">
        <v>7</v>
      </c>
      <c r="B780">
        <v>1997.1</v>
      </c>
      <c r="C780">
        <v>0</v>
      </c>
      <c r="D780">
        <v>17.09</v>
      </c>
      <c r="E780">
        <v>37006</v>
      </c>
      <c r="F780">
        <v>9.0282809999999998</v>
      </c>
      <c r="G780">
        <v>159.63333333333333</v>
      </c>
      <c r="H780">
        <v>6.5670000000000028</v>
      </c>
    </row>
    <row r="781" spans="1:8" x14ac:dyDescent="0.3">
      <c r="A781" t="s">
        <v>7</v>
      </c>
      <c r="B781">
        <v>1997.2</v>
      </c>
      <c r="C781">
        <v>0</v>
      </c>
      <c r="D781">
        <v>17.68</v>
      </c>
      <c r="E781">
        <v>37006</v>
      </c>
      <c r="F781">
        <v>8.8127999999999993</v>
      </c>
      <c r="G781">
        <v>160</v>
      </c>
      <c r="H781">
        <v>6.6996874999999996</v>
      </c>
    </row>
    <row r="782" spans="1:8" x14ac:dyDescent="0.3">
      <c r="A782" t="s">
        <v>7</v>
      </c>
      <c r="B782">
        <v>1997.3</v>
      </c>
      <c r="C782">
        <v>0</v>
      </c>
      <c r="D782">
        <v>18.350000000000001</v>
      </c>
      <c r="E782">
        <v>37006</v>
      </c>
      <c r="F782">
        <v>8.6279149999999998</v>
      </c>
      <c r="G782">
        <v>160.80000000000001</v>
      </c>
      <c r="H782">
        <v>6.2421875</v>
      </c>
    </row>
    <row r="783" spans="1:8" x14ac:dyDescent="0.3">
      <c r="A783" t="s">
        <v>7</v>
      </c>
      <c r="B783">
        <v>1997.4</v>
      </c>
      <c r="C783">
        <v>75</v>
      </c>
      <c r="D783">
        <v>19.05</v>
      </c>
      <c r="E783">
        <v>37081</v>
      </c>
      <c r="F783">
        <v>8.9500419999999998</v>
      </c>
      <c r="G783">
        <v>161.66666666666666</v>
      </c>
      <c r="H783">
        <v>5.906290322580646</v>
      </c>
    </row>
    <row r="784" spans="1:8" x14ac:dyDescent="0.3">
      <c r="A784" t="s">
        <v>7</v>
      </c>
      <c r="B784">
        <v>1998.1</v>
      </c>
      <c r="C784">
        <v>66</v>
      </c>
      <c r="D784">
        <v>19.66</v>
      </c>
      <c r="E784">
        <v>37147</v>
      </c>
      <c r="F784">
        <v>9.0167490000000008</v>
      </c>
      <c r="G784">
        <v>162</v>
      </c>
      <c r="H784">
        <v>5.5909836065573773</v>
      </c>
    </row>
    <row r="785" spans="1:8" x14ac:dyDescent="0.3">
      <c r="A785" t="s">
        <v>7</v>
      </c>
      <c r="B785">
        <v>1998.2</v>
      </c>
      <c r="C785">
        <v>160</v>
      </c>
      <c r="D785">
        <v>20.29</v>
      </c>
      <c r="E785">
        <v>37307</v>
      </c>
      <c r="F785">
        <v>8.8393990000000002</v>
      </c>
      <c r="G785">
        <v>162.53333333333333</v>
      </c>
      <c r="H785">
        <v>5.5930158730158714</v>
      </c>
    </row>
    <row r="786" spans="1:8" x14ac:dyDescent="0.3">
      <c r="A786" t="s">
        <v>7</v>
      </c>
      <c r="B786">
        <v>1998.3</v>
      </c>
      <c r="C786">
        <v>373</v>
      </c>
      <c r="D786">
        <v>21.03</v>
      </c>
      <c r="E786">
        <v>37680</v>
      </c>
      <c r="F786">
        <v>8.8952360000000006</v>
      </c>
      <c r="G786">
        <v>163.36666666666667</v>
      </c>
      <c r="H786">
        <v>5.2073437500000006</v>
      </c>
    </row>
    <row r="787" spans="1:8" x14ac:dyDescent="0.3">
      <c r="A787" t="s">
        <v>7</v>
      </c>
      <c r="B787">
        <v>1998.4</v>
      </c>
      <c r="C787">
        <v>893</v>
      </c>
      <c r="D787">
        <v>21.8</v>
      </c>
      <c r="E787">
        <v>38573</v>
      </c>
      <c r="F787">
        <v>8.3658669999999997</v>
      </c>
      <c r="G787">
        <v>164.13333333333333</v>
      </c>
      <c r="H787">
        <v>4.661935483870967</v>
      </c>
    </row>
    <row r="788" spans="1:8" x14ac:dyDescent="0.3">
      <c r="A788" t="s">
        <v>7</v>
      </c>
      <c r="B788">
        <v>1999.1</v>
      </c>
      <c r="C788">
        <v>616</v>
      </c>
      <c r="D788">
        <v>21.76</v>
      </c>
      <c r="E788">
        <v>39189</v>
      </c>
      <c r="F788">
        <v>7.9691960000000002</v>
      </c>
      <c r="G788">
        <v>164.73333333333332</v>
      </c>
      <c r="H788">
        <v>5.0008196721311462</v>
      </c>
    </row>
    <row r="789" spans="1:8" x14ac:dyDescent="0.3">
      <c r="A789" t="s">
        <v>7</v>
      </c>
      <c r="B789">
        <v>1999.2</v>
      </c>
      <c r="C789">
        <v>39</v>
      </c>
      <c r="D789">
        <v>21.72</v>
      </c>
      <c r="E789">
        <v>39228</v>
      </c>
      <c r="F789">
        <v>8.0343929999999997</v>
      </c>
      <c r="G789">
        <v>165.96666666666667</v>
      </c>
      <c r="H789">
        <v>5.5412499999999998</v>
      </c>
    </row>
    <row r="790" spans="1:8" x14ac:dyDescent="0.3">
      <c r="A790" t="s">
        <v>7</v>
      </c>
      <c r="B790">
        <v>1999.3</v>
      </c>
      <c r="C790">
        <v>657</v>
      </c>
      <c r="D790">
        <v>21.74</v>
      </c>
      <c r="E790">
        <v>39885</v>
      </c>
      <c r="F790">
        <v>7.7351970000000003</v>
      </c>
      <c r="G790">
        <v>167.2</v>
      </c>
      <c r="H790">
        <v>5.8829687499999981</v>
      </c>
    </row>
    <row r="791" spans="1:8" x14ac:dyDescent="0.3">
      <c r="A791" t="s">
        <v>7</v>
      </c>
      <c r="B791">
        <v>1999.4</v>
      </c>
      <c r="C791">
        <v>130</v>
      </c>
      <c r="D791">
        <v>21.76</v>
      </c>
      <c r="E791">
        <v>40015</v>
      </c>
      <c r="F791">
        <v>7.8103619999999996</v>
      </c>
      <c r="G791">
        <v>168.43333333333334</v>
      </c>
      <c r="H791">
        <v>6.1448387096774191</v>
      </c>
    </row>
    <row r="792" spans="1:8" x14ac:dyDescent="0.3">
      <c r="A792" t="s">
        <v>7</v>
      </c>
      <c r="B792">
        <v>2000.1</v>
      </c>
      <c r="C792">
        <v>364</v>
      </c>
      <c r="D792">
        <v>23.17</v>
      </c>
      <c r="E792">
        <v>40379</v>
      </c>
      <c r="F792">
        <v>7.7672439999999998</v>
      </c>
      <c r="G792">
        <v>170.1</v>
      </c>
      <c r="H792">
        <v>6.4684126984126982</v>
      </c>
    </row>
    <row r="793" spans="1:8" x14ac:dyDescent="0.3">
      <c r="A793" t="s">
        <v>7</v>
      </c>
      <c r="B793">
        <v>2000.2</v>
      </c>
      <c r="C793">
        <v>308</v>
      </c>
      <c r="D793">
        <v>24.67</v>
      </c>
      <c r="E793">
        <v>40687</v>
      </c>
      <c r="F793">
        <v>7.6363979999999998</v>
      </c>
      <c r="G793">
        <v>171.43333333333334</v>
      </c>
      <c r="H793">
        <v>6.1849206349206343</v>
      </c>
    </row>
    <row r="794" spans="1:8" x14ac:dyDescent="0.3">
      <c r="A794" t="s">
        <v>7</v>
      </c>
      <c r="B794">
        <v>2000.3</v>
      </c>
      <c r="C794">
        <v>533</v>
      </c>
      <c r="D794">
        <v>26.16</v>
      </c>
      <c r="E794">
        <v>41220</v>
      </c>
      <c r="F794">
        <v>7.7909259999999998</v>
      </c>
      <c r="G794">
        <v>173</v>
      </c>
      <c r="H794">
        <v>5.8898412698412699</v>
      </c>
    </row>
    <row r="795" spans="1:8" x14ac:dyDescent="0.3">
      <c r="A795" t="s">
        <v>7</v>
      </c>
      <c r="B795">
        <v>2000.4</v>
      </c>
      <c r="C795">
        <v>248</v>
      </c>
      <c r="D795">
        <v>26.36</v>
      </c>
      <c r="E795">
        <v>41468</v>
      </c>
      <c r="F795">
        <v>8.0824780000000001</v>
      </c>
      <c r="G795">
        <v>174.23333333333332</v>
      </c>
      <c r="H795">
        <v>5.5706451612903232</v>
      </c>
    </row>
    <row r="796" spans="1:8" x14ac:dyDescent="0.3">
      <c r="A796" t="s">
        <v>7</v>
      </c>
      <c r="B796">
        <v>2001.1</v>
      </c>
      <c r="C796">
        <v>447</v>
      </c>
      <c r="D796">
        <v>27.21</v>
      </c>
      <c r="E796">
        <v>41915</v>
      </c>
      <c r="F796">
        <v>8.1743790000000001</v>
      </c>
      <c r="G796">
        <v>175.9</v>
      </c>
      <c r="H796">
        <v>5.0441935483870957</v>
      </c>
    </row>
    <row r="797" spans="1:8" x14ac:dyDescent="0.3">
      <c r="A797" t="s">
        <v>7</v>
      </c>
      <c r="B797">
        <v>2001.2</v>
      </c>
      <c r="C797">
        <v>950</v>
      </c>
      <c r="D797">
        <v>26.98</v>
      </c>
      <c r="E797">
        <v>42865</v>
      </c>
      <c r="F797">
        <v>8.380687</v>
      </c>
      <c r="G797">
        <v>177.13333333333333</v>
      </c>
      <c r="H797">
        <v>5.2761904761904761</v>
      </c>
    </row>
    <row r="798" spans="1:8" x14ac:dyDescent="0.3">
      <c r="A798" t="s">
        <v>7</v>
      </c>
      <c r="B798">
        <v>2001.3</v>
      </c>
      <c r="C798">
        <v>609</v>
      </c>
      <c r="D798">
        <v>27.26</v>
      </c>
      <c r="E798">
        <v>43474</v>
      </c>
      <c r="F798">
        <v>8.5181179999999994</v>
      </c>
      <c r="G798">
        <v>177.63333333333333</v>
      </c>
      <c r="H798">
        <v>4.9957377049180334</v>
      </c>
    </row>
    <row r="799" spans="1:8" x14ac:dyDescent="0.3">
      <c r="A799" t="s">
        <v>7</v>
      </c>
      <c r="B799">
        <v>2001.4</v>
      </c>
      <c r="C799">
        <v>320</v>
      </c>
      <c r="D799">
        <v>25.82</v>
      </c>
      <c r="E799">
        <v>43794</v>
      </c>
      <c r="F799">
        <v>8.6123010000000004</v>
      </c>
      <c r="G799">
        <v>177.5</v>
      </c>
      <c r="H799">
        <v>4.7620967741935463</v>
      </c>
    </row>
    <row r="800" spans="1:8" x14ac:dyDescent="0.3">
      <c r="A800" t="s">
        <v>7</v>
      </c>
      <c r="B800">
        <v>2002.1</v>
      </c>
      <c r="C800">
        <v>342</v>
      </c>
      <c r="D800">
        <v>26.01</v>
      </c>
      <c r="E800">
        <v>44136</v>
      </c>
      <c r="F800">
        <v>8.7167829999999995</v>
      </c>
      <c r="G800">
        <v>178.06666666666666</v>
      </c>
      <c r="H800">
        <v>5.0791666666666666</v>
      </c>
    </row>
    <row r="801" spans="1:8" x14ac:dyDescent="0.3">
      <c r="A801" t="s">
        <v>7</v>
      </c>
      <c r="B801">
        <v>2002.2</v>
      </c>
      <c r="C801">
        <v>280</v>
      </c>
      <c r="D801">
        <v>26.05</v>
      </c>
      <c r="E801">
        <v>44416</v>
      </c>
      <c r="F801">
        <v>8.3812040000000003</v>
      </c>
      <c r="G801">
        <v>179.46666666666667</v>
      </c>
      <c r="H801">
        <v>5.1060937499999994</v>
      </c>
    </row>
    <row r="802" spans="1:8" x14ac:dyDescent="0.3">
      <c r="A802" t="s">
        <v>7</v>
      </c>
      <c r="B802">
        <v>2002.3</v>
      </c>
      <c r="C802">
        <v>213</v>
      </c>
      <c r="D802">
        <v>27.11</v>
      </c>
      <c r="E802">
        <v>44629</v>
      </c>
      <c r="F802">
        <v>8.1819050000000004</v>
      </c>
      <c r="G802">
        <v>180.43333333333334</v>
      </c>
      <c r="H802">
        <v>4.2723437499999992</v>
      </c>
    </row>
    <row r="803" spans="1:8" x14ac:dyDescent="0.3">
      <c r="A803" t="s">
        <v>7</v>
      </c>
      <c r="B803">
        <v>2002.4</v>
      </c>
      <c r="C803">
        <v>620</v>
      </c>
      <c r="D803">
        <v>26.9</v>
      </c>
      <c r="E803">
        <v>45249</v>
      </c>
      <c r="F803">
        <v>7.9232490000000002</v>
      </c>
      <c r="G803">
        <v>181.5</v>
      </c>
      <c r="H803">
        <v>4.0048387096774194</v>
      </c>
    </row>
    <row r="804" spans="1:8" x14ac:dyDescent="0.3">
      <c r="A804" t="s">
        <v>7</v>
      </c>
      <c r="B804">
        <v>2003.1</v>
      </c>
      <c r="C804">
        <v>277</v>
      </c>
      <c r="D804">
        <v>26.79</v>
      </c>
      <c r="E804">
        <v>45526</v>
      </c>
      <c r="F804">
        <v>7.9041639999999997</v>
      </c>
      <c r="G804">
        <v>183.36666666666667</v>
      </c>
      <c r="H804">
        <v>3.9199999999999995</v>
      </c>
    </row>
    <row r="805" spans="1:8" x14ac:dyDescent="0.3">
      <c r="A805" t="s">
        <v>7</v>
      </c>
      <c r="B805">
        <v>2003.2</v>
      </c>
      <c r="C805">
        <v>153</v>
      </c>
      <c r="D805">
        <v>26.66</v>
      </c>
      <c r="E805">
        <v>45679</v>
      </c>
      <c r="F805">
        <v>7.9471959999999999</v>
      </c>
      <c r="G805">
        <v>183.06666666666666</v>
      </c>
      <c r="H805">
        <v>3.6206349206349211</v>
      </c>
    </row>
    <row r="806" spans="1:8" x14ac:dyDescent="0.3">
      <c r="A806" t="s">
        <v>7</v>
      </c>
      <c r="B806">
        <v>2003.3</v>
      </c>
      <c r="C806">
        <v>362</v>
      </c>
      <c r="D806">
        <v>26.23</v>
      </c>
      <c r="E806">
        <v>46041</v>
      </c>
      <c r="F806">
        <v>7.8894019999999996</v>
      </c>
      <c r="G806">
        <v>184.43333333333334</v>
      </c>
      <c r="H806">
        <v>4.2276562499999981</v>
      </c>
    </row>
    <row r="807" spans="1:8" x14ac:dyDescent="0.3">
      <c r="A807" t="s">
        <v>7</v>
      </c>
      <c r="B807">
        <v>2003.4</v>
      </c>
      <c r="C807">
        <v>206</v>
      </c>
      <c r="D807">
        <v>25.79</v>
      </c>
      <c r="E807">
        <v>46247</v>
      </c>
      <c r="F807">
        <v>7.8474360000000001</v>
      </c>
      <c r="G807">
        <v>185.13333333333333</v>
      </c>
      <c r="H807">
        <v>4.2851612903225798</v>
      </c>
    </row>
    <row r="808" spans="1:8" x14ac:dyDescent="0.3">
      <c r="A808" t="s">
        <v>7</v>
      </c>
      <c r="B808">
        <v>2004.1</v>
      </c>
      <c r="C808">
        <v>100</v>
      </c>
      <c r="D808">
        <v>26.15</v>
      </c>
      <c r="E808">
        <v>46347</v>
      </c>
      <c r="F808">
        <v>7.7857130000000003</v>
      </c>
      <c r="G808">
        <v>186.7</v>
      </c>
      <c r="H808">
        <v>4.01</v>
      </c>
    </row>
    <row r="809" spans="1:8" x14ac:dyDescent="0.3">
      <c r="A809" t="s">
        <v>7</v>
      </c>
      <c r="B809">
        <v>2004.2</v>
      </c>
      <c r="C809">
        <v>156</v>
      </c>
      <c r="D809">
        <v>26.34</v>
      </c>
      <c r="E809">
        <v>46503</v>
      </c>
      <c r="F809">
        <v>7.4127980000000004</v>
      </c>
      <c r="G809">
        <v>188.16666666666666</v>
      </c>
      <c r="H809">
        <v>4.597096774193548</v>
      </c>
    </row>
    <row r="810" spans="1:8" x14ac:dyDescent="0.3">
      <c r="A810" t="s">
        <v>7</v>
      </c>
      <c r="B810">
        <v>2004.3</v>
      </c>
      <c r="C810">
        <v>104</v>
      </c>
      <c r="D810">
        <v>26.33</v>
      </c>
      <c r="E810">
        <v>46607</v>
      </c>
      <c r="F810">
        <v>7.2848680000000003</v>
      </c>
      <c r="G810">
        <v>189.36666666666667</v>
      </c>
      <c r="H810">
        <v>4.3014062500000003</v>
      </c>
    </row>
    <row r="811" spans="1:8" x14ac:dyDescent="0.3">
      <c r="A811" t="s">
        <v>7</v>
      </c>
      <c r="B811">
        <v>2004.4</v>
      </c>
      <c r="C811">
        <v>192</v>
      </c>
      <c r="D811">
        <v>26.42</v>
      </c>
      <c r="E811">
        <v>46799</v>
      </c>
      <c r="F811">
        <v>7.0028709999999998</v>
      </c>
      <c r="G811">
        <v>191.4</v>
      </c>
      <c r="H811">
        <v>4.1758064516129041</v>
      </c>
    </row>
    <row r="812" spans="1:8" x14ac:dyDescent="0.3">
      <c r="A812" t="s">
        <v>7</v>
      </c>
      <c r="B812">
        <v>2005.1</v>
      </c>
      <c r="C812">
        <v>325</v>
      </c>
      <c r="D812">
        <v>26.96</v>
      </c>
      <c r="E812">
        <v>47124</v>
      </c>
      <c r="F812">
        <v>6.7475500000000004</v>
      </c>
      <c r="G812">
        <v>192.36666666666667</v>
      </c>
      <c r="H812">
        <v>4.3036065573770488</v>
      </c>
    </row>
    <row r="813" spans="1:8" x14ac:dyDescent="0.3">
      <c r="A813" t="s">
        <v>7</v>
      </c>
      <c r="B813">
        <v>2005.2</v>
      </c>
      <c r="C813">
        <v>294</v>
      </c>
      <c r="D813">
        <v>27.29</v>
      </c>
      <c r="E813">
        <v>47418</v>
      </c>
      <c r="F813">
        <v>6.7550239999999997</v>
      </c>
      <c r="G813">
        <v>193.66666666666666</v>
      </c>
      <c r="H813">
        <v>4.1585937500000005</v>
      </c>
    </row>
    <row r="814" spans="1:8" x14ac:dyDescent="0.3">
      <c r="A814" t="s">
        <v>7</v>
      </c>
      <c r="B814">
        <v>2005.3</v>
      </c>
      <c r="C814">
        <v>1115</v>
      </c>
      <c r="D814">
        <v>27.66</v>
      </c>
      <c r="E814">
        <v>48533</v>
      </c>
      <c r="F814">
        <v>6.3333880000000002</v>
      </c>
      <c r="G814">
        <v>196.6</v>
      </c>
      <c r="H814">
        <v>4.2151562499999997</v>
      </c>
    </row>
    <row r="815" spans="1:8" x14ac:dyDescent="0.3">
      <c r="A815" t="s">
        <v>7</v>
      </c>
      <c r="B815">
        <v>2005.4</v>
      </c>
      <c r="C815">
        <v>378</v>
      </c>
      <c r="D815">
        <v>28.02</v>
      </c>
      <c r="E815">
        <v>48911</v>
      </c>
      <c r="F815">
        <v>6.0710490000000004</v>
      </c>
      <c r="G815">
        <v>198.43333333333334</v>
      </c>
      <c r="H815">
        <v>4.4881967213114757</v>
      </c>
    </row>
    <row r="816" spans="1:8" x14ac:dyDescent="0.3">
      <c r="A816" t="s">
        <v>7</v>
      </c>
      <c r="B816">
        <v>2006.1</v>
      </c>
      <c r="C816">
        <v>283</v>
      </c>
      <c r="D816">
        <v>29.25</v>
      </c>
      <c r="E816">
        <v>49194</v>
      </c>
      <c r="F816">
        <v>5.6566590000000003</v>
      </c>
      <c r="G816">
        <v>199.46666666666667</v>
      </c>
      <c r="H816">
        <v>4.5770967741935502</v>
      </c>
    </row>
    <row r="817" spans="1:8" x14ac:dyDescent="0.3">
      <c r="A817" t="s">
        <v>7</v>
      </c>
      <c r="B817">
        <v>2006.2</v>
      </c>
      <c r="C817">
        <v>231</v>
      </c>
      <c r="D817">
        <v>29.3</v>
      </c>
      <c r="E817">
        <v>49425</v>
      </c>
      <c r="F817">
        <v>5.2707699999999997</v>
      </c>
      <c r="G817">
        <v>201.26666666666668</v>
      </c>
      <c r="H817">
        <v>5.0726984126984132</v>
      </c>
    </row>
    <row r="818" spans="1:8" x14ac:dyDescent="0.3">
      <c r="A818" t="s">
        <v>7</v>
      </c>
      <c r="B818">
        <v>2006.3</v>
      </c>
      <c r="C818">
        <v>577</v>
      </c>
      <c r="D818">
        <v>29.42</v>
      </c>
      <c r="E818">
        <v>50002</v>
      </c>
      <c r="F818">
        <v>5.2142780000000002</v>
      </c>
      <c r="G818">
        <v>203.16666666666666</v>
      </c>
      <c r="H818">
        <v>4.8934920634920651</v>
      </c>
    </row>
    <row r="819" spans="1:8" x14ac:dyDescent="0.3">
      <c r="A819" t="s">
        <v>7</v>
      </c>
      <c r="B819">
        <v>2006.4</v>
      </c>
      <c r="C819">
        <v>722</v>
      </c>
      <c r="D819">
        <v>29.48</v>
      </c>
      <c r="E819">
        <v>50724</v>
      </c>
      <c r="F819">
        <v>5.1161289999999999</v>
      </c>
      <c r="G819">
        <v>202.33333333333334</v>
      </c>
      <c r="H819">
        <v>4.6306451612903237</v>
      </c>
    </row>
    <row r="820" spans="1:8" x14ac:dyDescent="0.3">
      <c r="A820" t="s">
        <v>7</v>
      </c>
      <c r="B820">
        <v>2007.1</v>
      </c>
      <c r="C820">
        <v>248</v>
      </c>
      <c r="D820">
        <v>30.3</v>
      </c>
      <c r="E820">
        <v>50972</v>
      </c>
      <c r="F820">
        <v>5.1192840000000004</v>
      </c>
      <c r="G820">
        <v>204.31700000000001</v>
      </c>
      <c r="H820">
        <v>4.6790322580645167</v>
      </c>
    </row>
    <row r="821" spans="1:8" x14ac:dyDescent="0.3">
      <c r="A821" t="s">
        <v>7</v>
      </c>
      <c r="B821">
        <v>2007.2</v>
      </c>
      <c r="C821">
        <v>1018</v>
      </c>
      <c r="D821">
        <v>30.4</v>
      </c>
      <c r="E821">
        <v>51990</v>
      </c>
      <c r="F821">
        <v>5.0671739999999996</v>
      </c>
      <c r="G821">
        <v>206.631</v>
      </c>
      <c r="H821">
        <v>4.8460937499999988</v>
      </c>
    </row>
    <row r="822" spans="1:8" x14ac:dyDescent="0.3">
      <c r="A822" t="s">
        <v>7</v>
      </c>
      <c r="B822">
        <v>2007.3</v>
      </c>
      <c r="C822">
        <v>862</v>
      </c>
      <c r="D822">
        <v>30.76</v>
      </c>
      <c r="E822">
        <v>52852</v>
      </c>
      <c r="F822">
        <v>4.9299840000000001</v>
      </c>
      <c r="G822">
        <v>207.93899999999999</v>
      </c>
      <c r="H822">
        <v>4.7384126984126951</v>
      </c>
    </row>
    <row r="823" spans="1:8" x14ac:dyDescent="0.3">
      <c r="A823" t="s">
        <v>7</v>
      </c>
      <c r="B823">
        <v>2007.4</v>
      </c>
      <c r="C823">
        <v>472</v>
      </c>
      <c r="D823">
        <v>31.16</v>
      </c>
      <c r="E823">
        <v>53324</v>
      </c>
      <c r="F823">
        <v>4.9362440000000003</v>
      </c>
      <c r="G823">
        <v>210.48966666666666</v>
      </c>
      <c r="H823">
        <v>4.2666129032258064</v>
      </c>
    </row>
    <row r="824" spans="1:8" x14ac:dyDescent="0.3">
      <c r="A824" t="s">
        <v>7</v>
      </c>
      <c r="B824">
        <v>2008.1</v>
      </c>
      <c r="C824">
        <v>535</v>
      </c>
      <c r="D824">
        <v>30.82</v>
      </c>
      <c r="E824">
        <v>53859</v>
      </c>
      <c r="F824">
        <v>4.8559289999999997</v>
      </c>
      <c r="G824">
        <v>212.76966666666667</v>
      </c>
      <c r="H824">
        <v>3.6652459016393442</v>
      </c>
    </row>
    <row r="825" spans="1:8" x14ac:dyDescent="0.3">
      <c r="A825" t="s">
        <v>7</v>
      </c>
      <c r="B825">
        <v>2008.2</v>
      </c>
      <c r="C825">
        <v>421</v>
      </c>
      <c r="D825">
        <v>30.62</v>
      </c>
      <c r="E825">
        <v>54280</v>
      </c>
      <c r="F825">
        <v>4.8139260000000004</v>
      </c>
      <c r="G825">
        <v>215.53766666666667</v>
      </c>
      <c r="H825">
        <v>3.8815624999999998</v>
      </c>
    </row>
    <row r="826" spans="1:8" x14ac:dyDescent="0.3">
      <c r="A826" t="s">
        <v>7</v>
      </c>
      <c r="B826">
        <v>2008.3</v>
      </c>
      <c r="C826">
        <v>140</v>
      </c>
      <c r="D826">
        <v>30.67</v>
      </c>
      <c r="E826">
        <v>54420</v>
      </c>
      <c r="F826">
        <v>4.8251860000000004</v>
      </c>
      <c r="G826">
        <v>218.86099999999999</v>
      </c>
      <c r="H826">
        <v>3.8621875000000001</v>
      </c>
    </row>
    <row r="827" spans="1:8" x14ac:dyDescent="0.3">
      <c r="A827" t="s">
        <v>7</v>
      </c>
      <c r="B827">
        <v>2008.4</v>
      </c>
      <c r="C827">
        <v>846</v>
      </c>
      <c r="D827">
        <v>30.16</v>
      </c>
      <c r="E827">
        <v>55266</v>
      </c>
      <c r="F827">
        <v>4.9331639999999997</v>
      </c>
      <c r="G827">
        <v>213.84866666666667</v>
      </c>
      <c r="H827">
        <v>3.2346774193548384</v>
      </c>
    </row>
    <row r="828" spans="1:8" x14ac:dyDescent="0.3">
      <c r="A828" t="s">
        <v>7</v>
      </c>
      <c r="B828">
        <v>2009.1</v>
      </c>
      <c r="C828">
        <v>111</v>
      </c>
      <c r="D828">
        <v>27.88</v>
      </c>
      <c r="E828">
        <v>55377</v>
      </c>
      <c r="F828">
        <v>5.2299369999999996</v>
      </c>
      <c r="G828">
        <v>212.37766666666667</v>
      </c>
      <c r="H828">
        <v>2.7362295081967209</v>
      </c>
    </row>
    <row r="829" spans="1:8" x14ac:dyDescent="0.3">
      <c r="A829" t="s">
        <v>7</v>
      </c>
      <c r="B829">
        <v>2009.2</v>
      </c>
      <c r="C829">
        <v>331</v>
      </c>
      <c r="D829">
        <v>26.09</v>
      </c>
      <c r="E829">
        <v>55708</v>
      </c>
      <c r="F829">
        <v>5.5078779999999998</v>
      </c>
      <c r="G829">
        <v>213.50700000000001</v>
      </c>
      <c r="H829">
        <v>3.3207936507936511</v>
      </c>
    </row>
    <row r="830" spans="1:8" x14ac:dyDescent="0.3">
      <c r="A830" t="s">
        <v>7</v>
      </c>
      <c r="B830">
        <v>2009.3</v>
      </c>
      <c r="C830">
        <v>15</v>
      </c>
      <c r="D830">
        <v>26.59</v>
      </c>
      <c r="E830">
        <v>55723</v>
      </c>
      <c r="F830">
        <v>5.8014380000000001</v>
      </c>
      <c r="G830">
        <v>215.34399999999999</v>
      </c>
      <c r="H830">
        <v>3.5178124999999998</v>
      </c>
    </row>
    <row r="831" spans="1:8" x14ac:dyDescent="0.3">
      <c r="A831" t="s">
        <v>7</v>
      </c>
      <c r="B831">
        <v>2009.4</v>
      </c>
      <c r="C831">
        <v>3</v>
      </c>
      <c r="D831">
        <v>26.06</v>
      </c>
      <c r="E831">
        <v>55726</v>
      </c>
      <c r="F831">
        <v>6.055021</v>
      </c>
      <c r="G831">
        <v>217.03</v>
      </c>
      <c r="H831">
        <v>3.464032258064516</v>
      </c>
    </row>
    <row r="832" spans="1:8" x14ac:dyDescent="0.3">
      <c r="A832" t="s">
        <v>7</v>
      </c>
      <c r="B832">
        <v>2010.1</v>
      </c>
      <c r="C832">
        <v>79</v>
      </c>
      <c r="D832">
        <v>25.73</v>
      </c>
      <c r="E832">
        <v>55805</v>
      </c>
      <c r="F832">
        <v>6.1431180000000003</v>
      </c>
      <c r="G832">
        <v>217.374</v>
      </c>
      <c r="H832">
        <v>3.7178688524590173</v>
      </c>
    </row>
    <row r="833" spans="1:8" x14ac:dyDescent="0.3">
      <c r="A833" t="s">
        <v>7</v>
      </c>
      <c r="B833">
        <v>2010.2</v>
      </c>
      <c r="C833">
        <v>20</v>
      </c>
      <c r="D833">
        <v>25.1</v>
      </c>
      <c r="E833">
        <v>55825</v>
      </c>
      <c r="F833">
        <v>6.2865890000000002</v>
      </c>
      <c r="G833">
        <v>217.29733333333334</v>
      </c>
      <c r="H833">
        <v>3.4924999999999993</v>
      </c>
    </row>
    <row r="834" spans="1:8" x14ac:dyDescent="0.3">
      <c r="A834" t="s">
        <v>7</v>
      </c>
      <c r="B834">
        <v>2010.3</v>
      </c>
      <c r="C834">
        <v>0</v>
      </c>
      <c r="D834">
        <v>24.67</v>
      </c>
      <c r="E834">
        <v>55825</v>
      </c>
      <c r="F834">
        <v>6.3820240000000004</v>
      </c>
      <c r="G834">
        <v>217.93433333333334</v>
      </c>
      <c r="H834">
        <v>2.7845312500000015</v>
      </c>
    </row>
    <row r="835" spans="1:8" x14ac:dyDescent="0.3">
      <c r="A835" t="s">
        <v>7</v>
      </c>
      <c r="B835">
        <v>2010.4</v>
      </c>
      <c r="C835">
        <v>30</v>
      </c>
      <c r="D835">
        <v>24.48</v>
      </c>
      <c r="E835">
        <v>55855</v>
      </c>
      <c r="F835">
        <v>6.0433899999999996</v>
      </c>
      <c r="G835">
        <v>219.69900000000001</v>
      </c>
      <c r="H835">
        <v>2.8783870967741949</v>
      </c>
    </row>
    <row r="836" spans="1:8" x14ac:dyDescent="0.3">
      <c r="A836" t="s">
        <v>7</v>
      </c>
      <c r="B836">
        <v>2011.1</v>
      </c>
      <c r="C836">
        <v>0</v>
      </c>
      <c r="D836">
        <v>23.92</v>
      </c>
      <c r="E836">
        <v>55855</v>
      </c>
      <c r="F836">
        <v>6.0038419999999997</v>
      </c>
      <c r="G836">
        <v>222.04366666666667</v>
      </c>
      <c r="H836">
        <v>3.4574193548387107</v>
      </c>
    </row>
    <row r="837" spans="1:8" x14ac:dyDescent="0.3">
      <c r="A837" t="s">
        <v>7</v>
      </c>
      <c r="B837">
        <v>2011.2</v>
      </c>
      <c r="C837">
        <v>84</v>
      </c>
      <c r="D837">
        <v>24.18</v>
      </c>
      <c r="E837">
        <v>55939</v>
      </c>
      <c r="F837">
        <v>6.0631300000000001</v>
      </c>
      <c r="G837">
        <v>224.56833333333333</v>
      </c>
      <c r="H837">
        <v>3.201428571428572</v>
      </c>
    </row>
    <row r="838" spans="1:8" x14ac:dyDescent="0.3">
      <c r="A838" t="s">
        <v>7</v>
      </c>
      <c r="B838">
        <v>2011.3</v>
      </c>
      <c r="C838">
        <v>0</v>
      </c>
      <c r="D838">
        <v>23.78</v>
      </c>
      <c r="E838">
        <v>55939</v>
      </c>
      <c r="F838">
        <v>5.8514419999999996</v>
      </c>
      <c r="G838">
        <v>226.03266666666667</v>
      </c>
      <c r="H838">
        <v>2.4142187500000003</v>
      </c>
    </row>
    <row r="839" spans="1:8" x14ac:dyDescent="0.3">
      <c r="A839" t="s">
        <v>7</v>
      </c>
      <c r="B839">
        <v>2011.4</v>
      </c>
      <c r="C839">
        <v>0</v>
      </c>
      <c r="D839">
        <v>23.72</v>
      </c>
      <c r="E839">
        <v>55939</v>
      </c>
      <c r="F839">
        <v>6.2449680000000001</v>
      </c>
      <c r="G839">
        <v>227.04733333333334</v>
      </c>
      <c r="H839">
        <v>2.0467213114754093</v>
      </c>
    </row>
    <row r="840" spans="1:8" x14ac:dyDescent="0.3">
      <c r="A840" t="s">
        <v>7</v>
      </c>
      <c r="B840">
        <v>2012.1</v>
      </c>
      <c r="C840">
        <v>0</v>
      </c>
      <c r="D840">
        <v>24.63</v>
      </c>
      <c r="E840">
        <v>55939</v>
      </c>
      <c r="F840">
        <v>6.1896079999999998</v>
      </c>
      <c r="G840">
        <v>228.32599999999999</v>
      </c>
      <c r="H840">
        <v>2.0400000000000005</v>
      </c>
    </row>
    <row r="841" spans="1:8" x14ac:dyDescent="0.3">
      <c r="A841" t="s">
        <v>7</v>
      </c>
      <c r="B841">
        <v>2012.2</v>
      </c>
      <c r="C841">
        <v>0</v>
      </c>
      <c r="D841">
        <v>24.08</v>
      </c>
      <c r="E841">
        <v>55939</v>
      </c>
      <c r="F841">
        <v>6.0048399999999997</v>
      </c>
      <c r="G841">
        <v>228.80799999999999</v>
      </c>
      <c r="H841">
        <v>1.8257812499999995</v>
      </c>
    </row>
    <row r="842" spans="1:8" x14ac:dyDescent="0.3">
      <c r="A842" t="s">
        <v>7</v>
      </c>
      <c r="B842">
        <v>2012.3</v>
      </c>
      <c r="C842">
        <v>0</v>
      </c>
      <c r="D842">
        <v>24.25</v>
      </c>
      <c r="E842">
        <v>55939</v>
      </c>
      <c r="F842">
        <v>6.0430630000000001</v>
      </c>
      <c r="G842">
        <v>229.84100000000001</v>
      </c>
      <c r="H842">
        <v>1.6412698412698408</v>
      </c>
    </row>
    <row r="843" spans="1:8" x14ac:dyDescent="0.3">
      <c r="A843" t="s">
        <v>7</v>
      </c>
      <c r="B843">
        <v>2012.4</v>
      </c>
      <c r="C843">
        <v>0</v>
      </c>
      <c r="D843">
        <v>25.81</v>
      </c>
      <c r="E843">
        <v>55939</v>
      </c>
      <c r="F843">
        <v>5.7934369999999999</v>
      </c>
      <c r="G843">
        <v>231.36933333333334</v>
      </c>
      <c r="H843">
        <v>1.7070491803278682</v>
      </c>
    </row>
    <row r="844" spans="1:8" x14ac:dyDescent="0.3">
      <c r="A844" t="s">
        <v>7</v>
      </c>
      <c r="B844">
        <v>2013.1</v>
      </c>
      <c r="C844">
        <v>0</v>
      </c>
      <c r="D844">
        <v>26.04</v>
      </c>
      <c r="E844">
        <v>55939</v>
      </c>
      <c r="F844">
        <v>5.7146590000000002</v>
      </c>
      <c r="G844">
        <v>232.29933333333332</v>
      </c>
      <c r="H844">
        <v>1.9510000000000003</v>
      </c>
    </row>
    <row r="845" spans="1:8" x14ac:dyDescent="0.3">
      <c r="A845" t="s">
        <v>7</v>
      </c>
      <c r="B845">
        <v>2013.2</v>
      </c>
      <c r="C845">
        <v>0</v>
      </c>
      <c r="D845">
        <v>26.16</v>
      </c>
      <c r="E845">
        <v>55939</v>
      </c>
      <c r="F845">
        <v>5.5011419999999998</v>
      </c>
      <c r="G845">
        <v>232.04499999999999</v>
      </c>
      <c r="H845">
        <v>1.9862499999999992</v>
      </c>
    </row>
    <row r="846" spans="1:8" x14ac:dyDescent="0.3">
      <c r="A846" t="s">
        <v>7</v>
      </c>
      <c r="B846">
        <v>2013.3</v>
      </c>
      <c r="C846">
        <v>50</v>
      </c>
      <c r="D846">
        <v>26.31</v>
      </c>
      <c r="E846">
        <v>55989</v>
      </c>
      <c r="F846">
        <v>5.3042059999999998</v>
      </c>
      <c r="G846">
        <v>233.3</v>
      </c>
      <c r="H846">
        <v>2.7065624999999995</v>
      </c>
    </row>
    <row r="847" spans="1:8" x14ac:dyDescent="0.3">
      <c r="A847" t="s">
        <v>7</v>
      </c>
      <c r="B847">
        <v>2013.4</v>
      </c>
      <c r="C847">
        <v>70</v>
      </c>
      <c r="D847">
        <v>26.44</v>
      </c>
      <c r="E847">
        <v>56059</v>
      </c>
      <c r="F847">
        <v>5.2014839999999998</v>
      </c>
      <c r="G847">
        <v>234.16266666666667</v>
      </c>
      <c r="H847">
        <v>2.7441935483870958</v>
      </c>
    </row>
    <row r="848" spans="1:8" x14ac:dyDescent="0.3">
      <c r="A848" t="s">
        <v>7</v>
      </c>
      <c r="B848">
        <v>2014.1</v>
      </c>
      <c r="C848">
        <v>502</v>
      </c>
      <c r="D848">
        <v>26.57</v>
      </c>
      <c r="E848">
        <v>56561</v>
      </c>
      <c r="F848">
        <v>5.0866670000000003</v>
      </c>
      <c r="G848">
        <v>235.62100000000001</v>
      </c>
      <c r="H848">
        <v>2.7654098360655737</v>
      </c>
    </row>
    <row r="849" spans="1:8" x14ac:dyDescent="0.3">
      <c r="A849" t="s">
        <v>7</v>
      </c>
      <c r="B849">
        <v>2014.2</v>
      </c>
      <c r="C849">
        <v>34</v>
      </c>
      <c r="D849">
        <v>26.85</v>
      </c>
      <c r="E849">
        <v>56595</v>
      </c>
      <c r="F849">
        <v>4.9193020000000001</v>
      </c>
      <c r="G849">
        <v>236.87233333333333</v>
      </c>
      <c r="H849">
        <v>2.6209523809523816</v>
      </c>
    </row>
    <row r="850" spans="1:8" x14ac:dyDescent="0.3">
      <c r="A850" t="s">
        <v>7</v>
      </c>
      <c r="B850">
        <v>2014.3</v>
      </c>
      <c r="C850">
        <v>0</v>
      </c>
      <c r="D850">
        <v>26.81</v>
      </c>
      <c r="E850">
        <v>56595</v>
      </c>
      <c r="F850">
        <v>4.8714899999999997</v>
      </c>
      <c r="G850">
        <v>237.47833333333332</v>
      </c>
      <c r="H850">
        <v>2.4995312500000004</v>
      </c>
    </row>
    <row r="851" spans="1:8" x14ac:dyDescent="0.3">
      <c r="A851" t="s">
        <v>7</v>
      </c>
      <c r="B851">
        <v>2014.4</v>
      </c>
      <c r="C851">
        <v>410</v>
      </c>
      <c r="D851">
        <v>26.92</v>
      </c>
      <c r="E851">
        <v>57005</v>
      </c>
      <c r="F851">
        <v>4.7515280000000004</v>
      </c>
      <c r="G851">
        <v>236.88833333333332</v>
      </c>
      <c r="H851">
        <v>2.2759677419354838</v>
      </c>
    </row>
    <row r="852" spans="1:8" x14ac:dyDescent="0.3">
      <c r="A852" t="s">
        <v>7</v>
      </c>
      <c r="B852">
        <v>2015.1</v>
      </c>
      <c r="C852">
        <v>0</v>
      </c>
      <c r="D852">
        <v>27.23</v>
      </c>
      <c r="E852">
        <v>57005</v>
      </c>
      <c r="F852">
        <v>4.7028699999999999</v>
      </c>
      <c r="G852">
        <v>235.35499999999999</v>
      </c>
      <c r="H852">
        <v>1.9688524590163936</v>
      </c>
    </row>
    <row r="853" spans="1:8" x14ac:dyDescent="0.3">
      <c r="A853" t="s">
        <v>7</v>
      </c>
      <c r="B853">
        <v>2015.2</v>
      </c>
      <c r="C853">
        <v>0</v>
      </c>
      <c r="D853">
        <v>27.82</v>
      </c>
      <c r="E853">
        <v>57005</v>
      </c>
      <c r="F853">
        <v>4.7685760000000004</v>
      </c>
      <c r="G853">
        <v>236.96</v>
      </c>
      <c r="H853">
        <v>2.1643750000000002</v>
      </c>
    </row>
    <row r="854" spans="1:8" x14ac:dyDescent="0.3">
      <c r="A854" t="s">
        <v>7</v>
      </c>
      <c r="B854">
        <v>2015.3</v>
      </c>
      <c r="C854">
        <v>722</v>
      </c>
      <c r="D854">
        <v>28.63</v>
      </c>
      <c r="E854">
        <v>57727</v>
      </c>
      <c r="F854">
        <v>4.7654579999999997</v>
      </c>
      <c r="G854">
        <v>237.85499999999999</v>
      </c>
      <c r="H854">
        <v>2.223125</v>
      </c>
    </row>
    <row r="855" spans="1:8" x14ac:dyDescent="0.3">
      <c r="A855" t="s">
        <v>7</v>
      </c>
      <c r="B855">
        <v>2015.4</v>
      </c>
      <c r="C855">
        <v>102</v>
      </c>
      <c r="D855">
        <v>29.09</v>
      </c>
      <c r="E855">
        <v>57829</v>
      </c>
      <c r="F855">
        <v>4.6787280000000004</v>
      </c>
      <c r="G855">
        <v>237.83699999999999</v>
      </c>
      <c r="H855">
        <v>2.1904838709677414</v>
      </c>
    </row>
    <row r="856" spans="1:8" x14ac:dyDescent="0.3">
      <c r="A856" t="s">
        <v>7</v>
      </c>
      <c r="B856">
        <v>2016.1</v>
      </c>
      <c r="C856">
        <v>0</v>
      </c>
      <c r="D856">
        <v>29.27</v>
      </c>
      <c r="E856">
        <v>57829</v>
      </c>
      <c r="F856">
        <v>4.5159079999999996</v>
      </c>
      <c r="G856">
        <v>237.68933333333334</v>
      </c>
      <c r="H856">
        <v>1.9142619999999999</v>
      </c>
    </row>
    <row r="857" spans="1:8" x14ac:dyDescent="0.3">
      <c r="A857" t="s">
        <v>7</v>
      </c>
      <c r="B857">
        <v>2016.2</v>
      </c>
      <c r="C857">
        <v>388</v>
      </c>
      <c r="D857">
        <v>29.65</v>
      </c>
      <c r="E857">
        <v>58217</v>
      </c>
      <c r="F857">
        <v>4.3826429999999998</v>
      </c>
      <c r="G857">
        <v>239.59033333333332</v>
      </c>
      <c r="H857">
        <v>1.750156</v>
      </c>
    </row>
    <row r="858" spans="1:8" x14ac:dyDescent="0.3">
      <c r="A858" t="s">
        <v>7</v>
      </c>
      <c r="B858">
        <v>2016.3</v>
      </c>
      <c r="C858">
        <v>0</v>
      </c>
      <c r="D858">
        <v>30.01</v>
      </c>
      <c r="E858">
        <v>58217</v>
      </c>
      <c r="F858">
        <v>4.3665690000000001</v>
      </c>
      <c r="G858">
        <v>240.60733333333334</v>
      </c>
      <c r="H858">
        <v>1.5643750000000001</v>
      </c>
    </row>
    <row r="859" spans="1:8" x14ac:dyDescent="0.3">
      <c r="A859" t="s">
        <v>7</v>
      </c>
      <c r="B859">
        <v>2016.4</v>
      </c>
      <c r="C859">
        <v>20</v>
      </c>
      <c r="D859">
        <v>30.17</v>
      </c>
      <c r="E859">
        <v>58237</v>
      </c>
      <c r="F859">
        <v>4.3972920000000002</v>
      </c>
      <c r="G859">
        <v>242.13466666666667</v>
      </c>
      <c r="H859">
        <v>2.1386889999999998</v>
      </c>
    </row>
    <row r="860" spans="1:8" x14ac:dyDescent="0.3">
      <c r="A860" t="s">
        <v>7</v>
      </c>
      <c r="B860">
        <v>2017.1</v>
      </c>
      <c r="C860">
        <v>0</v>
      </c>
      <c r="D860">
        <v>29.98</v>
      </c>
      <c r="E860">
        <v>58237</v>
      </c>
      <c r="F860">
        <v>4.3731939999999998</v>
      </c>
      <c r="G860">
        <v>243.83866666666665</v>
      </c>
      <c r="H860">
        <v>2.4466130000000001</v>
      </c>
    </row>
    <row r="861" spans="1:8" x14ac:dyDescent="0.3">
      <c r="A861" t="s">
        <v>7</v>
      </c>
      <c r="B861">
        <v>2017.2</v>
      </c>
      <c r="C861">
        <v>100</v>
      </c>
      <c r="D861">
        <v>30.61</v>
      </c>
      <c r="E861">
        <v>58337</v>
      </c>
      <c r="F861">
        <v>4.4176399999999996</v>
      </c>
      <c r="G861">
        <v>244.12</v>
      </c>
      <c r="H861">
        <v>2.2609520000000001</v>
      </c>
    </row>
    <row r="862" spans="1:8" x14ac:dyDescent="0.3">
      <c r="A862" t="s">
        <v>7</v>
      </c>
      <c r="B862">
        <v>2017.3</v>
      </c>
      <c r="C862">
        <v>247</v>
      </c>
      <c r="D862">
        <v>30.66</v>
      </c>
      <c r="E862">
        <v>58584</v>
      </c>
      <c r="F862">
        <v>4.4498230000000003</v>
      </c>
      <c r="G862">
        <v>245.28700000000001</v>
      </c>
      <c r="H862">
        <v>2.2414290000000001</v>
      </c>
    </row>
    <row r="863" spans="1:8" x14ac:dyDescent="0.3">
      <c r="A863" t="s">
        <v>8</v>
      </c>
      <c r="B863">
        <v>1987.1</v>
      </c>
      <c r="C863">
        <v>477</v>
      </c>
      <c r="D863">
        <v>17.61</v>
      </c>
      <c r="E863">
        <v>20766</v>
      </c>
      <c r="F863">
        <v>7.5327590000000004</v>
      </c>
      <c r="G863">
        <v>111.8</v>
      </c>
      <c r="H863">
        <v>7.1954098360655747</v>
      </c>
    </row>
    <row r="864" spans="1:8" x14ac:dyDescent="0.3">
      <c r="A864" t="s">
        <v>8</v>
      </c>
      <c r="B864">
        <v>1987.2</v>
      </c>
      <c r="C864">
        <v>71</v>
      </c>
      <c r="D864">
        <v>17.29</v>
      </c>
      <c r="E864">
        <v>20837</v>
      </c>
      <c r="F864">
        <v>7.5568220000000004</v>
      </c>
      <c r="G864">
        <v>113.06666666666666</v>
      </c>
      <c r="H864">
        <v>8.3426984126984127</v>
      </c>
    </row>
    <row r="865" spans="1:8" x14ac:dyDescent="0.3">
      <c r="A865" t="s">
        <v>8</v>
      </c>
      <c r="B865">
        <v>1987.3</v>
      </c>
      <c r="C865">
        <v>0</v>
      </c>
      <c r="D865">
        <v>17.25</v>
      </c>
      <c r="E865">
        <v>20837</v>
      </c>
      <c r="F865">
        <v>7.5553679999999996</v>
      </c>
      <c r="G865">
        <v>114.26666666666667</v>
      </c>
      <c r="H865">
        <v>8.8696874999999995</v>
      </c>
    </row>
    <row r="866" spans="1:8" x14ac:dyDescent="0.3">
      <c r="A866" t="s">
        <v>8</v>
      </c>
      <c r="B866">
        <v>1987.4</v>
      </c>
      <c r="C866">
        <v>1262</v>
      </c>
      <c r="D866">
        <v>17.21</v>
      </c>
      <c r="E866">
        <v>22099</v>
      </c>
      <c r="F866">
        <v>7.5991540000000004</v>
      </c>
      <c r="G866">
        <v>115.33333333333333</v>
      </c>
      <c r="H866">
        <v>9.129032258064516</v>
      </c>
    </row>
    <row r="867" spans="1:8" x14ac:dyDescent="0.3">
      <c r="A867" t="s">
        <v>8</v>
      </c>
      <c r="B867">
        <v>1988.1</v>
      </c>
      <c r="C867">
        <v>227</v>
      </c>
      <c r="D867">
        <v>16.88</v>
      </c>
      <c r="E867">
        <v>22326</v>
      </c>
      <c r="F867">
        <v>7.6633979999999999</v>
      </c>
      <c r="G867">
        <v>116.23333333333333</v>
      </c>
      <c r="H867">
        <v>8.4109677419354885</v>
      </c>
    </row>
    <row r="868" spans="1:8" x14ac:dyDescent="0.3">
      <c r="A868" t="s">
        <v>8</v>
      </c>
      <c r="B868">
        <v>1988.2</v>
      </c>
      <c r="C868">
        <v>500</v>
      </c>
      <c r="D868">
        <v>16.559999999999999</v>
      </c>
      <c r="E868">
        <v>22826</v>
      </c>
      <c r="F868">
        <v>7.7600569999999998</v>
      </c>
      <c r="G868">
        <v>117.56666666666666</v>
      </c>
      <c r="H868">
        <v>8.9128571428571437</v>
      </c>
    </row>
    <row r="869" spans="1:8" x14ac:dyDescent="0.3">
      <c r="A869" t="s">
        <v>8</v>
      </c>
      <c r="B869">
        <v>1988.3</v>
      </c>
      <c r="C869">
        <v>0</v>
      </c>
      <c r="D869">
        <v>17.170000000000002</v>
      </c>
      <c r="E869">
        <v>22826</v>
      </c>
      <c r="F869">
        <v>7.8351420000000003</v>
      </c>
      <c r="G869">
        <v>119</v>
      </c>
      <c r="H869">
        <v>9.1035937500000035</v>
      </c>
    </row>
    <row r="870" spans="1:8" x14ac:dyDescent="0.3">
      <c r="A870" t="s">
        <v>8</v>
      </c>
      <c r="B870">
        <v>1988.4</v>
      </c>
      <c r="C870">
        <v>155</v>
      </c>
      <c r="D870">
        <v>17.809999999999999</v>
      </c>
      <c r="E870">
        <v>22981</v>
      </c>
      <c r="F870">
        <v>7.822133</v>
      </c>
      <c r="G870">
        <v>120.3</v>
      </c>
      <c r="H870">
        <v>8.9570491803278678</v>
      </c>
    </row>
    <row r="871" spans="1:8" x14ac:dyDescent="0.3">
      <c r="A871" t="s">
        <v>8</v>
      </c>
      <c r="B871">
        <v>1989.1</v>
      </c>
      <c r="C871">
        <v>408</v>
      </c>
      <c r="D871">
        <v>18.23</v>
      </c>
      <c r="E871">
        <v>23389</v>
      </c>
      <c r="F871">
        <v>7.7618309999999999</v>
      </c>
      <c r="G871">
        <v>121.66666666666667</v>
      </c>
      <c r="H871">
        <v>9.2116393442622968</v>
      </c>
    </row>
    <row r="872" spans="1:8" x14ac:dyDescent="0.3">
      <c r="A872" t="s">
        <v>8</v>
      </c>
      <c r="B872">
        <v>1989.2</v>
      </c>
      <c r="C872">
        <v>21</v>
      </c>
      <c r="D872">
        <v>18.66</v>
      </c>
      <c r="E872">
        <v>23410</v>
      </c>
      <c r="F872">
        <v>7.7472110000000001</v>
      </c>
      <c r="G872">
        <v>123.63333333333334</v>
      </c>
      <c r="H872">
        <v>8.7579687500000016</v>
      </c>
    </row>
    <row r="873" spans="1:8" x14ac:dyDescent="0.3">
      <c r="A873" t="s">
        <v>8</v>
      </c>
      <c r="B873">
        <v>1989.3</v>
      </c>
      <c r="C873">
        <v>117</v>
      </c>
      <c r="D873">
        <v>18.63</v>
      </c>
      <c r="E873">
        <v>23527</v>
      </c>
      <c r="F873">
        <v>7.7629289999999997</v>
      </c>
      <c r="G873">
        <v>124.6</v>
      </c>
      <c r="H873">
        <v>8.1074603174603155</v>
      </c>
    </row>
    <row r="874" spans="1:8" x14ac:dyDescent="0.3">
      <c r="A874" t="s">
        <v>8</v>
      </c>
      <c r="B874">
        <v>1989.4</v>
      </c>
      <c r="C874">
        <v>104</v>
      </c>
      <c r="D874">
        <v>18.61</v>
      </c>
      <c r="E874">
        <v>23631</v>
      </c>
      <c r="F874">
        <v>7.8069050000000004</v>
      </c>
      <c r="G874">
        <v>125.86666666666666</v>
      </c>
      <c r="H874">
        <v>7.9070967741935476</v>
      </c>
    </row>
    <row r="875" spans="1:8" x14ac:dyDescent="0.3">
      <c r="A875" t="s">
        <v>8</v>
      </c>
      <c r="B875">
        <v>1990.1</v>
      </c>
      <c r="C875">
        <v>45</v>
      </c>
      <c r="D875">
        <v>19.03</v>
      </c>
      <c r="E875">
        <v>23676</v>
      </c>
      <c r="F875">
        <v>7.8392340000000003</v>
      </c>
      <c r="G875">
        <v>128.03333333333333</v>
      </c>
      <c r="H875">
        <v>8.4238709677419337</v>
      </c>
    </row>
    <row r="876" spans="1:8" x14ac:dyDescent="0.3">
      <c r="A876" t="s">
        <v>8</v>
      </c>
      <c r="B876">
        <v>1990.2</v>
      </c>
      <c r="C876">
        <v>54</v>
      </c>
      <c r="D876">
        <v>19.46</v>
      </c>
      <c r="E876">
        <v>23730</v>
      </c>
      <c r="F876">
        <v>8.0733180000000004</v>
      </c>
      <c r="G876">
        <v>129.30000000000001</v>
      </c>
      <c r="H876">
        <v>8.6741269841269819</v>
      </c>
    </row>
    <row r="877" spans="1:8" x14ac:dyDescent="0.3">
      <c r="A877" t="s">
        <v>8</v>
      </c>
      <c r="B877">
        <v>1990.3</v>
      </c>
      <c r="C877">
        <v>27</v>
      </c>
      <c r="D877">
        <v>19.71</v>
      </c>
      <c r="E877">
        <v>23757</v>
      </c>
      <c r="F877">
        <v>8.3455759999999994</v>
      </c>
      <c r="G877">
        <v>131.53333333333333</v>
      </c>
      <c r="H877">
        <v>8.7012698412698413</v>
      </c>
    </row>
    <row r="878" spans="1:8" x14ac:dyDescent="0.3">
      <c r="A878" t="s">
        <v>8</v>
      </c>
      <c r="B878">
        <v>1990.4</v>
      </c>
      <c r="C878">
        <v>156</v>
      </c>
      <c r="D878">
        <v>19.96</v>
      </c>
      <c r="E878">
        <v>23913</v>
      </c>
      <c r="F878">
        <v>8.645702</v>
      </c>
      <c r="G878">
        <v>133.76666666666668</v>
      </c>
      <c r="H878">
        <v>8.4059677419354859</v>
      </c>
    </row>
    <row r="879" spans="1:8" x14ac:dyDescent="0.3">
      <c r="A879" t="s">
        <v>8</v>
      </c>
      <c r="B879">
        <v>1991.1</v>
      </c>
      <c r="C879">
        <v>324</v>
      </c>
      <c r="D879">
        <v>19.739999999999998</v>
      </c>
      <c r="E879">
        <v>24237</v>
      </c>
      <c r="F879">
        <v>9.1897859999999998</v>
      </c>
      <c r="G879">
        <v>134.76666666666668</v>
      </c>
      <c r="H879">
        <v>8.0231666666666648</v>
      </c>
    </row>
    <row r="880" spans="1:8" x14ac:dyDescent="0.3">
      <c r="A880" t="s">
        <v>8</v>
      </c>
      <c r="B880">
        <v>1991.2</v>
      </c>
      <c r="C880">
        <v>0</v>
      </c>
      <c r="D880">
        <v>19.510000000000002</v>
      </c>
      <c r="E880">
        <v>24237</v>
      </c>
      <c r="F880">
        <v>9.6797699999999995</v>
      </c>
      <c r="G880">
        <v>135.56666666666666</v>
      </c>
      <c r="H880">
        <v>8.1254687499999996</v>
      </c>
    </row>
    <row r="881" spans="1:8" x14ac:dyDescent="0.3">
      <c r="A881" t="s">
        <v>8</v>
      </c>
      <c r="B881">
        <v>1991.3</v>
      </c>
      <c r="C881">
        <v>0</v>
      </c>
      <c r="D881">
        <v>19.02</v>
      </c>
      <c r="E881">
        <v>24237</v>
      </c>
      <c r="F881">
        <v>10.1889</v>
      </c>
      <c r="G881">
        <v>136.6</v>
      </c>
      <c r="H881">
        <v>7.9499999999999993</v>
      </c>
    </row>
    <row r="882" spans="1:8" x14ac:dyDescent="0.3">
      <c r="A882" t="s">
        <v>8</v>
      </c>
      <c r="B882">
        <v>1991.4</v>
      </c>
      <c r="C882">
        <v>51</v>
      </c>
      <c r="D882">
        <v>18.54</v>
      </c>
      <c r="E882">
        <v>24288</v>
      </c>
      <c r="F882">
        <v>10.323549999999999</v>
      </c>
      <c r="G882">
        <v>137.73333333333332</v>
      </c>
      <c r="H882">
        <v>7.3450000000000006</v>
      </c>
    </row>
    <row r="883" spans="1:8" x14ac:dyDescent="0.3">
      <c r="A883" t="s">
        <v>8</v>
      </c>
      <c r="B883">
        <v>1992.1</v>
      </c>
      <c r="C883">
        <v>0</v>
      </c>
      <c r="D883">
        <v>18.78</v>
      </c>
      <c r="E883">
        <v>24288</v>
      </c>
      <c r="F883">
        <v>10.576610000000001</v>
      </c>
      <c r="G883">
        <v>138.66666666666666</v>
      </c>
      <c r="H883">
        <v>7.3069354838709675</v>
      </c>
    </row>
    <row r="884" spans="1:8" x14ac:dyDescent="0.3">
      <c r="A884" t="s">
        <v>8</v>
      </c>
      <c r="B884">
        <v>1992.2</v>
      </c>
      <c r="C884">
        <v>0</v>
      </c>
      <c r="D884">
        <v>19.03</v>
      </c>
      <c r="E884">
        <v>24288</v>
      </c>
      <c r="F884">
        <v>10.279960000000001</v>
      </c>
      <c r="G884">
        <v>139.73333333333332</v>
      </c>
      <c r="H884">
        <v>7.3760317460317451</v>
      </c>
    </row>
    <row r="885" spans="1:8" x14ac:dyDescent="0.3">
      <c r="A885" t="s">
        <v>8</v>
      </c>
      <c r="B885">
        <v>1992.3</v>
      </c>
      <c r="C885">
        <v>0</v>
      </c>
      <c r="D885">
        <v>18.760000000000002</v>
      </c>
      <c r="E885">
        <v>24288</v>
      </c>
      <c r="F885">
        <v>10.18262</v>
      </c>
      <c r="G885">
        <v>140.80000000000001</v>
      </c>
      <c r="H885">
        <v>6.6187500000000021</v>
      </c>
    </row>
    <row r="886" spans="1:8" x14ac:dyDescent="0.3">
      <c r="A886" t="s">
        <v>8</v>
      </c>
      <c r="B886">
        <v>1992.4</v>
      </c>
      <c r="C886">
        <v>117</v>
      </c>
      <c r="D886">
        <v>18.510000000000002</v>
      </c>
      <c r="E886">
        <v>24405</v>
      </c>
      <c r="F886">
        <v>9.9707419999999995</v>
      </c>
      <c r="G886">
        <v>142.03333333333333</v>
      </c>
      <c r="H886">
        <v>6.7403225806451594</v>
      </c>
    </row>
    <row r="887" spans="1:8" x14ac:dyDescent="0.3">
      <c r="A887" t="s">
        <v>8</v>
      </c>
      <c r="B887">
        <v>1993.1</v>
      </c>
      <c r="C887">
        <v>0</v>
      </c>
      <c r="D887">
        <v>18.670000000000002</v>
      </c>
      <c r="E887">
        <v>24405</v>
      </c>
      <c r="F887">
        <v>9.7084960000000002</v>
      </c>
      <c r="G887">
        <v>143.06666666666666</v>
      </c>
      <c r="H887">
        <v>6.2581967213114744</v>
      </c>
    </row>
    <row r="888" spans="1:8" x14ac:dyDescent="0.3">
      <c r="A888" t="s">
        <v>8</v>
      </c>
      <c r="B888">
        <v>1993.2</v>
      </c>
      <c r="C888">
        <v>0</v>
      </c>
      <c r="D888">
        <v>18.829999999999998</v>
      </c>
      <c r="E888">
        <v>24405</v>
      </c>
      <c r="F888">
        <v>9.1551639999999992</v>
      </c>
      <c r="G888">
        <v>144.1</v>
      </c>
      <c r="H888">
        <v>5.9880952380952381</v>
      </c>
    </row>
    <row r="889" spans="1:8" x14ac:dyDescent="0.3">
      <c r="A889" t="s">
        <v>8</v>
      </c>
      <c r="B889">
        <v>1993.3</v>
      </c>
      <c r="C889">
        <v>28</v>
      </c>
      <c r="D889">
        <v>18.72</v>
      </c>
      <c r="E889">
        <v>24433</v>
      </c>
      <c r="F889">
        <v>8.1541060000000005</v>
      </c>
      <c r="G889">
        <v>144.76666666666668</v>
      </c>
      <c r="H889">
        <v>5.6153125000000017</v>
      </c>
    </row>
    <row r="890" spans="1:8" x14ac:dyDescent="0.3">
      <c r="A890" t="s">
        <v>8</v>
      </c>
      <c r="B890">
        <v>1993.4</v>
      </c>
      <c r="C890">
        <v>0</v>
      </c>
      <c r="D890">
        <v>18.600000000000001</v>
      </c>
      <c r="E890">
        <v>24433</v>
      </c>
      <c r="F890">
        <v>7.8327220000000004</v>
      </c>
      <c r="G890">
        <v>145.96666666666667</v>
      </c>
      <c r="H890">
        <v>5.6159677419354841</v>
      </c>
    </row>
    <row r="891" spans="1:8" x14ac:dyDescent="0.3">
      <c r="A891" t="s">
        <v>8</v>
      </c>
      <c r="B891">
        <v>1994.1</v>
      </c>
      <c r="C891">
        <v>0</v>
      </c>
      <c r="D891">
        <v>19.12</v>
      </c>
      <c r="E891">
        <v>24433</v>
      </c>
      <c r="F891">
        <v>6.9053760000000004</v>
      </c>
      <c r="G891">
        <v>146.69999999999999</v>
      </c>
      <c r="H891">
        <v>6.09032258064516</v>
      </c>
    </row>
    <row r="892" spans="1:8" x14ac:dyDescent="0.3">
      <c r="A892" t="s">
        <v>8</v>
      </c>
      <c r="B892">
        <v>1994.2</v>
      </c>
      <c r="C892">
        <v>0</v>
      </c>
      <c r="D892">
        <v>19.649999999999999</v>
      </c>
      <c r="E892">
        <v>24433</v>
      </c>
      <c r="F892">
        <v>7.0053429999999999</v>
      </c>
      <c r="G892">
        <v>147.53333333333333</v>
      </c>
      <c r="H892">
        <v>7.0895161290322593</v>
      </c>
    </row>
    <row r="893" spans="1:8" x14ac:dyDescent="0.3">
      <c r="A893" t="s">
        <v>8</v>
      </c>
      <c r="B893">
        <v>1994.3</v>
      </c>
      <c r="C893">
        <v>0</v>
      </c>
      <c r="D893">
        <v>20.34</v>
      </c>
      <c r="E893">
        <v>24433</v>
      </c>
      <c r="F893">
        <v>7.5893969999999999</v>
      </c>
      <c r="G893">
        <v>148.9</v>
      </c>
      <c r="H893">
        <v>7.327968750000001</v>
      </c>
    </row>
    <row r="894" spans="1:8" x14ac:dyDescent="0.3">
      <c r="A894" t="s">
        <v>8</v>
      </c>
      <c r="B894">
        <v>1994.4</v>
      </c>
      <c r="C894">
        <v>0</v>
      </c>
      <c r="D894">
        <v>21.06</v>
      </c>
      <c r="E894">
        <v>24433</v>
      </c>
      <c r="F894">
        <v>7.7491260000000004</v>
      </c>
      <c r="G894">
        <v>149.76666666666668</v>
      </c>
      <c r="H894">
        <v>7.8372131147540989</v>
      </c>
    </row>
    <row r="895" spans="1:8" x14ac:dyDescent="0.3">
      <c r="A895" t="s">
        <v>8</v>
      </c>
      <c r="B895">
        <v>1995.1</v>
      </c>
      <c r="C895">
        <v>0</v>
      </c>
      <c r="D895">
        <v>20.190000000000001</v>
      </c>
      <c r="E895">
        <v>24433</v>
      </c>
      <c r="F895">
        <v>8.3390880000000003</v>
      </c>
      <c r="G895">
        <v>150.86666666666667</v>
      </c>
      <c r="H895">
        <v>7.4712903225806464</v>
      </c>
    </row>
    <row r="896" spans="1:8" x14ac:dyDescent="0.3">
      <c r="A896" t="s">
        <v>8</v>
      </c>
      <c r="B896">
        <v>1995.2</v>
      </c>
      <c r="C896">
        <v>220</v>
      </c>
      <c r="D896">
        <v>19.350000000000001</v>
      </c>
      <c r="E896">
        <v>24653</v>
      </c>
      <c r="F896">
        <v>8.3532060000000001</v>
      </c>
      <c r="G896">
        <v>152.1</v>
      </c>
      <c r="H896">
        <v>6.6001587301587294</v>
      </c>
    </row>
    <row r="897" spans="1:8" x14ac:dyDescent="0.3">
      <c r="A897" t="s">
        <v>8</v>
      </c>
      <c r="B897">
        <v>1995.3</v>
      </c>
      <c r="C897">
        <v>33</v>
      </c>
      <c r="D897">
        <v>20.25</v>
      </c>
      <c r="E897">
        <v>24686</v>
      </c>
      <c r="F897">
        <v>8.4471349999999994</v>
      </c>
      <c r="G897">
        <v>152.86666666666667</v>
      </c>
      <c r="H897">
        <v>6.3292063492063484</v>
      </c>
    </row>
    <row r="898" spans="1:8" x14ac:dyDescent="0.3">
      <c r="A898" t="s">
        <v>8</v>
      </c>
      <c r="B898">
        <v>1995.4</v>
      </c>
      <c r="C898">
        <v>0</v>
      </c>
      <c r="D898">
        <v>21.17</v>
      </c>
      <c r="E898">
        <v>24686</v>
      </c>
      <c r="F898">
        <v>8.7571940000000001</v>
      </c>
      <c r="G898">
        <v>153.69999999999999</v>
      </c>
      <c r="H898">
        <v>5.8985483870967741</v>
      </c>
    </row>
    <row r="899" spans="1:8" x14ac:dyDescent="0.3">
      <c r="A899" t="s">
        <v>8</v>
      </c>
      <c r="B899">
        <v>1996.1</v>
      </c>
      <c r="C899">
        <v>0</v>
      </c>
      <c r="D899">
        <v>21.95</v>
      </c>
      <c r="E899">
        <v>24686</v>
      </c>
      <c r="F899">
        <v>9.1641840000000006</v>
      </c>
      <c r="G899">
        <v>155.06666666666666</v>
      </c>
      <c r="H899">
        <v>5.9104838709677407</v>
      </c>
    </row>
    <row r="900" spans="1:8" x14ac:dyDescent="0.3">
      <c r="A900" t="s">
        <v>8</v>
      </c>
      <c r="B900">
        <v>1996.2</v>
      </c>
      <c r="C900">
        <v>0</v>
      </c>
      <c r="D900">
        <v>22.76</v>
      </c>
      <c r="E900">
        <v>24686</v>
      </c>
      <c r="F900">
        <v>9.7577040000000004</v>
      </c>
      <c r="G900">
        <v>156.4</v>
      </c>
      <c r="H900">
        <v>6.7140624999999998</v>
      </c>
    </row>
    <row r="901" spans="1:8" x14ac:dyDescent="0.3">
      <c r="A901" t="s">
        <v>8</v>
      </c>
      <c r="B901">
        <v>1996.3</v>
      </c>
      <c r="C901">
        <v>0</v>
      </c>
      <c r="D901">
        <v>23.55</v>
      </c>
      <c r="E901">
        <v>24686</v>
      </c>
      <c r="F901">
        <v>9.8415429999999997</v>
      </c>
      <c r="G901">
        <v>157.30000000000001</v>
      </c>
      <c r="H901">
        <v>6.7759375000000022</v>
      </c>
    </row>
    <row r="902" spans="1:8" x14ac:dyDescent="0.3">
      <c r="A902" t="s">
        <v>8</v>
      </c>
      <c r="B902">
        <v>1996.4</v>
      </c>
      <c r="C902">
        <v>30</v>
      </c>
      <c r="D902">
        <v>24.37</v>
      </c>
      <c r="E902">
        <v>24716</v>
      </c>
      <c r="F902">
        <v>9.5899970000000003</v>
      </c>
      <c r="G902">
        <v>158.66666666666666</v>
      </c>
      <c r="H902">
        <v>6.3541935483870962</v>
      </c>
    </row>
    <row r="903" spans="1:8" x14ac:dyDescent="0.3">
      <c r="A903" t="s">
        <v>8</v>
      </c>
      <c r="B903">
        <v>1997.1</v>
      </c>
      <c r="C903">
        <v>0</v>
      </c>
      <c r="D903">
        <v>25.65</v>
      </c>
      <c r="E903">
        <v>24716</v>
      </c>
      <c r="F903">
        <v>8.78186</v>
      </c>
      <c r="G903">
        <v>159.63333333333333</v>
      </c>
      <c r="H903">
        <v>6.5670000000000028</v>
      </c>
    </row>
    <row r="904" spans="1:8" x14ac:dyDescent="0.3">
      <c r="A904" t="s">
        <v>8</v>
      </c>
      <c r="B904">
        <v>1997.2</v>
      </c>
      <c r="C904">
        <v>0</v>
      </c>
      <c r="D904">
        <v>27.01</v>
      </c>
      <c r="E904">
        <v>24716</v>
      </c>
      <c r="F904">
        <v>8.1016429999999993</v>
      </c>
      <c r="G904">
        <v>160</v>
      </c>
      <c r="H904">
        <v>6.6996874999999996</v>
      </c>
    </row>
    <row r="905" spans="1:8" x14ac:dyDescent="0.3">
      <c r="A905" t="s">
        <v>8</v>
      </c>
      <c r="B905">
        <v>1997.3</v>
      </c>
      <c r="C905">
        <v>151</v>
      </c>
      <c r="D905">
        <v>27.79</v>
      </c>
      <c r="E905">
        <v>24867</v>
      </c>
      <c r="F905">
        <v>7.5051420000000002</v>
      </c>
      <c r="G905">
        <v>160.80000000000001</v>
      </c>
      <c r="H905">
        <v>6.2421875</v>
      </c>
    </row>
    <row r="906" spans="1:8" x14ac:dyDescent="0.3">
      <c r="A906" t="s">
        <v>8</v>
      </c>
      <c r="B906">
        <v>1997.4</v>
      </c>
      <c r="C906">
        <v>225</v>
      </c>
      <c r="D906">
        <v>28.59</v>
      </c>
      <c r="E906">
        <v>25092</v>
      </c>
      <c r="F906">
        <v>7.1664079999999997</v>
      </c>
      <c r="G906">
        <v>161.66666666666666</v>
      </c>
      <c r="H906">
        <v>5.906290322580646</v>
      </c>
    </row>
    <row r="907" spans="1:8" x14ac:dyDescent="0.3">
      <c r="A907" t="s">
        <v>8</v>
      </c>
      <c r="B907">
        <v>1998.1</v>
      </c>
      <c r="C907">
        <v>152</v>
      </c>
      <c r="D907">
        <v>30.28</v>
      </c>
      <c r="E907">
        <v>25244</v>
      </c>
      <c r="F907">
        <v>7.1586740000000004</v>
      </c>
      <c r="G907">
        <v>162</v>
      </c>
      <c r="H907">
        <v>5.5909836065573773</v>
      </c>
    </row>
    <row r="908" spans="1:8" x14ac:dyDescent="0.3">
      <c r="A908" t="s">
        <v>8</v>
      </c>
      <c r="B908">
        <v>1998.2</v>
      </c>
      <c r="C908">
        <v>659</v>
      </c>
      <c r="D908">
        <v>32.06</v>
      </c>
      <c r="E908">
        <v>25903</v>
      </c>
      <c r="F908">
        <v>7.1987360000000002</v>
      </c>
      <c r="G908">
        <v>162.53333333333333</v>
      </c>
      <c r="H908">
        <v>5.5930158730158714</v>
      </c>
    </row>
    <row r="909" spans="1:8" x14ac:dyDescent="0.3">
      <c r="A909" t="s">
        <v>8</v>
      </c>
      <c r="B909">
        <v>1998.3</v>
      </c>
      <c r="C909">
        <v>300</v>
      </c>
      <c r="D909">
        <v>32.549999999999997</v>
      </c>
      <c r="E909">
        <v>26203</v>
      </c>
      <c r="F909">
        <v>7.2553239999999999</v>
      </c>
      <c r="G909">
        <v>163.36666666666667</v>
      </c>
      <c r="H909">
        <v>5.2073437500000006</v>
      </c>
    </row>
    <row r="910" spans="1:8" x14ac:dyDescent="0.3">
      <c r="A910" t="s">
        <v>8</v>
      </c>
      <c r="B910">
        <v>1998.4</v>
      </c>
      <c r="C910">
        <v>487</v>
      </c>
      <c r="D910">
        <v>33.04</v>
      </c>
      <c r="E910">
        <v>26690</v>
      </c>
      <c r="F910">
        <v>7.4156529999999998</v>
      </c>
      <c r="G910">
        <v>164.13333333333333</v>
      </c>
      <c r="H910">
        <v>4.661935483870967</v>
      </c>
    </row>
    <row r="911" spans="1:8" x14ac:dyDescent="0.3">
      <c r="A911" t="s">
        <v>8</v>
      </c>
      <c r="B911">
        <v>1999.1</v>
      </c>
      <c r="C911">
        <v>691</v>
      </c>
      <c r="D911">
        <v>32.5</v>
      </c>
      <c r="E911">
        <v>27381</v>
      </c>
      <c r="F911">
        <v>7.5210520000000001</v>
      </c>
      <c r="G911">
        <v>164.73333333333332</v>
      </c>
      <c r="H911">
        <v>5.0008196721311462</v>
      </c>
    </row>
    <row r="912" spans="1:8" x14ac:dyDescent="0.3">
      <c r="A912" t="s">
        <v>8</v>
      </c>
      <c r="B912">
        <v>1999.2</v>
      </c>
      <c r="C912">
        <v>608</v>
      </c>
      <c r="D912">
        <v>31.96</v>
      </c>
      <c r="E912">
        <v>27989</v>
      </c>
      <c r="F912">
        <v>7.5161660000000001</v>
      </c>
      <c r="G912">
        <v>165.96666666666667</v>
      </c>
      <c r="H912">
        <v>5.5412499999999998</v>
      </c>
    </row>
    <row r="913" spans="1:8" x14ac:dyDescent="0.3">
      <c r="A913" t="s">
        <v>8</v>
      </c>
      <c r="B913">
        <v>1999.3</v>
      </c>
      <c r="C913">
        <v>36</v>
      </c>
      <c r="D913">
        <v>32.03</v>
      </c>
      <c r="E913">
        <v>28025</v>
      </c>
      <c r="F913">
        <v>7.5280769999999997</v>
      </c>
      <c r="G913">
        <v>167.2</v>
      </c>
      <c r="H913">
        <v>5.8829687499999981</v>
      </c>
    </row>
    <row r="914" spans="1:8" x14ac:dyDescent="0.3">
      <c r="A914" t="s">
        <v>8</v>
      </c>
      <c r="B914">
        <v>1999.4</v>
      </c>
      <c r="C914">
        <v>169</v>
      </c>
      <c r="D914">
        <v>32.1</v>
      </c>
      <c r="E914">
        <v>28194</v>
      </c>
      <c r="F914">
        <v>7.5033500000000002</v>
      </c>
      <c r="G914">
        <v>168.43333333333334</v>
      </c>
      <c r="H914">
        <v>6.1448387096774191</v>
      </c>
    </row>
    <row r="915" spans="1:8" x14ac:dyDescent="0.3">
      <c r="A915" t="s">
        <v>8</v>
      </c>
      <c r="B915">
        <v>2000.1</v>
      </c>
      <c r="C915">
        <v>33</v>
      </c>
      <c r="D915">
        <v>37.6</v>
      </c>
      <c r="E915">
        <v>28227</v>
      </c>
      <c r="F915">
        <v>7.6314830000000002</v>
      </c>
      <c r="G915">
        <v>170.1</v>
      </c>
      <c r="H915">
        <v>6.4684126984126982</v>
      </c>
    </row>
    <row r="916" spans="1:8" x14ac:dyDescent="0.3">
      <c r="A916" t="s">
        <v>8</v>
      </c>
      <c r="B916">
        <v>2000.2</v>
      </c>
      <c r="C916">
        <v>93</v>
      </c>
      <c r="D916">
        <v>44.06</v>
      </c>
      <c r="E916">
        <v>28320</v>
      </c>
      <c r="F916">
        <v>7.7285250000000003</v>
      </c>
      <c r="G916">
        <v>171.43333333333334</v>
      </c>
      <c r="H916">
        <v>6.1849206349206343</v>
      </c>
    </row>
    <row r="917" spans="1:8" x14ac:dyDescent="0.3">
      <c r="A917" t="s">
        <v>8</v>
      </c>
      <c r="B917">
        <v>2000.3</v>
      </c>
      <c r="C917">
        <v>424</v>
      </c>
      <c r="D917">
        <v>47.86</v>
      </c>
      <c r="E917">
        <v>28744</v>
      </c>
      <c r="F917">
        <v>7.8349950000000002</v>
      </c>
      <c r="G917">
        <v>173</v>
      </c>
      <c r="H917">
        <v>5.8898412698412699</v>
      </c>
    </row>
    <row r="918" spans="1:8" x14ac:dyDescent="0.3">
      <c r="A918" t="s">
        <v>8</v>
      </c>
      <c r="B918">
        <v>2000.4</v>
      </c>
      <c r="C918">
        <v>597</v>
      </c>
      <c r="D918">
        <v>51.99</v>
      </c>
      <c r="E918">
        <v>29341</v>
      </c>
      <c r="F918">
        <v>7.8799539999999997</v>
      </c>
      <c r="G918">
        <v>174.23333333333332</v>
      </c>
      <c r="H918">
        <v>5.5706451612903232</v>
      </c>
    </row>
    <row r="919" spans="1:8" x14ac:dyDescent="0.3">
      <c r="A919" t="s">
        <v>8</v>
      </c>
      <c r="B919">
        <v>2001.1</v>
      </c>
      <c r="C919">
        <v>670</v>
      </c>
      <c r="D919">
        <v>49.29</v>
      </c>
      <c r="E919">
        <v>30011</v>
      </c>
      <c r="F919">
        <v>8.0915560000000006</v>
      </c>
      <c r="G919">
        <v>175.9</v>
      </c>
      <c r="H919">
        <v>5.0441935483870957</v>
      </c>
    </row>
    <row r="920" spans="1:8" x14ac:dyDescent="0.3">
      <c r="A920" t="s">
        <v>8</v>
      </c>
      <c r="B920">
        <v>2001.2</v>
      </c>
      <c r="C920">
        <v>747</v>
      </c>
      <c r="D920">
        <v>46.74</v>
      </c>
      <c r="E920">
        <v>30758</v>
      </c>
      <c r="F920">
        <v>8.6196450000000002</v>
      </c>
      <c r="G920">
        <v>177.13333333333333</v>
      </c>
      <c r="H920">
        <v>5.2761904761904761</v>
      </c>
    </row>
    <row r="921" spans="1:8" x14ac:dyDescent="0.3">
      <c r="A921" t="s">
        <v>8</v>
      </c>
      <c r="B921">
        <v>2001.3</v>
      </c>
      <c r="C921">
        <v>1290</v>
      </c>
      <c r="D921">
        <v>38.869999999999997</v>
      </c>
      <c r="E921">
        <v>32048</v>
      </c>
      <c r="F921">
        <v>8.9193359999999995</v>
      </c>
      <c r="G921">
        <v>177.63333333333333</v>
      </c>
      <c r="H921">
        <v>4.9957377049180334</v>
      </c>
    </row>
    <row r="922" spans="1:8" x14ac:dyDescent="0.3">
      <c r="A922" t="s">
        <v>8</v>
      </c>
      <c r="B922">
        <v>2001.4</v>
      </c>
      <c r="C922">
        <v>821</v>
      </c>
      <c r="D922">
        <v>32.32</v>
      </c>
      <c r="E922">
        <v>32869</v>
      </c>
      <c r="F922">
        <v>9.4416499999999992</v>
      </c>
      <c r="G922">
        <v>177.5</v>
      </c>
      <c r="H922">
        <v>4.7620967741935463</v>
      </c>
    </row>
    <row r="923" spans="1:8" x14ac:dyDescent="0.3">
      <c r="A923" t="s">
        <v>8</v>
      </c>
      <c r="B923">
        <v>2002.1</v>
      </c>
      <c r="C923">
        <v>402</v>
      </c>
      <c r="D923">
        <v>30.33</v>
      </c>
      <c r="E923">
        <v>33271</v>
      </c>
      <c r="F923">
        <v>9.9722989999999996</v>
      </c>
      <c r="G923">
        <v>178.06666666666666</v>
      </c>
      <c r="H923">
        <v>5.0791666666666666</v>
      </c>
    </row>
    <row r="924" spans="1:8" x14ac:dyDescent="0.3">
      <c r="A924" t="s">
        <v>8</v>
      </c>
      <c r="B924">
        <v>2002.2</v>
      </c>
      <c r="C924">
        <v>52</v>
      </c>
      <c r="D924">
        <v>28.45</v>
      </c>
      <c r="E924">
        <v>33323</v>
      </c>
      <c r="F924">
        <v>9.8738799999999998</v>
      </c>
      <c r="G924">
        <v>179.46666666666667</v>
      </c>
      <c r="H924">
        <v>5.1060937499999994</v>
      </c>
    </row>
    <row r="925" spans="1:8" x14ac:dyDescent="0.3">
      <c r="A925" t="s">
        <v>8</v>
      </c>
      <c r="B925">
        <v>2002.3</v>
      </c>
      <c r="C925">
        <v>43</v>
      </c>
      <c r="D925">
        <v>27.27</v>
      </c>
      <c r="E925">
        <v>33366</v>
      </c>
      <c r="F925">
        <v>9.8854310000000005</v>
      </c>
      <c r="G925">
        <v>180.43333333333334</v>
      </c>
      <c r="H925">
        <v>4.2723437499999992</v>
      </c>
    </row>
    <row r="926" spans="1:8" x14ac:dyDescent="0.3">
      <c r="A926" t="s">
        <v>8</v>
      </c>
      <c r="B926">
        <v>2002.4</v>
      </c>
      <c r="C926">
        <v>1044</v>
      </c>
      <c r="D926">
        <v>26.55</v>
      </c>
      <c r="E926">
        <v>34410</v>
      </c>
      <c r="F926">
        <v>9.8279580000000006</v>
      </c>
      <c r="G926">
        <v>181.5</v>
      </c>
      <c r="H926">
        <v>4.0048387096774194</v>
      </c>
    </row>
    <row r="927" spans="1:8" x14ac:dyDescent="0.3">
      <c r="A927" t="s">
        <v>8</v>
      </c>
      <c r="B927">
        <v>2003.1</v>
      </c>
      <c r="C927">
        <v>84</v>
      </c>
      <c r="D927">
        <v>25.66</v>
      </c>
      <c r="E927">
        <v>34494</v>
      </c>
      <c r="F927">
        <v>9.3960450000000009</v>
      </c>
      <c r="G927">
        <v>183.36666666666667</v>
      </c>
      <c r="H927">
        <v>3.9199999999999995</v>
      </c>
    </row>
    <row r="928" spans="1:8" x14ac:dyDescent="0.3">
      <c r="A928" t="s">
        <v>8</v>
      </c>
      <c r="B928">
        <v>2003.2</v>
      </c>
      <c r="C928">
        <v>135</v>
      </c>
      <c r="D928">
        <v>24.22</v>
      </c>
      <c r="E928">
        <v>34629</v>
      </c>
      <c r="F928">
        <v>9.3297070000000009</v>
      </c>
      <c r="G928">
        <v>183.06666666666666</v>
      </c>
      <c r="H928">
        <v>3.6206349206349211</v>
      </c>
    </row>
    <row r="929" spans="1:8" x14ac:dyDescent="0.3">
      <c r="A929" t="s">
        <v>8</v>
      </c>
      <c r="B929">
        <v>2003.3</v>
      </c>
      <c r="C929">
        <v>50</v>
      </c>
      <c r="D929">
        <v>22.41</v>
      </c>
      <c r="E929">
        <v>34679</v>
      </c>
      <c r="F929">
        <v>9.2657729999999994</v>
      </c>
      <c r="G929">
        <v>184.43333333333334</v>
      </c>
      <c r="H929">
        <v>4.2276562499999981</v>
      </c>
    </row>
    <row r="930" spans="1:8" x14ac:dyDescent="0.3">
      <c r="A930" t="s">
        <v>8</v>
      </c>
      <c r="B930">
        <v>2003.4</v>
      </c>
      <c r="C930">
        <v>0</v>
      </c>
      <c r="D930">
        <v>21.33</v>
      </c>
      <c r="E930">
        <v>34679</v>
      </c>
      <c r="F930">
        <v>9.1095980000000001</v>
      </c>
      <c r="G930">
        <v>185.13333333333333</v>
      </c>
      <c r="H930">
        <v>4.2851612903225798</v>
      </c>
    </row>
    <row r="931" spans="1:8" x14ac:dyDescent="0.3">
      <c r="A931" t="s">
        <v>8</v>
      </c>
      <c r="B931">
        <v>2004.1</v>
      </c>
      <c r="C931">
        <v>0</v>
      </c>
      <c r="D931">
        <v>22.26</v>
      </c>
      <c r="E931">
        <v>34679</v>
      </c>
      <c r="F931">
        <v>9.2532060000000005</v>
      </c>
      <c r="G931">
        <v>186.7</v>
      </c>
      <c r="H931">
        <v>4.01</v>
      </c>
    </row>
    <row r="932" spans="1:8" x14ac:dyDescent="0.3">
      <c r="A932" t="s">
        <v>8</v>
      </c>
      <c r="B932">
        <v>2004.2</v>
      </c>
      <c r="C932">
        <v>0</v>
      </c>
      <c r="D932">
        <v>21.53</v>
      </c>
      <c r="E932">
        <v>34679</v>
      </c>
      <c r="F932">
        <v>9.0784640000000003</v>
      </c>
      <c r="G932">
        <v>188.16666666666666</v>
      </c>
      <c r="H932">
        <v>4.597096774193548</v>
      </c>
    </row>
    <row r="933" spans="1:8" x14ac:dyDescent="0.3">
      <c r="A933" t="s">
        <v>8</v>
      </c>
      <c r="B933">
        <v>2004.3</v>
      </c>
      <c r="C933">
        <v>10</v>
      </c>
      <c r="D933">
        <v>22.01</v>
      </c>
      <c r="E933">
        <v>34689</v>
      </c>
      <c r="F933">
        <v>8.6459659999999996</v>
      </c>
      <c r="G933">
        <v>189.36666666666667</v>
      </c>
      <c r="H933">
        <v>4.3014062500000003</v>
      </c>
    </row>
    <row r="934" spans="1:8" x14ac:dyDescent="0.3">
      <c r="A934" t="s">
        <v>8</v>
      </c>
      <c r="B934">
        <v>2004.4</v>
      </c>
      <c r="C934">
        <v>26</v>
      </c>
      <c r="D934">
        <v>22.5</v>
      </c>
      <c r="E934">
        <v>34715</v>
      </c>
      <c r="F934">
        <v>8.2130919999999996</v>
      </c>
      <c r="G934">
        <v>191.4</v>
      </c>
      <c r="H934">
        <v>4.1758064516129041</v>
      </c>
    </row>
    <row r="935" spans="1:8" x14ac:dyDescent="0.3">
      <c r="A935" t="s">
        <v>8</v>
      </c>
      <c r="B935">
        <v>2005.1</v>
      </c>
      <c r="C935">
        <v>0</v>
      </c>
      <c r="D935">
        <v>22.28</v>
      </c>
      <c r="E935">
        <v>34715</v>
      </c>
      <c r="F935">
        <v>7.524114</v>
      </c>
      <c r="G935">
        <v>192.36666666666667</v>
      </c>
      <c r="H935">
        <v>4.3036065573770488</v>
      </c>
    </row>
    <row r="936" spans="1:8" x14ac:dyDescent="0.3">
      <c r="A936" t="s">
        <v>8</v>
      </c>
      <c r="B936">
        <v>2005.2</v>
      </c>
      <c r="C936">
        <v>0</v>
      </c>
      <c r="D936">
        <v>22.64</v>
      </c>
      <c r="E936">
        <v>34715</v>
      </c>
      <c r="F936">
        <v>7.0058340000000001</v>
      </c>
      <c r="G936">
        <v>193.66666666666666</v>
      </c>
      <c r="H936">
        <v>4.1585937500000005</v>
      </c>
    </row>
    <row r="937" spans="1:8" x14ac:dyDescent="0.3">
      <c r="A937" t="s">
        <v>8</v>
      </c>
      <c r="B937">
        <v>2005.3</v>
      </c>
      <c r="C937">
        <v>171</v>
      </c>
      <c r="D937">
        <v>22.99</v>
      </c>
      <c r="E937">
        <v>34886</v>
      </c>
      <c r="F937">
        <v>6.8000369999999997</v>
      </c>
      <c r="G937">
        <v>196.6</v>
      </c>
      <c r="H937">
        <v>4.2151562499999997</v>
      </c>
    </row>
    <row r="938" spans="1:8" x14ac:dyDescent="0.3">
      <c r="A938" t="s">
        <v>8</v>
      </c>
      <c r="B938">
        <v>2005.4</v>
      </c>
      <c r="C938">
        <v>0</v>
      </c>
      <c r="D938">
        <v>23.43</v>
      </c>
      <c r="E938">
        <v>34886</v>
      </c>
      <c r="F938">
        <v>6.9416390000000003</v>
      </c>
      <c r="G938">
        <v>198.43333333333334</v>
      </c>
      <c r="H938">
        <v>4.4881967213114757</v>
      </c>
    </row>
    <row r="939" spans="1:8" x14ac:dyDescent="0.3">
      <c r="A939" t="s">
        <v>8</v>
      </c>
      <c r="B939">
        <v>2006.1</v>
      </c>
      <c r="C939">
        <v>10</v>
      </c>
      <c r="D939">
        <v>23.84</v>
      </c>
      <c r="E939">
        <v>34896</v>
      </c>
      <c r="F939">
        <v>7.1642979999999996</v>
      </c>
      <c r="G939">
        <v>199.46666666666667</v>
      </c>
      <c r="H939">
        <v>4.5770967741935502</v>
      </c>
    </row>
    <row r="940" spans="1:8" x14ac:dyDescent="0.3">
      <c r="A940" t="s">
        <v>8</v>
      </c>
      <c r="B940">
        <v>2006.2</v>
      </c>
      <c r="C940">
        <v>100</v>
      </c>
      <c r="D940">
        <v>24.94</v>
      </c>
      <c r="E940">
        <v>34996</v>
      </c>
      <c r="F940">
        <v>7.1002609999999997</v>
      </c>
      <c r="G940">
        <v>201.26666666666668</v>
      </c>
      <c r="H940">
        <v>5.0726984126984132</v>
      </c>
    </row>
    <row r="941" spans="1:8" x14ac:dyDescent="0.3">
      <c r="A941" t="s">
        <v>8</v>
      </c>
      <c r="B941">
        <v>2006.3</v>
      </c>
      <c r="C941">
        <v>47</v>
      </c>
      <c r="D941">
        <v>25.73</v>
      </c>
      <c r="E941">
        <v>35043</v>
      </c>
      <c r="F941">
        <v>6.7659219999999998</v>
      </c>
      <c r="G941">
        <v>203.16666666666666</v>
      </c>
      <c r="H941">
        <v>4.8934920634920651</v>
      </c>
    </row>
    <row r="942" spans="1:8" x14ac:dyDescent="0.3">
      <c r="A942" t="s">
        <v>8</v>
      </c>
      <c r="B942">
        <v>2006.4</v>
      </c>
      <c r="C942">
        <v>20</v>
      </c>
      <c r="D942">
        <v>26.71</v>
      </c>
      <c r="E942">
        <v>35063</v>
      </c>
      <c r="F942">
        <v>6.3910439999999999</v>
      </c>
      <c r="G942">
        <v>202.33333333333334</v>
      </c>
      <c r="H942">
        <v>4.6306451612903237</v>
      </c>
    </row>
    <row r="943" spans="1:8" x14ac:dyDescent="0.3">
      <c r="A943" t="s">
        <v>8</v>
      </c>
      <c r="B943">
        <v>2007.1</v>
      </c>
      <c r="C943">
        <v>13</v>
      </c>
      <c r="D943">
        <v>28.52</v>
      </c>
      <c r="E943">
        <v>35076</v>
      </c>
      <c r="F943">
        <v>5.8675560000000004</v>
      </c>
      <c r="G943">
        <v>204.31700000000001</v>
      </c>
      <c r="H943">
        <v>4.6790322580645167</v>
      </c>
    </row>
    <row r="944" spans="1:8" x14ac:dyDescent="0.3">
      <c r="A944" t="s">
        <v>8</v>
      </c>
      <c r="B944">
        <v>2007.2</v>
      </c>
      <c r="C944">
        <v>317</v>
      </c>
      <c r="D944">
        <v>28.35</v>
      </c>
      <c r="E944">
        <v>35393</v>
      </c>
      <c r="F944">
        <v>5.7194950000000002</v>
      </c>
      <c r="G944">
        <v>206.631</v>
      </c>
      <c r="H944">
        <v>4.8460937499999988</v>
      </c>
    </row>
    <row r="945" spans="1:8" x14ac:dyDescent="0.3">
      <c r="A945" t="s">
        <v>8</v>
      </c>
      <c r="B945">
        <v>2007.3</v>
      </c>
      <c r="C945">
        <v>19</v>
      </c>
      <c r="D945">
        <v>28.29</v>
      </c>
      <c r="E945">
        <v>35412</v>
      </c>
      <c r="F945">
        <v>5.7040879999999996</v>
      </c>
      <c r="G945">
        <v>207.93899999999999</v>
      </c>
      <c r="H945">
        <v>4.7384126984126951</v>
      </c>
    </row>
    <row r="946" spans="1:8" x14ac:dyDescent="0.3">
      <c r="A946" t="s">
        <v>8</v>
      </c>
      <c r="B946">
        <v>2007.4</v>
      </c>
      <c r="C946">
        <v>83</v>
      </c>
      <c r="D946">
        <v>28.36</v>
      </c>
      <c r="E946">
        <v>35495</v>
      </c>
      <c r="F946">
        <v>5.4518899999999997</v>
      </c>
      <c r="G946">
        <v>210.48966666666666</v>
      </c>
      <c r="H946">
        <v>4.2666129032258064</v>
      </c>
    </row>
    <row r="947" spans="1:8" x14ac:dyDescent="0.3">
      <c r="A947" t="s">
        <v>8</v>
      </c>
      <c r="B947">
        <v>2008.1</v>
      </c>
      <c r="C947">
        <v>317</v>
      </c>
      <c r="D947">
        <v>29.59</v>
      </c>
      <c r="E947">
        <v>35812</v>
      </c>
      <c r="F947">
        <v>5.3286939999999996</v>
      </c>
      <c r="G947">
        <v>212.76966666666667</v>
      </c>
      <c r="H947">
        <v>3.6652459016393442</v>
      </c>
    </row>
    <row r="948" spans="1:8" x14ac:dyDescent="0.3">
      <c r="A948" t="s">
        <v>8</v>
      </c>
      <c r="B948">
        <v>2008.2</v>
      </c>
      <c r="C948">
        <v>160</v>
      </c>
      <c r="D948">
        <v>30</v>
      </c>
      <c r="E948">
        <v>35972</v>
      </c>
      <c r="F948">
        <v>5.1411509999999998</v>
      </c>
      <c r="G948">
        <v>215.53766666666667</v>
      </c>
      <c r="H948">
        <v>3.8815624999999998</v>
      </c>
    </row>
    <row r="949" spans="1:8" x14ac:dyDescent="0.3">
      <c r="A949" t="s">
        <v>8</v>
      </c>
      <c r="B949">
        <v>2008.3</v>
      </c>
      <c r="C949">
        <v>530</v>
      </c>
      <c r="D949">
        <v>30.36</v>
      </c>
      <c r="E949">
        <v>36502</v>
      </c>
      <c r="F949">
        <v>5.1923089999999998</v>
      </c>
      <c r="G949">
        <v>218.86099999999999</v>
      </c>
      <c r="H949">
        <v>3.8621875000000001</v>
      </c>
    </row>
    <row r="950" spans="1:8" x14ac:dyDescent="0.3">
      <c r="A950" t="s">
        <v>8</v>
      </c>
      <c r="B950">
        <v>2008.4</v>
      </c>
      <c r="C950">
        <v>672</v>
      </c>
      <c r="D950">
        <v>30.01</v>
      </c>
      <c r="E950">
        <v>37174</v>
      </c>
      <c r="F950">
        <v>5.4664919999999997</v>
      </c>
      <c r="G950">
        <v>213.84866666666667</v>
      </c>
      <c r="H950">
        <v>3.2346774193548384</v>
      </c>
    </row>
    <row r="951" spans="1:8" x14ac:dyDescent="0.3">
      <c r="A951" t="s">
        <v>8</v>
      </c>
      <c r="B951">
        <v>2009.1</v>
      </c>
      <c r="C951">
        <v>765</v>
      </c>
      <c r="D951">
        <v>30.04</v>
      </c>
      <c r="E951">
        <v>37939</v>
      </c>
      <c r="F951">
        <v>6.0339210000000003</v>
      </c>
      <c r="G951">
        <v>212.37766666666667</v>
      </c>
      <c r="H951">
        <v>2.7362295081967209</v>
      </c>
    </row>
    <row r="952" spans="1:8" x14ac:dyDescent="0.3">
      <c r="A952" t="s">
        <v>8</v>
      </c>
      <c r="B952">
        <v>2009.2</v>
      </c>
      <c r="C952">
        <v>44</v>
      </c>
      <c r="D952">
        <v>28.26</v>
      </c>
      <c r="E952">
        <v>37983</v>
      </c>
      <c r="F952">
        <v>6.5728140000000002</v>
      </c>
      <c r="G952">
        <v>213.50700000000001</v>
      </c>
      <c r="H952">
        <v>3.3207936507936511</v>
      </c>
    </row>
    <row r="953" spans="1:8" x14ac:dyDescent="0.3">
      <c r="A953" t="s">
        <v>8</v>
      </c>
      <c r="B953">
        <v>2009.3</v>
      </c>
      <c r="C953">
        <v>402</v>
      </c>
      <c r="D953">
        <v>26.96</v>
      </c>
      <c r="E953">
        <v>38385</v>
      </c>
      <c r="F953">
        <v>7.4134099999999998</v>
      </c>
      <c r="G953">
        <v>215.34399999999999</v>
      </c>
      <c r="H953">
        <v>3.5178124999999998</v>
      </c>
    </row>
    <row r="954" spans="1:8" x14ac:dyDescent="0.3">
      <c r="A954" t="s">
        <v>8</v>
      </c>
      <c r="B954">
        <v>2009.4</v>
      </c>
      <c r="C954">
        <v>30</v>
      </c>
      <c r="D954">
        <v>26.63</v>
      </c>
      <c r="E954">
        <v>38415</v>
      </c>
      <c r="F954">
        <v>7.7968799999999998</v>
      </c>
      <c r="G954">
        <v>217.03</v>
      </c>
      <c r="H954">
        <v>3.464032258064516</v>
      </c>
    </row>
    <row r="955" spans="1:8" x14ac:dyDescent="0.3">
      <c r="A955" t="s">
        <v>8</v>
      </c>
      <c r="B955">
        <v>2010.1</v>
      </c>
      <c r="C955">
        <v>0</v>
      </c>
      <c r="D955">
        <v>26.16</v>
      </c>
      <c r="E955">
        <v>38415</v>
      </c>
      <c r="F955">
        <v>7.9131770000000001</v>
      </c>
      <c r="G955">
        <v>217.374</v>
      </c>
      <c r="H955">
        <v>3.7178688524590173</v>
      </c>
    </row>
    <row r="956" spans="1:8" x14ac:dyDescent="0.3">
      <c r="A956" t="s">
        <v>8</v>
      </c>
      <c r="B956">
        <v>2010.2</v>
      </c>
      <c r="C956">
        <v>34</v>
      </c>
      <c r="D956">
        <v>25.28</v>
      </c>
      <c r="E956">
        <v>38449</v>
      </c>
      <c r="F956">
        <v>8.3286259999999999</v>
      </c>
      <c r="G956">
        <v>217.29733333333334</v>
      </c>
      <c r="H956">
        <v>3.4924999999999993</v>
      </c>
    </row>
    <row r="957" spans="1:8" x14ac:dyDescent="0.3">
      <c r="A957" t="s">
        <v>8</v>
      </c>
      <c r="B957">
        <v>2010.3</v>
      </c>
      <c r="C957">
        <v>0</v>
      </c>
      <c r="D957">
        <v>24.96</v>
      </c>
      <c r="E957">
        <v>38449</v>
      </c>
      <c r="F957">
        <v>8.145429</v>
      </c>
      <c r="G957">
        <v>217.93433333333334</v>
      </c>
      <c r="H957">
        <v>2.7845312500000015</v>
      </c>
    </row>
    <row r="958" spans="1:8" x14ac:dyDescent="0.3">
      <c r="A958" t="s">
        <v>8</v>
      </c>
      <c r="B958">
        <v>2010.4</v>
      </c>
      <c r="C958">
        <v>314</v>
      </c>
      <c r="D958">
        <v>24.52</v>
      </c>
      <c r="E958">
        <v>38763</v>
      </c>
      <c r="F958">
        <v>8.1321849999999998</v>
      </c>
      <c r="G958">
        <v>219.69900000000001</v>
      </c>
      <c r="H958">
        <v>2.8783870967741949</v>
      </c>
    </row>
    <row r="959" spans="1:8" x14ac:dyDescent="0.3">
      <c r="A959" t="s">
        <v>8</v>
      </c>
      <c r="B959">
        <v>2011.1</v>
      </c>
      <c r="C959">
        <v>0</v>
      </c>
      <c r="D959">
        <v>24.14</v>
      </c>
      <c r="E959">
        <v>38763</v>
      </c>
      <c r="F959">
        <v>7.7895589999999997</v>
      </c>
      <c r="G959">
        <v>222.04366666666667</v>
      </c>
      <c r="H959">
        <v>3.4574193548387107</v>
      </c>
    </row>
    <row r="960" spans="1:8" x14ac:dyDescent="0.3">
      <c r="A960" t="s">
        <v>8</v>
      </c>
      <c r="B960">
        <v>2011.2</v>
      </c>
      <c r="C960">
        <v>0</v>
      </c>
      <c r="D960">
        <v>24.04</v>
      </c>
      <c r="E960">
        <v>38763</v>
      </c>
      <c r="F960">
        <v>7.1082400000000003</v>
      </c>
      <c r="G960">
        <v>224.56833333333333</v>
      </c>
      <c r="H960">
        <v>3.201428571428572</v>
      </c>
    </row>
    <row r="961" spans="1:8" x14ac:dyDescent="0.3">
      <c r="A961" t="s">
        <v>8</v>
      </c>
      <c r="B961">
        <v>2011.3</v>
      </c>
      <c r="C961">
        <v>0</v>
      </c>
      <c r="D961">
        <v>24.09</v>
      </c>
      <c r="E961">
        <v>38763</v>
      </c>
      <c r="F961">
        <v>6.4654379999999998</v>
      </c>
      <c r="G961">
        <v>226.03266666666667</v>
      </c>
      <c r="H961">
        <v>2.4142187500000003</v>
      </c>
    </row>
    <row r="962" spans="1:8" x14ac:dyDescent="0.3">
      <c r="A962" t="s">
        <v>8</v>
      </c>
      <c r="B962">
        <v>2011.4</v>
      </c>
      <c r="C962">
        <v>0</v>
      </c>
      <c r="D962">
        <v>24.09</v>
      </c>
      <c r="E962">
        <v>38763</v>
      </c>
      <c r="F962">
        <v>5.8690519999999999</v>
      </c>
      <c r="G962">
        <v>227.04733333333334</v>
      </c>
      <c r="H962">
        <v>2.0467213114754093</v>
      </c>
    </row>
    <row r="963" spans="1:8" x14ac:dyDescent="0.3">
      <c r="A963" t="s">
        <v>8</v>
      </c>
      <c r="B963">
        <v>2012.1</v>
      </c>
      <c r="C963">
        <v>0</v>
      </c>
      <c r="D963">
        <v>24.38</v>
      </c>
      <c r="E963">
        <v>38763</v>
      </c>
      <c r="F963">
        <v>5.8495720000000002</v>
      </c>
      <c r="G963">
        <v>228.32599999999999</v>
      </c>
      <c r="H963">
        <v>2.0400000000000005</v>
      </c>
    </row>
    <row r="964" spans="1:8" x14ac:dyDescent="0.3">
      <c r="A964" t="s">
        <v>8</v>
      </c>
      <c r="B964">
        <v>2012.2</v>
      </c>
      <c r="C964">
        <v>0</v>
      </c>
      <c r="D964">
        <v>25.51</v>
      </c>
      <c r="E964">
        <v>38763</v>
      </c>
      <c r="F964">
        <v>5.5911119999999999</v>
      </c>
      <c r="G964">
        <v>228.80799999999999</v>
      </c>
      <c r="H964">
        <v>1.8257812499999995</v>
      </c>
    </row>
    <row r="965" spans="1:8" x14ac:dyDescent="0.3">
      <c r="A965" t="s">
        <v>8</v>
      </c>
      <c r="B965">
        <v>2012.3</v>
      </c>
      <c r="C965">
        <v>310</v>
      </c>
      <c r="D965">
        <v>26.78</v>
      </c>
      <c r="E965">
        <v>39073</v>
      </c>
      <c r="F965">
        <v>5.6054339999999998</v>
      </c>
      <c r="G965">
        <v>229.84100000000001</v>
      </c>
      <c r="H965">
        <v>1.6412698412698408</v>
      </c>
    </row>
    <row r="966" spans="1:8" x14ac:dyDescent="0.3">
      <c r="A966" t="s">
        <v>8</v>
      </c>
      <c r="B966">
        <v>2012.4</v>
      </c>
      <c r="C966">
        <v>0</v>
      </c>
      <c r="D966">
        <v>27.01</v>
      </c>
      <c r="E966">
        <v>39073</v>
      </c>
      <c r="F966">
        <v>5.5982459999999996</v>
      </c>
      <c r="G966">
        <v>231.36933333333334</v>
      </c>
      <c r="H966">
        <v>1.7070491803278682</v>
      </c>
    </row>
    <row r="967" spans="1:8" x14ac:dyDescent="0.3">
      <c r="A967" t="s">
        <v>8</v>
      </c>
      <c r="B967">
        <v>2013.1</v>
      </c>
      <c r="C967">
        <v>427</v>
      </c>
      <c r="D967">
        <v>26.99</v>
      </c>
      <c r="E967">
        <v>39500</v>
      </c>
      <c r="F967">
        <v>5.4316909999999998</v>
      </c>
      <c r="G967">
        <v>232.29933333333332</v>
      </c>
      <c r="H967">
        <v>1.9510000000000003</v>
      </c>
    </row>
    <row r="968" spans="1:8" x14ac:dyDescent="0.3">
      <c r="A968" t="s">
        <v>8</v>
      </c>
      <c r="B968">
        <v>2013.2</v>
      </c>
      <c r="C968">
        <v>430</v>
      </c>
      <c r="D968">
        <v>27.63</v>
      </c>
      <c r="E968">
        <v>39930</v>
      </c>
      <c r="F968">
        <v>5.5642009999999997</v>
      </c>
      <c r="G968">
        <v>232.04499999999999</v>
      </c>
      <c r="H968">
        <v>1.9862499999999992</v>
      </c>
    </row>
    <row r="969" spans="1:8" x14ac:dyDescent="0.3">
      <c r="A969" t="s">
        <v>8</v>
      </c>
      <c r="B969">
        <v>2013.3</v>
      </c>
      <c r="C969">
        <v>610</v>
      </c>
      <c r="D969">
        <v>27.95</v>
      </c>
      <c r="E969">
        <v>40540</v>
      </c>
      <c r="F969">
        <v>5.7061349999999997</v>
      </c>
      <c r="G969">
        <v>233.3</v>
      </c>
      <c r="H969">
        <v>2.7065624999999995</v>
      </c>
    </row>
    <row r="970" spans="1:8" x14ac:dyDescent="0.3">
      <c r="A970" t="s">
        <v>8</v>
      </c>
      <c r="B970">
        <v>2013.4</v>
      </c>
      <c r="C970">
        <v>179</v>
      </c>
      <c r="D970">
        <v>28.04</v>
      </c>
      <c r="E970">
        <v>40719</v>
      </c>
      <c r="F970">
        <v>5.7349050000000004</v>
      </c>
      <c r="G970">
        <v>234.16266666666667</v>
      </c>
      <c r="H970">
        <v>2.7441935483870958</v>
      </c>
    </row>
    <row r="971" spans="1:8" x14ac:dyDescent="0.3">
      <c r="A971" t="s">
        <v>8</v>
      </c>
      <c r="B971">
        <v>2014.1</v>
      </c>
      <c r="C971">
        <v>131</v>
      </c>
      <c r="D971">
        <v>28.13</v>
      </c>
      <c r="E971">
        <v>40850</v>
      </c>
      <c r="F971">
        <v>5.7025670000000002</v>
      </c>
      <c r="G971">
        <v>235.62100000000001</v>
      </c>
      <c r="H971">
        <v>2.7654098360655737</v>
      </c>
    </row>
    <row r="972" spans="1:8" x14ac:dyDescent="0.3">
      <c r="A972" t="s">
        <v>8</v>
      </c>
      <c r="B972">
        <v>2014.2</v>
      </c>
      <c r="C972">
        <v>224</v>
      </c>
      <c r="D972">
        <v>28.24</v>
      </c>
      <c r="E972">
        <v>41074</v>
      </c>
      <c r="F972">
        <v>5.4960469999999999</v>
      </c>
      <c r="G972">
        <v>236.87233333333333</v>
      </c>
      <c r="H972">
        <v>2.6209523809523816</v>
      </c>
    </row>
    <row r="973" spans="1:8" x14ac:dyDescent="0.3">
      <c r="A973" t="s">
        <v>8</v>
      </c>
      <c r="B973">
        <v>2014.3</v>
      </c>
      <c r="C973">
        <v>0</v>
      </c>
      <c r="D973">
        <v>29.2</v>
      </c>
      <c r="E973">
        <v>41074</v>
      </c>
      <c r="F973">
        <v>5.471571</v>
      </c>
      <c r="G973">
        <v>237.47833333333332</v>
      </c>
      <c r="H973">
        <v>2.4995312500000004</v>
      </c>
    </row>
    <row r="974" spans="1:8" x14ac:dyDescent="0.3">
      <c r="A974" t="s">
        <v>8</v>
      </c>
      <c r="B974">
        <v>2014.4</v>
      </c>
      <c r="C974">
        <v>285</v>
      </c>
      <c r="D974">
        <v>28.85</v>
      </c>
      <c r="E974">
        <v>41359</v>
      </c>
      <c r="F974">
        <v>5.4323969999999999</v>
      </c>
      <c r="G974">
        <v>236.88833333333332</v>
      </c>
      <c r="H974">
        <v>2.2759677419354838</v>
      </c>
    </row>
    <row r="975" spans="1:8" x14ac:dyDescent="0.3">
      <c r="A975" t="s">
        <v>8</v>
      </c>
      <c r="B975">
        <v>2015.1</v>
      </c>
      <c r="C975">
        <v>371</v>
      </c>
      <c r="D975">
        <v>29.9</v>
      </c>
      <c r="E975">
        <v>41730</v>
      </c>
      <c r="F975">
        <v>5.3014650000000003</v>
      </c>
      <c r="G975">
        <v>235.35499999999999</v>
      </c>
      <c r="H975">
        <v>1.9688524590163936</v>
      </c>
    </row>
    <row r="976" spans="1:8" x14ac:dyDescent="0.3">
      <c r="A976" t="s">
        <v>8</v>
      </c>
      <c r="B976">
        <v>2015.2</v>
      </c>
      <c r="C976">
        <v>0</v>
      </c>
      <c r="D976">
        <v>30.95</v>
      </c>
      <c r="E976">
        <v>41730</v>
      </c>
      <c r="F976">
        <v>5.3635510000000002</v>
      </c>
      <c r="G976">
        <v>236.96</v>
      </c>
      <c r="H976">
        <v>2.1643750000000002</v>
      </c>
    </row>
    <row r="977" spans="1:8" x14ac:dyDescent="0.3">
      <c r="A977" t="s">
        <v>8</v>
      </c>
      <c r="B977">
        <v>2015.3</v>
      </c>
      <c r="C977">
        <v>1443</v>
      </c>
      <c r="D977">
        <v>32.090000000000003</v>
      </c>
      <c r="E977">
        <v>43173</v>
      </c>
      <c r="F977">
        <v>5.1388340000000001</v>
      </c>
      <c r="G977">
        <v>237.85499999999999</v>
      </c>
      <c r="H977">
        <v>2.223125</v>
      </c>
    </row>
    <row r="978" spans="1:8" x14ac:dyDescent="0.3">
      <c r="A978" t="s">
        <v>8</v>
      </c>
      <c r="B978">
        <v>2015.4</v>
      </c>
      <c r="C978">
        <v>942</v>
      </c>
      <c r="D978">
        <v>33.08</v>
      </c>
      <c r="E978">
        <v>44115</v>
      </c>
      <c r="F978">
        <v>4.9349959999999999</v>
      </c>
      <c r="G978">
        <v>237.83699999999999</v>
      </c>
      <c r="H978">
        <v>2.1904838709677414</v>
      </c>
    </row>
    <row r="979" spans="1:8" x14ac:dyDescent="0.3">
      <c r="A979" t="s">
        <v>8</v>
      </c>
      <c r="B979">
        <v>2016.1</v>
      </c>
      <c r="C979">
        <v>1192</v>
      </c>
      <c r="D979">
        <v>34.06</v>
      </c>
      <c r="E979">
        <v>45307</v>
      </c>
      <c r="F979">
        <v>4.8659230000000004</v>
      </c>
      <c r="G979">
        <v>237.68933333333334</v>
      </c>
      <c r="H979">
        <v>1.9142619999999999</v>
      </c>
    </row>
    <row r="980" spans="1:8" x14ac:dyDescent="0.3">
      <c r="A980" t="s">
        <v>8</v>
      </c>
      <c r="B980">
        <v>2016.2</v>
      </c>
      <c r="C980">
        <v>221</v>
      </c>
      <c r="D980">
        <v>35.17</v>
      </c>
      <c r="E980">
        <v>45528</v>
      </c>
      <c r="F980">
        <v>4.7552269999999996</v>
      </c>
      <c r="G980">
        <v>239.59033333333332</v>
      </c>
      <c r="H980">
        <v>1.750156</v>
      </c>
    </row>
    <row r="981" spans="1:8" x14ac:dyDescent="0.3">
      <c r="A981" t="s">
        <v>8</v>
      </c>
      <c r="B981">
        <v>2016.3</v>
      </c>
      <c r="C981">
        <v>597</v>
      </c>
      <c r="D981">
        <v>35.5</v>
      </c>
      <c r="E981">
        <v>46125</v>
      </c>
      <c r="F981">
        <v>4.7117240000000002</v>
      </c>
      <c r="G981">
        <v>240.60733333333334</v>
      </c>
      <c r="H981">
        <v>1.5643750000000001</v>
      </c>
    </row>
    <row r="982" spans="1:8" x14ac:dyDescent="0.3">
      <c r="A982" t="s">
        <v>8</v>
      </c>
      <c r="B982">
        <v>2016.4</v>
      </c>
      <c r="C982">
        <v>441</v>
      </c>
      <c r="D982">
        <v>35.950000000000003</v>
      </c>
      <c r="E982">
        <v>46566</v>
      </c>
      <c r="F982">
        <v>4.7705739999999999</v>
      </c>
      <c r="G982">
        <v>242.13466666666667</v>
      </c>
      <c r="H982">
        <v>2.1386889999999998</v>
      </c>
    </row>
    <row r="983" spans="1:8" x14ac:dyDescent="0.3">
      <c r="A983" t="s">
        <v>8</v>
      </c>
      <c r="B983">
        <v>2017.1</v>
      </c>
      <c r="C983">
        <v>578</v>
      </c>
      <c r="D983">
        <v>36.53</v>
      </c>
      <c r="E983">
        <v>47144</v>
      </c>
      <c r="F983">
        <v>4.7252029999999996</v>
      </c>
      <c r="G983">
        <v>243.83866666666665</v>
      </c>
      <c r="H983">
        <v>2.4466130000000001</v>
      </c>
    </row>
    <row r="984" spans="1:8" x14ac:dyDescent="0.3">
      <c r="A984" t="s">
        <v>8</v>
      </c>
      <c r="B984">
        <v>2017.2</v>
      </c>
      <c r="C984">
        <v>732</v>
      </c>
      <c r="D984">
        <v>36.57</v>
      </c>
      <c r="E984">
        <v>47876</v>
      </c>
      <c r="F984">
        <v>4.7225149999999996</v>
      </c>
      <c r="G984">
        <v>244.12</v>
      </c>
      <c r="H984">
        <v>2.2609520000000001</v>
      </c>
    </row>
    <row r="985" spans="1:8" x14ac:dyDescent="0.3">
      <c r="A985" t="s">
        <v>8</v>
      </c>
      <c r="B985">
        <v>2017.3</v>
      </c>
      <c r="C985">
        <v>1126</v>
      </c>
      <c r="D985">
        <v>36.5</v>
      </c>
      <c r="E985">
        <v>49002</v>
      </c>
      <c r="F985">
        <v>4.7311750000000004</v>
      </c>
      <c r="G985">
        <v>245.28700000000001</v>
      </c>
      <c r="H985">
        <v>2.2414290000000001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4563-3768-4924-B344-6FFB7E4F1D34}">
  <dimension ref="A1:I145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0.72177316397600777</v>
      </c>
    </row>
    <row r="5" spans="1:9" x14ac:dyDescent="0.3">
      <c r="A5" s="2" t="s">
        <v>21</v>
      </c>
      <c r="B5" s="2">
        <v>0.52095650023593698</v>
      </c>
    </row>
    <row r="6" spans="1:9" x14ac:dyDescent="0.3">
      <c r="A6" s="2" t="s">
        <v>22</v>
      </c>
      <c r="B6" s="2">
        <v>0.50845971328557016</v>
      </c>
    </row>
    <row r="7" spans="1:9" x14ac:dyDescent="0.3">
      <c r="A7" s="2" t="s">
        <v>23</v>
      </c>
      <c r="B7" s="2">
        <v>0.96119496609582311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115.54398065063037</v>
      </c>
      <c r="D12" s="2">
        <v>38.514660216876791</v>
      </c>
      <c r="E12" s="2">
        <v>41.687235471405998</v>
      </c>
      <c r="F12" s="2">
        <v>2.6208357767398369E-18</v>
      </c>
    </row>
    <row r="13" spans="1:9" x14ac:dyDescent="0.3">
      <c r="A13" s="2" t="s">
        <v>27</v>
      </c>
      <c r="B13" s="2">
        <v>115</v>
      </c>
      <c r="C13" s="2">
        <v>106.24801272751432</v>
      </c>
      <c r="D13" s="2">
        <v>0.92389576284795061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221.7919933781447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3.5751792313385558</v>
      </c>
      <c r="C17" s="2">
        <v>1.9382698146483448</v>
      </c>
      <c r="D17" s="2">
        <v>1.8445209249606929</v>
      </c>
      <c r="E17" s="2">
        <v>6.76807893501713E-2</v>
      </c>
      <c r="F17" s="2">
        <v>-0.26416023421096391</v>
      </c>
      <c r="G17" s="2">
        <v>7.4145186968880754</v>
      </c>
      <c r="H17" s="2">
        <v>-0.26416023421096391</v>
      </c>
      <c r="I17" s="2">
        <v>7.4145186968880754</v>
      </c>
    </row>
    <row r="18" spans="1:9" x14ac:dyDescent="0.3">
      <c r="A18" s="2" t="s">
        <v>42</v>
      </c>
      <c r="B18" s="2">
        <v>0.71464442396817329</v>
      </c>
      <c r="C18" s="2">
        <v>6.9718822660530241E-2</v>
      </c>
      <c r="D18" s="2">
        <v>10.250379979132283</v>
      </c>
      <c r="E18" s="2">
        <v>6.6078277127698794E-18</v>
      </c>
      <c r="F18" s="2">
        <v>0.57654485428530888</v>
      </c>
      <c r="G18" s="2">
        <v>0.8527439936510377</v>
      </c>
      <c r="H18" s="2">
        <v>0.57654485428530888</v>
      </c>
      <c r="I18" s="2">
        <v>0.8527439936510377</v>
      </c>
    </row>
    <row r="19" spans="1:9" x14ac:dyDescent="0.3">
      <c r="A19" s="2" t="s">
        <v>43</v>
      </c>
      <c r="B19" s="2">
        <v>7.4887427980389679E-2</v>
      </c>
      <c r="C19" s="2">
        <v>4.3495189313223964E-2</v>
      </c>
      <c r="D19" s="2">
        <v>1.7217404766559194</v>
      </c>
      <c r="E19" s="2">
        <v>8.7805293854993791E-2</v>
      </c>
      <c r="F19" s="2">
        <v>-1.126817101298655E-2</v>
      </c>
      <c r="G19" s="2">
        <v>0.16104302697376591</v>
      </c>
      <c r="H19" s="2">
        <v>-1.126817101298655E-2</v>
      </c>
      <c r="I19" s="2">
        <v>0.16104302697376591</v>
      </c>
    </row>
    <row r="20" spans="1:9" ht="15" thickBot="1" x14ac:dyDescent="0.35">
      <c r="A20" s="3" t="s">
        <v>44</v>
      </c>
      <c r="B20" s="3">
        <v>-1.9126114879407081</v>
      </c>
      <c r="C20" s="3">
        <v>1.863508965081379</v>
      </c>
      <c r="D20" s="3">
        <v>-1.0263494964496642</v>
      </c>
      <c r="E20" s="3">
        <v>0.30688087527446822</v>
      </c>
      <c r="F20" s="3">
        <v>-5.6038640988886463</v>
      </c>
      <c r="G20" s="3">
        <v>1.7786411230072303</v>
      </c>
      <c r="H20" s="3">
        <v>-5.6038640988886463</v>
      </c>
      <c r="I20" s="3">
        <v>1.7786411230072303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7.4820071859792119</v>
      </c>
      <c r="C27" s="2">
        <v>-0.91446518597921145</v>
      </c>
    </row>
    <row r="28" spans="1:9" x14ac:dyDescent="0.3">
      <c r="A28" s="2">
        <v>2</v>
      </c>
      <c r="B28" s="2">
        <v>7.4557981162210947</v>
      </c>
      <c r="C28" s="2">
        <v>-0.77832711622109496</v>
      </c>
    </row>
    <row r="29" spans="1:9" x14ac:dyDescent="0.3">
      <c r="A29" s="2">
        <v>3</v>
      </c>
      <c r="B29" s="2">
        <v>7.0069087462113417</v>
      </c>
      <c r="C29" s="2">
        <v>0.50293525378865844</v>
      </c>
    </row>
    <row r="30" spans="1:9" x14ac:dyDescent="0.3">
      <c r="A30" s="2">
        <v>4</v>
      </c>
      <c r="B30" s="2">
        <v>6.9006818767625644</v>
      </c>
      <c r="C30" s="2">
        <v>0.72438012323743539</v>
      </c>
    </row>
    <row r="31" spans="1:9" x14ac:dyDescent="0.3">
      <c r="A31" s="2">
        <v>5</v>
      </c>
      <c r="B31" s="2">
        <v>7.037391862489514</v>
      </c>
      <c r="C31" s="2">
        <v>0.7262081375104863</v>
      </c>
    </row>
    <row r="32" spans="1:9" x14ac:dyDescent="0.3">
      <c r="A32" s="2">
        <v>6</v>
      </c>
      <c r="B32" s="2">
        <v>7.1531783401308981</v>
      </c>
      <c r="C32" s="2">
        <v>0.90195565986910253</v>
      </c>
    </row>
    <row r="33" spans="1:3" x14ac:dyDescent="0.3">
      <c r="A33" s="2">
        <v>7</v>
      </c>
      <c r="B33" s="2">
        <v>7.7237082025782646</v>
      </c>
      <c r="C33" s="2">
        <v>-0.23218720257826497</v>
      </c>
    </row>
    <row r="34" spans="1:3" x14ac:dyDescent="0.3">
      <c r="A34" s="2">
        <v>8</v>
      </c>
      <c r="B34" s="2">
        <v>7.8163438325725583</v>
      </c>
      <c r="C34" s="2">
        <v>-0.60050983257255819</v>
      </c>
    </row>
    <row r="35" spans="1:3" x14ac:dyDescent="0.3">
      <c r="A35" s="2">
        <v>9</v>
      </c>
      <c r="B35" s="2">
        <v>7.9315623385193028</v>
      </c>
      <c r="C35" s="2">
        <v>-1.0704903385193028</v>
      </c>
    </row>
    <row r="36" spans="1:3" x14ac:dyDescent="0.3">
      <c r="A36" s="2">
        <v>10</v>
      </c>
      <c r="B36" s="2">
        <v>8.135007422066634</v>
      </c>
      <c r="C36" s="2">
        <v>-2.026687422066634</v>
      </c>
    </row>
    <row r="37" spans="1:3" x14ac:dyDescent="0.3">
      <c r="A37" s="2">
        <v>11</v>
      </c>
      <c r="B37" s="2">
        <v>7.7114256145720947</v>
      </c>
      <c r="C37" s="2">
        <v>-1.9760946145720943</v>
      </c>
    </row>
    <row r="38" spans="1:3" x14ac:dyDescent="0.3">
      <c r="A38" s="2">
        <v>12</v>
      </c>
      <c r="B38" s="2">
        <v>7.4706746728175046</v>
      </c>
      <c r="C38" s="2">
        <v>-2.358849672817505</v>
      </c>
    </row>
    <row r="39" spans="1:3" x14ac:dyDescent="0.3">
      <c r="A39" s="2">
        <v>13</v>
      </c>
      <c r="B39" s="2">
        <v>7.1740021197044559</v>
      </c>
      <c r="C39" s="2">
        <v>-2.5040241197044555</v>
      </c>
    </row>
    <row r="40" spans="1:3" x14ac:dyDescent="0.3">
      <c r="A40" s="2">
        <v>14</v>
      </c>
      <c r="B40" s="2">
        <v>6.6288747206794714</v>
      </c>
      <c r="C40" s="2">
        <v>-1.8445407206794711</v>
      </c>
    </row>
    <row r="41" spans="1:3" x14ac:dyDescent="0.3">
      <c r="A41" s="2">
        <v>15</v>
      </c>
      <c r="B41" s="2">
        <v>6.3462666026536869</v>
      </c>
      <c r="C41" s="2">
        <v>-1.1739796026536871</v>
      </c>
    </row>
    <row r="42" spans="1:3" x14ac:dyDescent="0.3">
      <c r="A42" s="2">
        <v>16</v>
      </c>
      <c r="B42" s="2">
        <v>5.8510180690724622</v>
      </c>
      <c r="C42" s="2">
        <v>-0.10338306907246242</v>
      </c>
    </row>
    <row r="43" spans="1:3" x14ac:dyDescent="0.3">
      <c r="A43" s="2">
        <v>17</v>
      </c>
      <c r="B43" s="2">
        <v>5.5456587365087611</v>
      </c>
      <c r="C43" s="2">
        <v>0.78550526349123917</v>
      </c>
    </row>
    <row r="44" spans="1:3" x14ac:dyDescent="0.3">
      <c r="A44" s="2">
        <v>18</v>
      </c>
      <c r="B44" s="2">
        <v>5.645935454752915</v>
      </c>
      <c r="C44" s="2">
        <v>0.88975654524708503</v>
      </c>
    </row>
    <row r="45" spans="1:3" x14ac:dyDescent="0.3">
      <c r="A45" s="2">
        <v>19</v>
      </c>
      <c r="B45" s="2">
        <v>5.9047128203930415</v>
      </c>
      <c r="C45" s="2">
        <v>0.82255817960695854</v>
      </c>
    </row>
    <row r="46" spans="1:3" x14ac:dyDescent="0.3">
      <c r="A46" s="2">
        <v>20</v>
      </c>
      <c r="B46" s="2">
        <v>6.3640451820974357</v>
      </c>
      <c r="C46" s="2">
        <v>0.96180981790256403</v>
      </c>
    </row>
    <row r="47" spans="1:3" x14ac:dyDescent="0.3">
      <c r="A47" s="2">
        <v>21</v>
      </c>
      <c r="B47" s="2">
        <v>6.7090104134135924</v>
      </c>
      <c r="C47" s="2">
        <v>0.92975958658640767</v>
      </c>
    </row>
    <row r="48" spans="1:3" x14ac:dyDescent="0.3">
      <c r="A48" s="2">
        <v>22</v>
      </c>
      <c r="B48" s="2">
        <v>6.7981588660583157</v>
      </c>
      <c r="C48" s="2">
        <v>1.3096191339416841</v>
      </c>
    </row>
    <row r="49" spans="1:3" x14ac:dyDescent="0.3">
      <c r="A49" s="2">
        <v>23</v>
      </c>
      <c r="B49" s="2">
        <v>6.7892299788976382</v>
      </c>
      <c r="C49" s="2">
        <v>1.5470820211023613</v>
      </c>
    </row>
    <row r="50" spans="1:3" x14ac:dyDescent="0.3">
      <c r="A50" s="2">
        <v>24</v>
      </c>
      <c r="B50" s="2">
        <v>7.0899827841616228</v>
      </c>
      <c r="C50" s="2">
        <v>1.3728842158383765</v>
      </c>
    </row>
    <row r="51" spans="1:3" x14ac:dyDescent="0.3">
      <c r="A51" s="2">
        <v>25</v>
      </c>
      <c r="B51" s="2">
        <v>7.3905078094141796</v>
      </c>
      <c r="C51" s="2">
        <v>1.5975081905858204</v>
      </c>
    </row>
    <row r="52" spans="1:3" x14ac:dyDescent="0.3">
      <c r="A52" s="2">
        <v>26</v>
      </c>
      <c r="B52" s="2">
        <v>7.8412344694116101</v>
      </c>
      <c r="C52" s="2">
        <v>0.98094653058839043</v>
      </c>
    </row>
    <row r="53" spans="1:3" x14ac:dyDescent="0.3">
      <c r="A53" s="2">
        <v>27</v>
      </c>
      <c r="B53" s="2">
        <v>8.0509189551378189</v>
      </c>
      <c r="C53" s="2">
        <v>1.0521100448621805</v>
      </c>
    </row>
    <row r="54" spans="1:3" x14ac:dyDescent="0.3">
      <c r="A54" s="2">
        <v>28</v>
      </c>
      <c r="B54" s="2">
        <v>8.2069928630691305</v>
      </c>
      <c r="C54" s="2">
        <v>1.0206721369308696</v>
      </c>
    </row>
    <row r="55" spans="1:3" x14ac:dyDescent="0.3">
      <c r="A55" s="2">
        <v>29</v>
      </c>
      <c r="B55" s="2">
        <v>8.5136436926972934</v>
      </c>
      <c r="C55" s="2">
        <v>0.83178430730270669</v>
      </c>
    </row>
    <row r="56" spans="1:3" x14ac:dyDescent="0.3">
      <c r="A56" s="2">
        <v>30</v>
      </c>
      <c r="B56" s="2">
        <v>8.2862831343830052</v>
      </c>
      <c r="C56" s="2">
        <v>1.550580865616995</v>
      </c>
    </row>
    <row r="57" spans="1:3" x14ac:dyDescent="0.3">
      <c r="A57" s="2">
        <v>31</v>
      </c>
      <c r="B57" s="2">
        <v>8.4875570027399903</v>
      </c>
      <c r="C57" s="2">
        <v>1.2664119972600094</v>
      </c>
    </row>
    <row r="58" spans="1:3" x14ac:dyDescent="0.3">
      <c r="A58" s="2">
        <v>32</v>
      </c>
      <c r="B58" s="2">
        <v>8.5640479728430883</v>
      </c>
      <c r="C58" s="2">
        <v>0.87459802715691204</v>
      </c>
    </row>
    <row r="59" spans="1:3" x14ac:dyDescent="0.3">
      <c r="A59" s="2">
        <v>33</v>
      </c>
      <c r="B59" s="2">
        <v>8.610090797302405</v>
      </c>
      <c r="C59" s="2">
        <v>-8.1382797302405052E-2</v>
      </c>
    </row>
    <row r="60" spans="1:3" x14ac:dyDescent="0.3">
      <c r="A60" s="2">
        <v>34</v>
      </c>
      <c r="B60" s="2">
        <v>8.9820006269580723</v>
      </c>
      <c r="C60" s="2">
        <v>-1.1053326269580728</v>
      </c>
    </row>
    <row r="61" spans="1:3" x14ac:dyDescent="0.3">
      <c r="A61" s="2">
        <v>35</v>
      </c>
      <c r="B61" s="2">
        <v>8.9125102053350354</v>
      </c>
      <c r="C61" s="2">
        <v>-1.4422062053350357</v>
      </c>
    </row>
    <row r="62" spans="1:3" x14ac:dyDescent="0.3">
      <c r="A62" s="2">
        <v>36</v>
      </c>
      <c r="B62" s="2">
        <v>8.6404916114553263</v>
      </c>
      <c r="C62" s="2">
        <v>-1.6301026114553263</v>
      </c>
    </row>
    <row r="63" spans="1:3" x14ac:dyDescent="0.3">
      <c r="A63" s="2">
        <v>37</v>
      </c>
      <c r="B63" s="2">
        <v>8.0734201253887274</v>
      </c>
      <c r="C63" s="2">
        <v>-0.66754212538872704</v>
      </c>
    </row>
    <row r="64" spans="1:3" x14ac:dyDescent="0.3">
      <c r="A64" s="2">
        <v>38</v>
      </c>
      <c r="B64" s="2">
        <v>7.6835196078164971</v>
      </c>
      <c r="C64" s="2">
        <v>0.11366039218350288</v>
      </c>
    </row>
    <row r="65" spans="1:3" x14ac:dyDescent="0.3">
      <c r="A65" s="2">
        <v>39</v>
      </c>
      <c r="B65" s="2">
        <v>7.4361661265506473</v>
      </c>
      <c r="C65" s="2">
        <v>0.84013787344935231</v>
      </c>
    </row>
    <row r="66" spans="1:3" x14ac:dyDescent="0.3">
      <c r="A66" s="2">
        <v>40</v>
      </c>
      <c r="B66" s="2">
        <v>7.1570956713939395</v>
      </c>
      <c r="C66" s="2">
        <v>1.5833423286060597</v>
      </c>
    </row>
    <row r="67" spans="1:3" x14ac:dyDescent="0.3">
      <c r="A67" s="2">
        <v>41</v>
      </c>
      <c r="B67" s="2">
        <v>7.3422631119284532</v>
      </c>
      <c r="C67" s="2">
        <v>1.6667008880715475</v>
      </c>
    </row>
    <row r="68" spans="1:3" x14ac:dyDescent="0.3">
      <c r="A68" s="2">
        <v>42</v>
      </c>
      <c r="B68" s="2">
        <v>7.5454263622827309</v>
      </c>
      <c r="C68" s="2">
        <v>1.4712386377172688</v>
      </c>
    </row>
    <row r="69" spans="1:3" x14ac:dyDescent="0.3">
      <c r="A69" s="2">
        <v>43</v>
      </c>
      <c r="B69" s="2">
        <v>7.8416213763977316</v>
      </c>
      <c r="C69" s="2">
        <v>0.79884062360226782</v>
      </c>
    </row>
    <row r="70" spans="1:3" x14ac:dyDescent="0.3">
      <c r="A70" s="2">
        <v>44</v>
      </c>
      <c r="B70" s="2">
        <v>8.1160720647283764</v>
      </c>
      <c r="C70" s="2">
        <v>0.37039593527162396</v>
      </c>
    </row>
    <row r="71" spans="1:3" x14ac:dyDescent="0.3">
      <c r="A71" s="2">
        <v>45</v>
      </c>
      <c r="B71" s="2">
        <v>8.3896008675137121</v>
      </c>
      <c r="C71" s="2">
        <v>-0.13149586751371167</v>
      </c>
    </row>
    <row r="72" spans="1:3" x14ac:dyDescent="0.3">
      <c r="A72" s="2">
        <v>46</v>
      </c>
      <c r="B72" s="2">
        <v>8.4902149732014127</v>
      </c>
      <c r="C72" s="2">
        <v>-0.69595497320141231</v>
      </c>
    </row>
    <row r="73" spans="1:3" x14ac:dyDescent="0.3">
      <c r="A73" s="2">
        <v>47</v>
      </c>
      <c r="B73" s="2">
        <v>8.2790194162980715</v>
      </c>
      <c r="C73" s="2">
        <v>-0.75277941629807188</v>
      </c>
    </row>
    <row r="74" spans="1:3" x14ac:dyDescent="0.3">
      <c r="A74" s="2">
        <v>48</v>
      </c>
      <c r="B74" s="2">
        <v>8.2205753933579597</v>
      </c>
      <c r="C74" s="2">
        <v>-1.1059443933579596</v>
      </c>
    </row>
    <row r="75" spans="1:3" x14ac:dyDescent="0.3">
      <c r="A75" s="2">
        <v>49</v>
      </c>
      <c r="B75" s="2">
        <v>8.0321795545126609</v>
      </c>
      <c r="C75" s="2">
        <v>-1.0512515545126613</v>
      </c>
    </row>
    <row r="76" spans="1:3" x14ac:dyDescent="0.3">
      <c r="A76" s="2">
        <v>50</v>
      </c>
      <c r="B76" s="2">
        <v>7.6297022721840619</v>
      </c>
      <c r="C76" s="2">
        <v>-0.13485927218406157</v>
      </c>
    </row>
    <row r="77" spans="1:3" x14ac:dyDescent="0.3">
      <c r="A77" s="2">
        <v>51</v>
      </c>
      <c r="B77" s="2">
        <v>7.3778100079541495</v>
      </c>
      <c r="C77" s="2">
        <v>0.47833999204585087</v>
      </c>
    </row>
    <row r="78" spans="1:3" x14ac:dyDescent="0.3">
      <c r="A78" s="2">
        <v>52</v>
      </c>
      <c r="B78" s="2">
        <v>7.0202781618191512</v>
      </c>
      <c r="C78" s="2">
        <v>1.323980838180848</v>
      </c>
    </row>
    <row r="79" spans="1:3" x14ac:dyDescent="0.3">
      <c r="A79" s="2">
        <v>53</v>
      </c>
      <c r="B79" s="2">
        <v>6.9631384426175762</v>
      </c>
      <c r="C79" s="2">
        <v>1.6854905573824235</v>
      </c>
    </row>
    <row r="80" spans="1:3" x14ac:dyDescent="0.3">
      <c r="A80" s="2">
        <v>54</v>
      </c>
      <c r="B80" s="2">
        <v>7.4217066653297561</v>
      </c>
      <c r="C80" s="2">
        <v>1.3002743346702434</v>
      </c>
    </row>
    <row r="81" spans="1:3" x14ac:dyDescent="0.3">
      <c r="A81" s="2">
        <v>55</v>
      </c>
      <c r="B81" s="2">
        <v>7.6735869268429857</v>
      </c>
      <c r="C81" s="2">
        <v>1.4152420731570148</v>
      </c>
    </row>
    <row r="82" spans="1:3" x14ac:dyDescent="0.3">
      <c r="A82" s="2">
        <v>56</v>
      </c>
      <c r="B82" s="2">
        <v>8.0194862088935466</v>
      </c>
      <c r="C82" s="2">
        <v>1.1744217911064538</v>
      </c>
    </row>
    <row r="83" spans="1:3" x14ac:dyDescent="0.3">
      <c r="A83" s="2">
        <v>57</v>
      </c>
      <c r="B83" s="2">
        <v>8.2727448458091999</v>
      </c>
      <c r="C83" s="2">
        <v>1.036870154190801</v>
      </c>
    </row>
    <row r="84" spans="1:3" x14ac:dyDescent="0.3">
      <c r="A84" s="2">
        <v>58</v>
      </c>
      <c r="B84" s="2">
        <v>8.3383281275450862</v>
      </c>
      <c r="C84" s="2">
        <v>1.0009158724549145</v>
      </c>
    </row>
    <row r="85" spans="1:3" x14ac:dyDescent="0.3">
      <c r="A85" s="2">
        <v>59</v>
      </c>
      <c r="B85" s="2">
        <v>8.5660831817218046</v>
      </c>
      <c r="C85" s="2">
        <v>0.79795881827819493</v>
      </c>
    </row>
    <row r="86" spans="1:3" x14ac:dyDescent="0.3">
      <c r="A86" s="2">
        <v>60</v>
      </c>
      <c r="B86" s="2">
        <v>8.6504008148812943</v>
      </c>
      <c r="C86" s="2">
        <v>0.7067001851187058</v>
      </c>
    </row>
    <row r="87" spans="1:3" x14ac:dyDescent="0.3">
      <c r="A87" s="2">
        <v>61</v>
      </c>
      <c r="B87" s="2">
        <v>8.7291702285531461</v>
      </c>
      <c r="C87" s="2">
        <v>0.51583877144685353</v>
      </c>
    </row>
    <row r="88" spans="1:3" x14ac:dyDescent="0.3">
      <c r="A88" s="2">
        <v>62</v>
      </c>
      <c r="B88" s="2">
        <v>8.7313736236268387</v>
      </c>
      <c r="C88" s="2">
        <v>0.40323837637316196</v>
      </c>
    </row>
    <row r="89" spans="1:3" x14ac:dyDescent="0.3">
      <c r="A89" s="2">
        <v>63</v>
      </c>
      <c r="B89" s="2">
        <v>8.774089219230822</v>
      </c>
      <c r="C89" s="2">
        <v>0.12497578076917826</v>
      </c>
    </row>
    <row r="90" spans="1:3" x14ac:dyDescent="0.3">
      <c r="A90" s="2">
        <v>64</v>
      </c>
      <c r="B90" s="2">
        <v>8.7500762018471363</v>
      </c>
      <c r="C90" s="2">
        <v>1.0037798152863431E-2</v>
      </c>
    </row>
    <row r="91" spans="1:3" x14ac:dyDescent="0.3">
      <c r="A91" s="2">
        <v>65</v>
      </c>
      <c r="B91" s="2">
        <v>8.6149402599125207</v>
      </c>
      <c r="C91" s="2">
        <v>0.1107927400874793</v>
      </c>
    </row>
    <row r="92" spans="1:3" x14ac:dyDescent="0.3">
      <c r="A92" s="2">
        <v>66</v>
      </c>
      <c r="B92" s="2">
        <v>8.5697257380631857</v>
      </c>
      <c r="C92" s="2">
        <v>0.28122826193681405</v>
      </c>
    </row>
    <row r="93" spans="1:3" x14ac:dyDescent="0.3">
      <c r="A93" s="2">
        <v>67</v>
      </c>
      <c r="B93" s="2">
        <v>8.3542489929805228</v>
      </c>
      <c r="C93" s="2">
        <v>0.1340240070194767</v>
      </c>
    </row>
    <row r="94" spans="1:3" x14ac:dyDescent="0.3">
      <c r="A94" s="2">
        <v>68</v>
      </c>
      <c r="B94" s="2">
        <v>8.2201451041946125</v>
      </c>
      <c r="C94" s="2">
        <v>-7.801010419461285E-2</v>
      </c>
    </row>
    <row r="95" spans="1:3" x14ac:dyDescent="0.3">
      <c r="A95" s="2">
        <v>69</v>
      </c>
      <c r="B95" s="2">
        <v>8.1920051000744483</v>
      </c>
      <c r="C95" s="2">
        <v>-0.58070510007444831</v>
      </c>
    </row>
    <row r="96" spans="1:3" x14ac:dyDescent="0.3">
      <c r="A96" s="2">
        <v>70</v>
      </c>
      <c r="B96" s="2">
        <v>8.2459658440420629</v>
      </c>
      <c r="C96" s="2">
        <v>-1.4471038440420632</v>
      </c>
    </row>
    <row r="97" spans="1:3" x14ac:dyDescent="0.3">
      <c r="A97" s="2">
        <v>71</v>
      </c>
      <c r="B97" s="2">
        <v>7.989081067416631</v>
      </c>
      <c r="C97" s="2">
        <v>-1.6928000674166315</v>
      </c>
    </row>
    <row r="98" spans="1:3" x14ac:dyDescent="0.3">
      <c r="A98" s="2">
        <v>72</v>
      </c>
      <c r="B98" s="2">
        <v>7.7591843850403261</v>
      </c>
      <c r="C98" s="2">
        <v>-1.5393183850403265</v>
      </c>
    </row>
    <row r="99" spans="1:3" x14ac:dyDescent="0.3">
      <c r="A99" s="2">
        <v>73</v>
      </c>
      <c r="B99" s="2">
        <v>7.4099725701691384</v>
      </c>
      <c r="C99" s="2">
        <v>-1.3961375701691381</v>
      </c>
    </row>
    <row r="100" spans="1:3" x14ac:dyDescent="0.3">
      <c r="A100" s="2">
        <v>74</v>
      </c>
      <c r="B100" s="2">
        <v>6.8904121834530052</v>
      </c>
      <c r="C100" s="2">
        <v>-1.020678183453005</v>
      </c>
    </row>
    <row r="101" spans="1:3" x14ac:dyDescent="0.3">
      <c r="A101" s="2">
        <v>75</v>
      </c>
      <c r="B101" s="2">
        <v>6.5447393491025734</v>
      </c>
      <c r="C101" s="2">
        <v>-0.66972034910257339</v>
      </c>
    </row>
    <row r="102" spans="1:3" x14ac:dyDescent="0.3">
      <c r="A102" s="2">
        <v>76</v>
      </c>
      <c r="B102" s="2">
        <v>6.4959159147533487</v>
      </c>
      <c r="C102" s="2">
        <v>-0.84051491475334839</v>
      </c>
    </row>
    <row r="103" spans="1:3" x14ac:dyDescent="0.3">
      <c r="A103" s="2">
        <v>77</v>
      </c>
      <c r="B103" s="2">
        <v>6.3213832406222163</v>
      </c>
      <c r="C103" s="2">
        <v>-0.70926024062221593</v>
      </c>
    </row>
    <row r="104" spans="1:3" x14ac:dyDescent="0.3">
      <c r="A104" s="2">
        <v>78</v>
      </c>
      <c r="B104" s="2">
        <v>6.2256244175431998</v>
      </c>
      <c r="C104" s="2">
        <v>-0.55899241754319995</v>
      </c>
    </row>
    <row r="105" spans="1:3" x14ac:dyDescent="0.3">
      <c r="A105" s="2">
        <v>79</v>
      </c>
      <c r="B105" s="2">
        <v>6.1878063591212262</v>
      </c>
      <c r="C105" s="2">
        <v>-0.60922835912122597</v>
      </c>
    </row>
    <row r="106" spans="1:3" x14ac:dyDescent="0.3">
      <c r="A106" s="2">
        <v>80</v>
      </c>
      <c r="B106" s="2">
        <v>5.9659244227337096</v>
      </c>
      <c r="C106" s="2">
        <v>-0.3208564227337094</v>
      </c>
    </row>
    <row r="107" spans="1:3" x14ac:dyDescent="0.3">
      <c r="A107" s="2">
        <v>81</v>
      </c>
      <c r="B107" s="2">
        <v>5.8973326833233681</v>
      </c>
      <c r="C107" s="2">
        <v>-0.19861268332336834</v>
      </c>
    </row>
    <row r="108" spans="1:3" x14ac:dyDescent="0.3">
      <c r="A108" s="2">
        <v>82</v>
      </c>
      <c r="B108" s="2">
        <v>5.9209828395357693</v>
      </c>
      <c r="C108" s="2">
        <v>-0.1833748395357695</v>
      </c>
    </row>
    <row r="109" spans="1:3" x14ac:dyDescent="0.3">
      <c r="A109" s="2">
        <v>83</v>
      </c>
      <c r="B109" s="2">
        <v>5.8499103350429866</v>
      </c>
      <c r="C109" s="2">
        <v>6.1669664957013204E-2</v>
      </c>
    </row>
    <row r="110" spans="1:3" x14ac:dyDescent="0.3">
      <c r="A110" s="2">
        <v>84</v>
      </c>
      <c r="B110" s="2">
        <v>5.8575655389094639</v>
      </c>
      <c r="C110" s="2">
        <v>0.26253346109053588</v>
      </c>
    </row>
    <row r="111" spans="1:3" x14ac:dyDescent="0.3">
      <c r="A111" s="2">
        <v>85</v>
      </c>
      <c r="B111" s="2">
        <v>5.8940742336393077</v>
      </c>
      <c r="C111" s="2">
        <v>0.52912476636069261</v>
      </c>
    </row>
    <row r="112" spans="1:3" x14ac:dyDescent="0.3">
      <c r="A112" s="2">
        <v>86</v>
      </c>
      <c r="B112" s="2">
        <v>6.0684337061899392</v>
      </c>
      <c r="C112" s="2">
        <v>0.71381129381006048</v>
      </c>
    </row>
    <row r="113" spans="1:3" x14ac:dyDescent="0.3">
      <c r="A113" s="2">
        <v>87</v>
      </c>
      <c r="B113" s="2">
        <v>6.2037284494141094</v>
      </c>
      <c r="C113" s="2">
        <v>0.98687955058589072</v>
      </c>
    </row>
    <row r="114" spans="1:3" x14ac:dyDescent="0.3">
      <c r="A114" s="2">
        <v>88</v>
      </c>
      <c r="B114" s="2">
        <v>6.3697441384361122</v>
      </c>
      <c r="C114" s="2">
        <v>0.92230086156388769</v>
      </c>
    </row>
    <row r="115" spans="1:3" x14ac:dyDescent="0.3">
      <c r="A115" s="2">
        <v>89</v>
      </c>
      <c r="B115" s="2">
        <v>6.6281983774371822</v>
      </c>
      <c r="C115" s="2">
        <v>0.80444162256281793</v>
      </c>
    </row>
    <row r="116" spans="1:3" x14ac:dyDescent="0.3">
      <c r="A116" s="2">
        <v>90</v>
      </c>
      <c r="B116" s="2">
        <v>6.814667723116834</v>
      </c>
      <c r="C116" s="2">
        <v>0.66710227688316603</v>
      </c>
    </row>
    <row r="117" spans="1:3" x14ac:dyDescent="0.3">
      <c r="A117" s="2">
        <v>91</v>
      </c>
      <c r="B117" s="2">
        <v>7.1042460839162977</v>
      </c>
      <c r="C117" s="2">
        <v>0.28866091608370237</v>
      </c>
    </row>
    <row r="118" spans="1:3" x14ac:dyDescent="0.3">
      <c r="A118" s="2">
        <v>92</v>
      </c>
      <c r="B118" s="2">
        <v>7.1853948328207302</v>
      </c>
      <c r="C118" s="2">
        <v>-2.8382832820730286E-2</v>
      </c>
    </row>
    <row r="119" spans="1:3" x14ac:dyDescent="0.3">
      <c r="A119" s="2">
        <v>93</v>
      </c>
      <c r="B119" s="2">
        <v>7.2922772636698348</v>
      </c>
      <c r="C119" s="2">
        <v>-0.36373626366983469</v>
      </c>
    </row>
    <row r="120" spans="1:3" x14ac:dyDescent="0.3">
      <c r="A120" s="2">
        <v>94</v>
      </c>
      <c r="B120" s="2">
        <v>7.2839935345877702</v>
      </c>
      <c r="C120" s="2">
        <v>-0.63919253458777003</v>
      </c>
    </row>
    <row r="121" spans="1:3" x14ac:dyDescent="0.3">
      <c r="A121" s="2">
        <v>95</v>
      </c>
      <c r="B121" s="2">
        <v>7.1432167697839022</v>
      </c>
      <c r="C121" s="2">
        <v>-0.75574576978390251</v>
      </c>
    </row>
    <row r="122" spans="1:3" x14ac:dyDescent="0.3">
      <c r="A122" s="2">
        <v>96</v>
      </c>
      <c r="B122" s="2">
        <v>6.9294488189833086</v>
      </c>
      <c r="C122" s="2">
        <v>-0.57547181898330813</v>
      </c>
    </row>
    <row r="123" spans="1:3" x14ac:dyDescent="0.3">
      <c r="A123" s="2">
        <v>97</v>
      </c>
      <c r="B123" s="2">
        <v>6.8100229393944183</v>
      </c>
      <c r="C123" s="2">
        <v>-0.5675719393944183</v>
      </c>
    </row>
    <row r="124" spans="1:3" x14ac:dyDescent="0.3">
      <c r="A124" s="2">
        <v>98</v>
      </c>
      <c r="B124" s="2">
        <v>6.5024538492302995</v>
      </c>
      <c r="C124" s="2">
        <v>-0.22191884923029903</v>
      </c>
    </row>
    <row r="125" spans="1:3" x14ac:dyDescent="0.3">
      <c r="A125" s="2">
        <v>99</v>
      </c>
      <c r="B125" s="2">
        <v>6.383647091814094</v>
      </c>
      <c r="C125" s="2">
        <v>1.2965908185906372E-2</v>
      </c>
    </row>
    <row r="126" spans="1:3" x14ac:dyDescent="0.3">
      <c r="A126" s="2">
        <v>100</v>
      </c>
      <c r="B126" s="2">
        <v>6.4423076911194208</v>
      </c>
      <c r="C126" s="2">
        <v>7.8063088805793157E-3</v>
      </c>
    </row>
    <row r="127" spans="1:3" x14ac:dyDescent="0.3">
      <c r="A127" s="2">
        <v>101</v>
      </c>
      <c r="B127" s="2">
        <v>6.3231230792798296</v>
      </c>
      <c r="C127" s="2">
        <v>0.2045639207201706</v>
      </c>
    </row>
    <row r="128" spans="1:3" x14ac:dyDescent="0.3">
      <c r="A128" s="2">
        <v>102</v>
      </c>
      <c r="B128" s="2">
        <v>6.4265190989150787</v>
      </c>
      <c r="C128" s="2">
        <v>-2.7345098915078303E-2</v>
      </c>
    </row>
    <row r="129" spans="1:3" x14ac:dyDescent="0.3">
      <c r="A129" s="2">
        <v>103</v>
      </c>
      <c r="B129" s="2">
        <v>6.4603533976548384</v>
      </c>
      <c r="C129" s="2">
        <v>-9.8191397654838752E-2</v>
      </c>
    </row>
    <row r="130" spans="1:3" x14ac:dyDescent="0.3">
      <c r="A130" s="2">
        <v>104</v>
      </c>
      <c r="B130" s="2">
        <v>6.4033237216480803</v>
      </c>
      <c r="C130" s="2">
        <v>-0.18450372164808027</v>
      </c>
    </row>
    <row r="131" spans="1:3" x14ac:dyDescent="0.3">
      <c r="A131" s="2">
        <v>105</v>
      </c>
      <c r="B131" s="2">
        <v>6.4599532531552084</v>
      </c>
      <c r="C131" s="2">
        <v>-0.38095725315520834</v>
      </c>
    </row>
    <row r="132" spans="1:3" x14ac:dyDescent="0.3">
      <c r="A132" s="2">
        <v>106</v>
      </c>
      <c r="B132" s="2">
        <v>6.2670778205895799</v>
      </c>
      <c r="C132" s="2">
        <v>-0.10782482058958021</v>
      </c>
    </row>
    <row r="133" spans="1:3" x14ac:dyDescent="0.3">
      <c r="A133" s="2">
        <v>107</v>
      </c>
      <c r="B133" s="2">
        <v>6.2736697030442636</v>
      </c>
      <c r="C133" s="2">
        <v>-0.21474770304426372</v>
      </c>
    </row>
    <row r="134" spans="1:3" x14ac:dyDescent="0.3">
      <c r="A134" s="2">
        <v>108</v>
      </c>
      <c r="B134" s="2">
        <v>6.1172077291734084</v>
      </c>
      <c r="C134" s="2">
        <v>0.1867732708265919</v>
      </c>
    </row>
    <row r="135" spans="1:3" x14ac:dyDescent="0.3">
      <c r="A135" s="2">
        <v>109</v>
      </c>
      <c r="B135" s="2">
        <v>5.9476832397948574</v>
      </c>
      <c r="C135" s="2">
        <v>0.23708076020514302</v>
      </c>
    </row>
    <row r="136" spans="1:3" x14ac:dyDescent="0.3">
      <c r="A136" s="2">
        <v>110</v>
      </c>
      <c r="B136" s="2">
        <v>6.1076584545253949</v>
      </c>
      <c r="C136" s="2">
        <v>-0.12186645452539491</v>
      </c>
    </row>
    <row r="137" spans="1:3" x14ac:dyDescent="0.3">
      <c r="A137" s="2">
        <v>111</v>
      </c>
      <c r="B137" s="2">
        <v>5.9768218644810229</v>
      </c>
      <c r="C137" s="2">
        <v>-0.34735586448102307</v>
      </c>
    </row>
    <row r="138" spans="1:3" x14ac:dyDescent="0.3">
      <c r="A138" s="2">
        <v>112</v>
      </c>
      <c r="B138" s="2">
        <v>6.1965935426387251</v>
      </c>
      <c r="C138" s="2">
        <v>-0.92788154263872524</v>
      </c>
    </row>
    <row r="139" spans="1:3" x14ac:dyDescent="0.3">
      <c r="A139" s="2">
        <v>113</v>
      </c>
      <c r="B139" s="2">
        <v>6.1376481913983341</v>
      </c>
      <c r="C139" s="2">
        <v>-0.97321519139833423</v>
      </c>
    </row>
    <row r="140" spans="1:3" x14ac:dyDescent="0.3">
      <c r="A140" s="2">
        <v>114</v>
      </c>
      <c r="B140" s="2">
        <v>5.969674900487167</v>
      </c>
      <c r="C140" s="2">
        <v>-0.9370109004871674</v>
      </c>
    </row>
    <row r="141" spans="1:3" x14ac:dyDescent="0.3">
      <c r="A141" s="2">
        <v>115</v>
      </c>
      <c r="B141" s="2">
        <v>5.7132094899911845</v>
      </c>
      <c r="C141" s="2">
        <v>-0.54226048999118426</v>
      </c>
    </row>
    <row r="142" spans="1:3" x14ac:dyDescent="0.3">
      <c r="A142" s="2">
        <v>116</v>
      </c>
      <c r="B142" s="2">
        <v>5.4891742065908709</v>
      </c>
      <c r="C142" s="2">
        <v>-0.52757620659087046</v>
      </c>
    </row>
    <row r="143" spans="1:3" x14ac:dyDescent="0.3">
      <c r="A143" s="2">
        <v>117</v>
      </c>
      <c r="B143" s="2">
        <v>5.4192844676167624</v>
      </c>
      <c r="C143" s="2">
        <v>-0.47464446761676271</v>
      </c>
    </row>
    <row r="144" spans="1:3" x14ac:dyDescent="0.3">
      <c r="A144" s="2">
        <v>118</v>
      </c>
      <c r="B144" s="2">
        <v>5.3261763109544091</v>
      </c>
      <c r="C144" s="2">
        <v>-0.34321531095440871</v>
      </c>
    </row>
    <row r="145" spans="1:3" ht="15" thickBot="1" x14ac:dyDescent="0.35">
      <c r="A145" s="3">
        <v>119</v>
      </c>
      <c r="B145" s="3">
        <v>5.4393029981844965</v>
      </c>
      <c r="C145" s="3">
        <v>-0.29110699818449604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64EC-E2E8-4830-973A-304E1513E5B1}">
  <dimension ref="A1:I146"/>
  <sheetViews>
    <sheetView workbookViewId="0">
      <selection sqref="A1:I146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0.78313953378663703</v>
      </c>
    </row>
    <row r="5" spans="1:9" x14ac:dyDescent="0.3">
      <c r="A5" s="2" t="s">
        <v>21</v>
      </c>
      <c r="B5" s="2">
        <v>0.61330752937955124</v>
      </c>
    </row>
    <row r="6" spans="1:9" x14ac:dyDescent="0.3">
      <c r="A6" s="2" t="s">
        <v>22</v>
      </c>
      <c r="B6" s="2">
        <v>0.59973937251567588</v>
      </c>
    </row>
    <row r="7" spans="1:9" x14ac:dyDescent="0.3">
      <c r="A7" s="2" t="s">
        <v>23</v>
      </c>
      <c r="B7" s="2">
        <v>0.86736793768652187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136.0266994949157</v>
      </c>
      <c r="D12" s="2">
        <v>34.006674873728926</v>
      </c>
      <c r="E12" s="2">
        <v>45.201978097147062</v>
      </c>
      <c r="F12" s="2">
        <v>1.0855447365893423E-22</v>
      </c>
    </row>
    <row r="13" spans="1:9" x14ac:dyDescent="0.3">
      <c r="A13" s="2" t="s">
        <v>27</v>
      </c>
      <c r="B13" s="2">
        <v>114</v>
      </c>
      <c r="C13" s="2">
        <v>85.765293883228978</v>
      </c>
      <c r="D13" s="2">
        <v>0.75232713932657003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221.7919933781447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47.123532907289793</v>
      </c>
      <c r="C17" s="2">
        <v>8.5273609298644395</v>
      </c>
      <c r="D17" s="2">
        <v>5.5261567201001451</v>
      </c>
      <c r="E17" s="2">
        <v>2.0971043956479968E-7</v>
      </c>
      <c r="F17" s="2">
        <v>30.230896583168075</v>
      </c>
      <c r="G17" s="2">
        <v>64.01616923141151</v>
      </c>
      <c r="H17" s="2">
        <v>30.230896583168075</v>
      </c>
      <c r="I17" s="2">
        <v>64.01616923141151</v>
      </c>
    </row>
    <row r="18" spans="1:9" x14ac:dyDescent="0.3">
      <c r="A18" s="2" t="s">
        <v>42</v>
      </c>
      <c r="B18" s="2">
        <v>0.68744745955220088</v>
      </c>
      <c r="C18" s="2">
        <v>6.3128769474476834E-2</v>
      </c>
      <c r="D18" s="2">
        <v>10.889606518152364</v>
      </c>
      <c r="E18" s="2">
        <v>2.3113173913672028E-19</v>
      </c>
      <c r="F18" s="2">
        <v>0.56238985344256875</v>
      </c>
      <c r="G18" s="2">
        <v>0.812505065661833</v>
      </c>
      <c r="H18" s="2">
        <v>0.56238985344256875</v>
      </c>
      <c r="I18" s="2">
        <v>0.812505065661833</v>
      </c>
    </row>
    <row r="19" spans="1:9" x14ac:dyDescent="0.3">
      <c r="A19" s="2" t="s">
        <v>43</v>
      </c>
      <c r="B19" s="2">
        <v>0.25341246559544572</v>
      </c>
      <c r="C19" s="2">
        <v>5.206860744641411E-2</v>
      </c>
      <c r="D19" s="2">
        <v>4.8668953909751211</v>
      </c>
      <c r="E19" s="2">
        <v>3.6727758582347189E-6</v>
      </c>
      <c r="F19" s="2">
        <v>0.1502649552777709</v>
      </c>
      <c r="G19" s="2">
        <v>0.35655997591312055</v>
      </c>
      <c r="H19" s="2">
        <v>0.1502649552777709</v>
      </c>
      <c r="I19" s="2">
        <v>0.35655997591312055</v>
      </c>
    </row>
    <row r="20" spans="1:9" x14ac:dyDescent="0.3">
      <c r="A20" s="2" t="s">
        <v>44</v>
      </c>
      <c r="B20" s="2">
        <v>-3.0632230928247801</v>
      </c>
      <c r="C20" s="2">
        <v>1.6959994449541935</v>
      </c>
      <c r="D20" s="2">
        <v>-1.8061462826171581</v>
      </c>
      <c r="E20" s="2">
        <v>7.3533920371517431E-2</v>
      </c>
      <c r="F20" s="2">
        <v>-6.4229849306503706</v>
      </c>
      <c r="G20" s="2">
        <v>0.29653874500081034</v>
      </c>
      <c r="H20" s="2">
        <v>-6.4229849306503706</v>
      </c>
      <c r="I20" s="2">
        <v>0.29653874500081034</v>
      </c>
    </row>
    <row r="21" spans="1:9" ht="15" thickBot="1" x14ac:dyDescent="0.35">
      <c r="A21" s="3" t="s">
        <v>61</v>
      </c>
      <c r="B21" s="3">
        <v>-41.969147976514122</v>
      </c>
      <c r="C21" s="3">
        <v>8.0434008953497518</v>
      </c>
      <c r="D21" s="3">
        <v>-5.2178361519663099</v>
      </c>
      <c r="E21" s="3">
        <v>8.2033628526367704E-7</v>
      </c>
      <c r="F21" s="3">
        <v>-57.903063199734113</v>
      </c>
      <c r="G21" s="3">
        <v>-26.035232753294132</v>
      </c>
      <c r="H21" s="3">
        <v>-57.903063199734113</v>
      </c>
      <c r="I21" s="3">
        <v>-26.035232753294132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7.537649362820261</v>
      </c>
      <c r="C28" s="2">
        <v>-0.97010736282026055</v>
      </c>
    </row>
    <row r="29" spans="1:9" x14ac:dyDescent="0.3">
      <c r="A29" s="2">
        <v>2</v>
      </c>
      <c r="B29" s="2">
        <v>7.5752890697195241</v>
      </c>
      <c r="C29" s="2">
        <v>-0.89781806971952438</v>
      </c>
    </row>
    <row r="30" spans="1:9" x14ac:dyDescent="0.3">
      <c r="A30" s="2">
        <v>3</v>
      </c>
      <c r="B30" s="2">
        <v>7.1017288095709645</v>
      </c>
      <c r="C30" s="2">
        <v>0.40811519042903566</v>
      </c>
    </row>
    <row r="31" spans="1:9" x14ac:dyDescent="0.3">
      <c r="A31" s="2">
        <v>4</v>
      </c>
      <c r="B31" s="2">
        <v>6.8950559400468592</v>
      </c>
      <c r="C31" s="2">
        <v>0.73000605995314061</v>
      </c>
    </row>
    <row r="32" spans="1:9" x14ac:dyDescent="0.3">
      <c r="A32" s="2">
        <v>5</v>
      </c>
      <c r="B32" s="2">
        <v>6.9649320034608593</v>
      </c>
      <c r="C32" s="2">
        <v>0.798667996539141</v>
      </c>
    </row>
    <row r="33" spans="1:3" x14ac:dyDescent="0.3">
      <c r="A33" s="2">
        <v>6</v>
      </c>
      <c r="B33" s="2">
        <v>6.8357319614137566</v>
      </c>
      <c r="C33" s="2">
        <v>1.2194020385862441</v>
      </c>
    </row>
    <row r="34" spans="1:3" x14ac:dyDescent="0.3">
      <c r="A34" s="2">
        <v>7</v>
      </c>
      <c r="B34" s="2">
        <v>7.4728372445872608</v>
      </c>
      <c r="C34" s="2">
        <v>1.8683755412738812E-2</v>
      </c>
    </row>
    <row r="35" spans="1:3" x14ac:dyDescent="0.3">
      <c r="A35" s="2">
        <v>8</v>
      </c>
      <c r="B35" s="2">
        <v>7.5747616288748887</v>
      </c>
      <c r="C35" s="2">
        <v>-0.3589276288748886</v>
      </c>
    </row>
    <row r="36" spans="1:3" x14ac:dyDescent="0.3">
      <c r="A36" s="2">
        <v>9</v>
      </c>
      <c r="B36" s="2">
        <v>7.5107948348553961</v>
      </c>
      <c r="C36" s="2">
        <v>-0.64972283485539606</v>
      </c>
    </row>
    <row r="37" spans="1:3" x14ac:dyDescent="0.3">
      <c r="A37" s="2">
        <v>10</v>
      </c>
      <c r="B37" s="2">
        <v>8.0093276299442451</v>
      </c>
      <c r="C37" s="2">
        <v>-1.9010076299442451</v>
      </c>
    </row>
    <row r="38" spans="1:3" x14ac:dyDescent="0.3">
      <c r="A38" s="2">
        <v>11</v>
      </c>
      <c r="B38" s="2">
        <v>7.1804559693508878</v>
      </c>
      <c r="C38" s="2">
        <v>-1.4451249693508874</v>
      </c>
    </row>
    <row r="39" spans="1:3" x14ac:dyDescent="0.3">
      <c r="A39" s="2">
        <v>12</v>
      </c>
      <c r="B39" s="2">
        <v>6.5826540741850934</v>
      </c>
      <c r="C39" s="2">
        <v>-1.4708290741850938</v>
      </c>
    </row>
    <row r="40" spans="1:3" x14ac:dyDescent="0.3">
      <c r="A40" s="2">
        <v>13</v>
      </c>
      <c r="B40" s="2">
        <v>6.6455904103095165</v>
      </c>
      <c r="C40" s="2">
        <v>-1.9756124103095161</v>
      </c>
    </row>
    <row r="41" spans="1:3" x14ac:dyDescent="0.3">
      <c r="A41" s="2">
        <v>14</v>
      </c>
      <c r="B41" s="2">
        <v>6.3033686976626697</v>
      </c>
      <c r="C41" s="2">
        <v>-1.5190346976626694</v>
      </c>
    </row>
    <row r="42" spans="1:3" x14ac:dyDescent="0.3">
      <c r="A42" s="2">
        <v>15</v>
      </c>
      <c r="B42" s="2">
        <v>6.4152550933367536</v>
      </c>
      <c r="C42" s="2">
        <v>-1.2429680933367537</v>
      </c>
    </row>
    <row r="43" spans="1:3" x14ac:dyDescent="0.3">
      <c r="A43" s="2">
        <v>16</v>
      </c>
      <c r="B43" s="2">
        <v>6.1984505403644192</v>
      </c>
      <c r="C43" s="2">
        <v>-0.4508155403644194</v>
      </c>
    </row>
    <row r="44" spans="1:3" x14ac:dyDescent="0.3">
      <c r="A44" s="2">
        <v>17</v>
      </c>
      <c r="B44" s="2">
        <v>5.9362827116531349</v>
      </c>
      <c r="C44" s="2">
        <v>0.39488128834686531</v>
      </c>
    </row>
    <row r="45" spans="1:3" x14ac:dyDescent="0.3">
      <c r="A45" s="2">
        <v>18</v>
      </c>
      <c r="B45" s="2">
        <v>5.9784447489129349</v>
      </c>
      <c r="C45" s="2">
        <v>0.55724725108706519</v>
      </c>
    </row>
    <row r="46" spans="1:3" x14ac:dyDescent="0.3">
      <c r="A46" s="2">
        <v>19</v>
      </c>
      <c r="B46" s="2">
        <v>6.1139984851581772</v>
      </c>
      <c r="C46" s="2">
        <v>0.61327251484182277</v>
      </c>
    </row>
    <row r="47" spans="1:3" x14ac:dyDescent="0.3">
      <c r="A47" s="2">
        <v>20</v>
      </c>
      <c r="B47" s="2">
        <v>6.5830311792154035</v>
      </c>
      <c r="C47" s="2">
        <v>0.7428238207845963</v>
      </c>
    </row>
    <row r="48" spans="1:3" x14ac:dyDescent="0.3">
      <c r="A48" s="2">
        <v>21</v>
      </c>
      <c r="B48" s="2">
        <v>6.7829831116938948</v>
      </c>
      <c r="C48" s="2">
        <v>0.85578688830610528</v>
      </c>
    </row>
    <row r="49" spans="1:3" x14ac:dyDescent="0.3">
      <c r="A49" s="2">
        <v>22</v>
      </c>
      <c r="B49" s="2">
        <v>6.8163945739759697</v>
      </c>
      <c r="C49" s="2">
        <v>1.29138342602403</v>
      </c>
    </row>
    <row r="50" spans="1:3" x14ac:dyDescent="0.3">
      <c r="A50" s="2">
        <v>23</v>
      </c>
      <c r="B50" s="2">
        <v>6.7939291493658232</v>
      </c>
      <c r="C50" s="2">
        <v>1.5423828506341764</v>
      </c>
    </row>
    <row r="51" spans="1:3" x14ac:dyDescent="0.3">
      <c r="A51" s="2">
        <v>24</v>
      </c>
      <c r="B51" s="2">
        <v>7.0221909853525872</v>
      </c>
      <c r="C51" s="2">
        <v>1.440676014647412</v>
      </c>
    </row>
    <row r="52" spans="1:3" x14ac:dyDescent="0.3">
      <c r="A52" s="2">
        <v>25</v>
      </c>
      <c r="B52" s="2">
        <v>7.5201838556942064</v>
      </c>
      <c r="C52" s="2">
        <v>1.4678321443057936</v>
      </c>
    </row>
    <row r="53" spans="1:3" x14ac:dyDescent="0.3">
      <c r="A53" s="2">
        <v>26</v>
      </c>
      <c r="B53" s="2">
        <v>8.2269294229420922</v>
      </c>
      <c r="C53" s="2">
        <v>0.59525157705790832</v>
      </c>
    </row>
    <row r="54" spans="1:3" x14ac:dyDescent="0.3">
      <c r="A54" s="2">
        <v>27</v>
      </c>
      <c r="B54" s="2">
        <v>8.2917863995779584</v>
      </c>
      <c r="C54" s="2">
        <v>0.81124260042204099</v>
      </c>
    </row>
    <row r="55" spans="1:3" x14ac:dyDescent="0.3">
      <c r="A55" s="2">
        <v>28</v>
      </c>
      <c r="B55" s="2">
        <v>8.6575657496889988</v>
      </c>
      <c r="C55" s="2">
        <v>0.57009925031100117</v>
      </c>
    </row>
    <row r="56" spans="1:3" x14ac:dyDescent="0.3">
      <c r="A56" s="2">
        <v>29</v>
      </c>
      <c r="B56" s="2">
        <v>8.760360228570832</v>
      </c>
      <c r="C56" s="2">
        <v>0.5850677714291681</v>
      </c>
    </row>
    <row r="57" spans="1:3" x14ac:dyDescent="0.3">
      <c r="A57" s="2">
        <v>30</v>
      </c>
      <c r="B57" s="2">
        <v>8.2486994491394086</v>
      </c>
      <c r="C57" s="2">
        <v>1.5881645508605917</v>
      </c>
    </row>
    <row r="58" spans="1:3" x14ac:dyDescent="0.3">
      <c r="A58" s="2">
        <v>31</v>
      </c>
      <c r="B58" s="2">
        <v>8.5875519045447746</v>
      </c>
      <c r="C58" s="2">
        <v>1.1664170954552251</v>
      </c>
    </row>
    <row r="59" spans="1:3" x14ac:dyDescent="0.3">
      <c r="A59" s="2">
        <v>32</v>
      </c>
      <c r="B59" s="2">
        <v>8.6114150045491726</v>
      </c>
      <c r="C59" s="2">
        <v>0.82723099545082768</v>
      </c>
    </row>
    <row r="60" spans="1:3" x14ac:dyDescent="0.3">
      <c r="A60" s="2">
        <v>33</v>
      </c>
      <c r="B60" s="2">
        <v>8.5667713637271632</v>
      </c>
      <c r="C60" s="2">
        <v>-3.8063363727163235E-2</v>
      </c>
    </row>
    <row r="61" spans="1:3" x14ac:dyDescent="0.3">
      <c r="A61" s="2">
        <v>34</v>
      </c>
      <c r="B61" s="2">
        <v>9.0269105950171067</v>
      </c>
      <c r="C61" s="2">
        <v>-1.1502425950171071</v>
      </c>
    </row>
    <row r="62" spans="1:3" x14ac:dyDescent="0.3">
      <c r="A62" s="2">
        <v>35</v>
      </c>
      <c r="B62" s="2">
        <v>8.9311113413392675</v>
      </c>
      <c r="C62" s="2">
        <v>-1.4608073413392679</v>
      </c>
    </row>
    <row r="63" spans="1:3" x14ac:dyDescent="0.3">
      <c r="A63" s="2">
        <v>36</v>
      </c>
      <c r="B63" s="2">
        <v>8.4442656507352893</v>
      </c>
      <c r="C63" s="2">
        <v>-1.4338766507352894</v>
      </c>
    </row>
    <row r="64" spans="1:3" x14ac:dyDescent="0.3">
      <c r="A64" s="2">
        <v>37</v>
      </c>
      <c r="B64" s="2">
        <v>8.1006181519254881</v>
      </c>
      <c r="C64" s="2">
        <v>-0.69474015192548766</v>
      </c>
    </row>
    <row r="65" spans="1:3" x14ac:dyDescent="0.3">
      <c r="A65" s="2">
        <v>38</v>
      </c>
      <c r="B65" s="2">
        <v>8.061865244902215</v>
      </c>
      <c r="C65" s="2">
        <v>-0.26468524490221501</v>
      </c>
    </row>
    <row r="66" spans="1:3" x14ac:dyDescent="0.3">
      <c r="A66" s="2">
        <v>39</v>
      </c>
      <c r="B66" s="2">
        <v>7.8226076885643039</v>
      </c>
      <c r="C66" s="2">
        <v>0.45369631143569578</v>
      </c>
    </row>
    <row r="67" spans="1:3" x14ac:dyDescent="0.3">
      <c r="A67" s="2">
        <v>40</v>
      </c>
      <c r="B67" s="2">
        <v>7.6813535492404199</v>
      </c>
      <c r="C67" s="2">
        <v>1.0590844507595794</v>
      </c>
    </row>
    <row r="68" spans="1:3" x14ac:dyDescent="0.3">
      <c r="A68" s="2">
        <v>41</v>
      </c>
      <c r="B68" s="2">
        <v>7.9263594849458556</v>
      </c>
      <c r="C68" s="2">
        <v>1.082604515054145</v>
      </c>
    </row>
    <row r="69" spans="1:3" x14ac:dyDescent="0.3">
      <c r="A69" s="2">
        <v>42</v>
      </c>
      <c r="B69" s="2">
        <v>8.0308509470954021</v>
      </c>
      <c r="C69" s="2">
        <v>0.98581405290459756</v>
      </c>
    </row>
    <row r="70" spans="1:3" x14ac:dyDescent="0.3">
      <c r="A70" s="2">
        <v>43</v>
      </c>
      <c r="B70" s="2">
        <v>8.229345713365106</v>
      </c>
      <c r="C70" s="2">
        <v>0.41111628663489341</v>
      </c>
    </row>
    <row r="71" spans="1:3" x14ac:dyDescent="0.3">
      <c r="A71" s="2">
        <v>44</v>
      </c>
      <c r="B71" s="2">
        <v>8.4134922590808046</v>
      </c>
      <c r="C71" s="2">
        <v>7.2975740919195786E-2</v>
      </c>
    </row>
    <row r="72" spans="1:3" x14ac:dyDescent="0.3">
      <c r="A72" s="2">
        <v>45</v>
      </c>
      <c r="B72" s="2">
        <v>8.7062894284089367</v>
      </c>
      <c r="C72" s="2">
        <v>-0.44818442840893624</v>
      </c>
    </row>
    <row r="73" spans="1:3" x14ac:dyDescent="0.3">
      <c r="A73" s="2">
        <v>46</v>
      </c>
      <c r="B73" s="2">
        <v>8.7576154466442588</v>
      </c>
      <c r="C73" s="2">
        <v>-0.96335544664425843</v>
      </c>
    </row>
    <row r="74" spans="1:3" x14ac:dyDescent="0.3">
      <c r="A74" s="2">
        <v>47</v>
      </c>
      <c r="B74" s="2">
        <v>8.5387087766735377</v>
      </c>
      <c r="C74" s="2">
        <v>-1.0124687766735381</v>
      </c>
    </row>
    <row r="75" spans="1:3" x14ac:dyDescent="0.3">
      <c r="A75" s="2">
        <v>48</v>
      </c>
      <c r="B75" s="2">
        <v>8.4357244592631133</v>
      </c>
      <c r="C75" s="2">
        <v>-1.3210934592631132</v>
      </c>
    </row>
    <row r="76" spans="1:3" x14ac:dyDescent="0.3">
      <c r="A76" s="2">
        <v>49</v>
      </c>
      <c r="B76" s="2">
        <v>8.0138191123828477</v>
      </c>
      <c r="C76" s="2">
        <v>-1.0328911123828481</v>
      </c>
    </row>
    <row r="77" spans="1:3" x14ac:dyDescent="0.3">
      <c r="A77" s="2">
        <v>50</v>
      </c>
      <c r="B77" s="2">
        <v>7.5282822789802708</v>
      </c>
      <c r="C77" s="2">
        <v>-3.3439278980270437E-2</v>
      </c>
    </row>
    <row r="78" spans="1:3" x14ac:dyDescent="0.3">
      <c r="A78" s="2">
        <v>51</v>
      </c>
      <c r="B78" s="2">
        <v>7.1345126078337842</v>
      </c>
      <c r="C78" s="2">
        <v>0.72163739216621625</v>
      </c>
    </row>
    <row r="79" spans="1:3" x14ac:dyDescent="0.3">
      <c r="A79" s="2">
        <v>52</v>
      </c>
      <c r="B79" s="2">
        <v>6.7181039638458415</v>
      </c>
      <c r="C79" s="2">
        <v>1.6261550361541577</v>
      </c>
    </row>
    <row r="80" spans="1:3" x14ac:dyDescent="0.3">
      <c r="A80" s="2">
        <v>53</v>
      </c>
      <c r="B80" s="2">
        <v>6.631601035793345</v>
      </c>
      <c r="C80" s="2">
        <v>2.0170279642066546</v>
      </c>
    </row>
    <row r="81" spans="1:3" x14ac:dyDescent="0.3">
      <c r="A81" s="2">
        <v>54</v>
      </c>
      <c r="B81" s="2">
        <v>7.1976955037907686</v>
      </c>
      <c r="C81" s="2">
        <v>1.5242854962092309</v>
      </c>
    </row>
    <row r="82" spans="1:3" x14ac:dyDescent="0.3">
      <c r="A82" s="2">
        <v>55</v>
      </c>
      <c r="B82" s="2">
        <v>7.6699170073728453</v>
      </c>
      <c r="C82" s="2">
        <v>1.4189119926271552</v>
      </c>
    </row>
    <row r="83" spans="1:3" x14ac:dyDescent="0.3">
      <c r="A83" s="2">
        <v>56</v>
      </c>
      <c r="B83" s="2">
        <v>8.3067545149480324</v>
      </c>
      <c r="C83" s="2">
        <v>0.887153485051968</v>
      </c>
    </row>
    <row r="84" spans="1:3" x14ac:dyDescent="0.3">
      <c r="A84" s="2">
        <v>57</v>
      </c>
      <c r="B84" s="2">
        <v>8.8854698516851229</v>
      </c>
      <c r="C84" s="2">
        <v>0.42414514831487793</v>
      </c>
    </row>
    <row r="85" spans="1:3" x14ac:dyDescent="0.3">
      <c r="A85" s="2">
        <v>58</v>
      </c>
      <c r="B85" s="2">
        <v>8.9246810233859861</v>
      </c>
      <c r="C85" s="2">
        <v>0.41456297661401464</v>
      </c>
    </row>
    <row r="86" spans="1:3" x14ac:dyDescent="0.3">
      <c r="A86" s="2">
        <v>59</v>
      </c>
      <c r="B86" s="2">
        <v>8.9017717871372923</v>
      </c>
      <c r="C86" s="2">
        <v>0.4622702128627072</v>
      </c>
    </row>
    <row r="87" spans="1:3" x14ac:dyDescent="0.3">
      <c r="A87" s="2">
        <v>60</v>
      </c>
      <c r="B87" s="2">
        <v>8.6688435571800255</v>
      </c>
      <c r="C87" s="2">
        <v>0.68825744281997459</v>
      </c>
    </row>
    <row r="88" spans="1:3" x14ac:dyDescent="0.3">
      <c r="A88" s="2">
        <v>61</v>
      </c>
      <c r="B88" s="2">
        <v>8.4273924762717627</v>
      </c>
      <c r="C88" s="2">
        <v>0.8176165237282369</v>
      </c>
    </row>
    <row r="89" spans="1:3" x14ac:dyDescent="0.3">
      <c r="A89" s="2">
        <v>62</v>
      </c>
      <c r="B89" s="2">
        <v>8.7847180079529394</v>
      </c>
      <c r="C89" s="2">
        <v>0.34989399204706118</v>
      </c>
    </row>
    <row r="90" spans="1:3" x14ac:dyDescent="0.3">
      <c r="A90" s="2">
        <v>63</v>
      </c>
      <c r="B90" s="2">
        <v>8.8342859966416611</v>
      </c>
      <c r="C90" s="2">
        <v>6.4779003358339082E-2</v>
      </c>
    </row>
    <row r="91" spans="1:3" x14ac:dyDescent="0.3">
      <c r="A91" s="2">
        <v>64</v>
      </c>
      <c r="B91" s="2">
        <v>8.896929331497347</v>
      </c>
      <c r="C91" s="2">
        <v>-0.13681533149734726</v>
      </c>
    </row>
    <row r="92" spans="1:3" x14ac:dyDescent="0.3">
      <c r="A92" s="2">
        <v>65</v>
      </c>
      <c r="B92" s="2">
        <v>8.7722266742030399</v>
      </c>
      <c r="C92" s="2">
        <v>-4.6493674203039959E-2</v>
      </c>
    </row>
    <row r="93" spans="1:3" x14ac:dyDescent="0.3">
      <c r="A93" s="2">
        <v>66</v>
      </c>
      <c r="B93" s="2">
        <v>8.4223687109808409</v>
      </c>
      <c r="C93" s="2">
        <v>0.42858528901915882</v>
      </c>
    </row>
    <row r="94" spans="1:3" x14ac:dyDescent="0.3">
      <c r="A94" s="2">
        <v>67</v>
      </c>
      <c r="B94" s="2">
        <v>8.1920597625668208</v>
      </c>
      <c r="C94" s="2">
        <v>0.29621323743317873</v>
      </c>
    </row>
    <row r="95" spans="1:3" x14ac:dyDescent="0.3">
      <c r="A95" s="2">
        <v>68</v>
      </c>
      <c r="B95" s="2">
        <v>7.7260154662727416</v>
      </c>
      <c r="C95" s="2">
        <v>0.41611953372725807</v>
      </c>
    </row>
    <row r="96" spans="1:3" x14ac:dyDescent="0.3">
      <c r="A96" s="2">
        <v>69</v>
      </c>
      <c r="B96" s="2">
        <v>7.8605186549638972</v>
      </c>
      <c r="C96" s="2">
        <v>-0.24921865496389728</v>
      </c>
    </row>
    <row r="97" spans="1:3" x14ac:dyDescent="0.3">
      <c r="A97" s="2">
        <v>70</v>
      </c>
      <c r="B97" s="2">
        <v>7.91744787695513</v>
      </c>
      <c r="C97" s="2">
        <v>-1.1185858769551302</v>
      </c>
    </row>
    <row r="98" spans="1:3" x14ac:dyDescent="0.3">
      <c r="A98" s="2">
        <v>71</v>
      </c>
      <c r="B98" s="2">
        <v>7.3029788236051161</v>
      </c>
      <c r="C98" s="2">
        <v>-1.0066978236051165</v>
      </c>
    </row>
    <row r="99" spans="1:3" x14ac:dyDescent="0.3">
      <c r="A99" s="2">
        <v>72</v>
      </c>
      <c r="B99" s="2">
        <v>7.1903344090084786</v>
      </c>
      <c r="C99" s="2">
        <v>-0.97046840900847897</v>
      </c>
    </row>
    <row r="100" spans="1:3" x14ac:dyDescent="0.3">
      <c r="A100" s="2">
        <v>73</v>
      </c>
      <c r="B100" s="2">
        <v>6.8787664095477226</v>
      </c>
      <c r="C100" s="2">
        <v>-0.8649314095477223</v>
      </c>
    </row>
    <row r="101" spans="1:3" x14ac:dyDescent="0.3">
      <c r="A101" s="2">
        <v>74</v>
      </c>
      <c r="B101" s="2">
        <v>6.3862188596794311</v>
      </c>
      <c r="C101" s="2">
        <v>-0.51648485967943092</v>
      </c>
    </row>
    <row r="102" spans="1:3" x14ac:dyDescent="0.3">
      <c r="A102" s="2">
        <v>75</v>
      </c>
      <c r="B102" s="2">
        <v>6.28357735899435</v>
      </c>
      <c r="C102" s="2">
        <v>-0.40855835899435</v>
      </c>
    </row>
    <row r="103" spans="1:3" x14ac:dyDescent="0.3">
      <c r="A103" s="2">
        <v>76</v>
      </c>
      <c r="B103" s="2">
        <v>6.7821881451834685</v>
      </c>
      <c r="C103" s="2">
        <v>-1.1267871451834681</v>
      </c>
    </row>
    <row r="104" spans="1:3" x14ac:dyDescent="0.3">
      <c r="A104" s="2">
        <v>77</v>
      </c>
      <c r="B104" s="2">
        <v>6.4076141184900948</v>
      </c>
      <c r="C104" s="2">
        <v>-0.79549111849009435</v>
      </c>
    </row>
    <row r="105" spans="1:3" x14ac:dyDescent="0.3">
      <c r="A105" s="2">
        <v>78</v>
      </c>
      <c r="B105" s="2">
        <v>6.2443626464043263</v>
      </c>
      <c r="C105" s="2">
        <v>-0.57773064640432636</v>
      </c>
    </row>
    <row r="106" spans="1:3" x14ac:dyDescent="0.3">
      <c r="A106" s="2">
        <v>79</v>
      </c>
      <c r="B106" s="2">
        <v>6.2997585415770274</v>
      </c>
      <c r="C106" s="2">
        <v>-0.72118054157702716</v>
      </c>
    </row>
    <row r="107" spans="1:3" x14ac:dyDescent="0.3">
      <c r="A107" s="2">
        <v>80</v>
      </c>
      <c r="B107" s="2">
        <v>5.2758244489901216</v>
      </c>
      <c r="C107" s="2">
        <v>0.3692435510098786</v>
      </c>
    </row>
    <row r="108" spans="1:3" x14ac:dyDescent="0.3">
      <c r="A108" s="2">
        <v>81</v>
      </c>
      <c r="B108" s="2">
        <v>5.0610405138764278</v>
      </c>
      <c r="C108" s="2">
        <v>0.63767948612357195</v>
      </c>
    </row>
    <row r="109" spans="1:3" x14ac:dyDescent="0.3">
      <c r="A109" s="2">
        <v>82</v>
      </c>
      <c r="B109" s="2">
        <v>5.0301051129431897</v>
      </c>
      <c r="C109" s="2">
        <v>0.70750288705681008</v>
      </c>
    </row>
    <row r="110" spans="1:3" x14ac:dyDescent="0.3">
      <c r="A110" s="2">
        <v>83</v>
      </c>
      <c r="B110" s="2">
        <v>4.5585580644940364</v>
      </c>
      <c r="C110" s="2">
        <v>1.3530219355059634</v>
      </c>
    </row>
    <row r="111" spans="1:3" x14ac:dyDescent="0.3">
      <c r="A111" s="2">
        <v>84</v>
      </c>
      <c r="B111" s="2">
        <v>5.9913541709938087</v>
      </c>
      <c r="C111" s="2">
        <v>0.128744829006191</v>
      </c>
    </row>
    <row r="112" spans="1:3" x14ac:dyDescent="0.3">
      <c r="A112" s="2">
        <v>85</v>
      </c>
      <c r="B112" s="2">
        <v>6.705838659991187</v>
      </c>
      <c r="C112" s="2">
        <v>-0.28263965999118668</v>
      </c>
    </row>
    <row r="113" spans="1:3" x14ac:dyDescent="0.3">
      <c r="A113" s="2">
        <v>86</v>
      </c>
      <c r="B113" s="2">
        <v>7.363424132145667</v>
      </c>
      <c r="C113" s="2">
        <v>-0.58117913214566741</v>
      </c>
    </row>
    <row r="114" spans="1:3" x14ac:dyDescent="0.3">
      <c r="A114" s="2">
        <v>87</v>
      </c>
      <c r="B114" s="2">
        <v>7.8058991642135211</v>
      </c>
      <c r="C114" s="2">
        <v>-0.61529116421352104</v>
      </c>
    </row>
    <row r="115" spans="1:3" x14ac:dyDescent="0.3">
      <c r="A115" s="2">
        <v>88</v>
      </c>
      <c r="B115" s="2">
        <v>6.6705093944193337</v>
      </c>
      <c r="C115" s="2">
        <v>0.62153560558066623</v>
      </c>
    </row>
    <row r="116" spans="1:3" x14ac:dyDescent="0.3">
      <c r="A116" s="2">
        <v>89</v>
      </c>
      <c r="B116" s="2">
        <v>6.6167776921979637</v>
      </c>
      <c r="C116" s="2">
        <v>0.81586230780203639</v>
      </c>
    </row>
    <row r="117" spans="1:3" x14ac:dyDescent="0.3">
      <c r="A117" s="2">
        <v>90</v>
      </c>
      <c r="B117" s="2">
        <v>6.9635035915517776</v>
      </c>
      <c r="C117" s="2">
        <v>0.51826640844822247</v>
      </c>
    </row>
    <row r="118" spans="1:3" x14ac:dyDescent="0.3">
      <c r="A118" s="2">
        <v>91</v>
      </c>
      <c r="B118" s="2">
        <v>7.3863516016754929</v>
      </c>
      <c r="C118" s="2">
        <v>6.5553983245072445E-3</v>
      </c>
    </row>
    <row r="119" spans="1:3" x14ac:dyDescent="0.3">
      <c r="A119" s="2">
        <v>92</v>
      </c>
      <c r="B119" s="2">
        <v>7.4711863569661574</v>
      </c>
      <c r="C119" s="2">
        <v>-0.31417435696615748</v>
      </c>
    </row>
    <row r="120" spans="1:3" x14ac:dyDescent="0.3">
      <c r="A120" s="2">
        <v>93</v>
      </c>
      <c r="B120" s="2">
        <v>7.2699259881740801</v>
      </c>
      <c r="C120" s="2">
        <v>-0.34138498817408003</v>
      </c>
    </row>
    <row r="121" spans="1:3" x14ac:dyDescent="0.3">
      <c r="A121" s="2">
        <v>94</v>
      </c>
      <c r="B121" s="2">
        <v>6.6972888147817216</v>
      </c>
      <c r="C121" s="2">
        <v>-5.2487814781721376E-2</v>
      </c>
    </row>
    <row r="122" spans="1:3" x14ac:dyDescent="0.3">
      <c r="A122" s="2">
        <v>95</v>
      </c>
      <c r="B122" s="2">
        <v>6.2521508292741785</v>
      </c>
      <c r="C122" s="2">
        <v>0.13532017072582114</v>
      </c>
    </row>
    <row r="123" spans="1:3" x14ac:dyDescent="0.3">
      <c r="A123" s="2">
        <v>96</v>
      </c>
      <c r="B123" s="2">
        <v>6.1243626180815411</v>
      </c>
      <c r="C123" s="2">
        <v>0.22961438191845929</v>
      </c>
    </row>
    <row r="124" spans="1:3" x14ac:dyDescent="0.3">
      <c r="A124" s="2">
        <v>97</v>
      </c>
      <c r="B124" s="2">
        <v>6.2529437469925</v>
      </c>
      <c r="C124" s="2">
        <v>-1.0492746992500024E-2</v>
      </c>
    </row>
    <row r="125" spans="1:3" x14ac:dyDescent="0.3">
      <c r="A125" s="2">
        <v>98</v>
      </c>
      <c r="B125" s="2">
        <v>6.2565543531976715</v>
      </c>
      <c r="C125" s="2">
        <v>2.398064680232892E-2</v>
      </c>
    </row>
    <row r="126" spans="1:3" x14ac:dyDescent="0.3">
      <c r="A126" s="2">
        <v>99</v>
      </c>
      <c r="B126" s="2">
        <v>6.2445000299570808</v>
      </c>
      <c r="C126" s="2">
        <v>0.15211297004291957</v>
      </c>
    </row>
    <row r="127" spans="1:3" x14ac:dyDescent="0.3">
      <c r="A127" s="2">
        <v>100</v>
      </c>
      <c r="B127" s="2">
        <v>6.2707510461347979</v>
      </c>
      <c r="C127" s="2">
        <v>0.17936295386520218</v>
      </c>
    </row>
    <row r="128" spans="1:3" x14ac:dyDescent="0.3">
      <c r="A128" s="2">
        <v>101</v>
      </c>
      <c r="B128" s="2">
        <v>6.2319710796801573</v>
      </c>
      <c r="C128" s="2">
        <v>0.29571592031984295</v>
      </c>
    </row>
    <row r="129" spans="1:3" x14ac:dyDescent="0.3">
      <c r="A129" s="2">
        <v>102</v>
      </c>
      <c r="B129" s="2">
        <v>6.5214658393115243</v>
      </c>
      <c r="C129" s="2">
        <v>-0.12229183931152399</v>
      </c>
    </row>
    <row r="130" spans="1:3" x14ac:dyDescent="0.3">
      <c r="A130" s="2">
        <v>103</v>
      </c>
      <c r="B130" s="2">
        <v>6.5808665594185243</v>
      </c>
      <c r="C130" s="2">
        <v>-0.21870455941852462</v>
      </c>
    </row>
    <row r="131" spans="1:3" x14ac:dyDescent="0.3">
      <c r="A131" s="2">
        <v>104</v>
      </c>
      <c r="B131" s="2">
        <v>6.5950151323842547</v>
      </c>
      <c r="C131" s="2">
        <v>-0.37619513238425473</v>
      </c>
    </row>
    <row r="132" spans="1:3" x14ac:dyDescent="0.3">
      <c r="A132" s="2">
        <v>105</v>
      </c>
      <c r="B132" s="2">
        <v>6.5596594702839397</v>
      </c>
      <c r="C132" s="2">
        <v>-0.48066347028393963</v>
      </c>
    </row>
    <row r="133" spans="1:3" x14ac:dyDescent="0.3">
      <c r="A133" s="2">
        <v>106</v>
      </c>
      <c r="B133" s="2">
        <v>6.0172342406311401</v>
      </c>
      <c r="C133" s="2">
        <v>0.14201875936885955</v>
      </c>
    </row>
    <row r="134" spans="1:3" x14ac:dyDescent="0.3">
      <c r="A134" s="2">
        <v>107</v>
      </c>
      <c r="B134" s="2">
        <v>6.1499518126857069</v>
      </c>
      <c r="C134" s="2">
        <v>-9.1029812685706979E-2</v>
      </c>
    </row>
    <row r="135" spans="1:3" x14ac:dyDescent="0.3">
      <c r="A135" s="2">
        <v>108</v>
      </c>
      <c r="B135" s="2">
        <v>6.1981801383327948</v>
      </c>
      <c r="C135" s="2">
        <v>0.10580086166720548</v>
      </c>
    </row>
    <row r="136" spans="1:3" x14ac:dyDescent="0.3">
      <c r="A136" s="2">
        <v>109</v>
      </c>
      <c r="B136" s="2">
        <v>6.4854994526433956</v>
      </c>
      <c r="C136" s="2">
        <v>-0.30073545264339518</v>
      </c>
    </row>
    <row r="137" spans="1:3" x14ac:dyDescent="0.3">
      <c r="A137" s="2">
        <v>110</v>
      </c>
      <c r="B137" s="2">
        <v>6.6682112141938177</v>
      </c>
      <c r="C137" s="2">
        <v>-0.68241921419381768</v>
      </c>
    </row>
    <row r="138" spans="1:3" x14ac:dyDescent="0.3">
      <c r="A138" s="2">
        <v>111</v>
      </c>
      <c r="B138" s="2">
        <v>6.4613345351262197</v>
      </c>
      <c r="C138" s="2">
        <v>-0.83186853512621983</v>
      </c>
    </row>
    <row r="139" spans="1:3" x14ac:dyDescent="0.3">
      <c r="A139" s="2">
        <v>112</v>
      </c>
      <c r="B139" s="2">
        <v>6.5954345042155538</v>
      </c>
      <c r="C139" s="2">
        <v>-1.3267225042155539</v>
      </c>
    </row>
    <row r="140" spans="1:3" x14ac:dyDescent="0.3">
      <c r="A140" s="2">
        <v>113</v>
      </c>
      <c r="B140" s="2">
        <v>6.2704655981993653</v>
      </c>
      <c r="C140" s="2">
        <v>-1.1060325981993655</v>
      </c>
    </row>
    <row r="141" spans="1:3" x14ac:dyDescent="0.3">
      <c r="A141" s="2">
        <v>114</v>
      </c>
      <c r="B141" s="2">
        <v>6.0208849587463362</v>
      </c>
      <c r="C141" s="2">
        <v>-0.98822095874633664</v>
      </c>
    </row>
    <row r="142" spans="1:3" x14ac:dyDescent="0.3">
      <c r="A142" s="2">
        <v>115</v>
      </c>
      <c r="B142" s="2">
        <v>5.7284456765435792</v>
      </c>
      <c r="C142" s="2">
        <v>-0.55749667654357893</v>
      </c>
    </row>
    <row r="143" spans="1:3" x14ac:dyDescent="0.3">
      <c r="A143" s="2">
        <v>116</v>
      </c>
      <c r="B143" s="2">
        <v>5.3384674535518357</v>
      </c>
      <c r="C143" s="2">
        <v>-0.37686945355183532</v>
      </c>
    </row>
    <row r="144" spans="1:3" x14ac:dyDescent="0.3">
      <c r="A144" s="2">
        <v>117</v>
      </c>
      <c r="B144" s="2">
        <v>4.987877817252496</v>
      </c>
      <c r="C144" s="2">
        <v>-4.3237817252496313E-2</v>
      </c>
    </row>
    <row r="145" spans="1:3" x14ac:dyDescent="0.3">
      <c r="A145" s="2">
        <v>118</v>
      </c>
      <c r="B145" s="2">
        <v>5.1665430290870944</v>
      </c>
      <c r="C145" s="2">
        <v>-0.18358202908709398</v>
      </c>
    </row>
    <row r="146" spans="1:3" ht="15" thickBot="1" x14ac:dyDescent="0.35">
      <c r="A146" s="3">
        <v>119</v>
      </c>
      <c r="B146" s="3">
        <v>5.2590963100620627</v>
      </c>
      <c r="C146" s="3">
        <v>-0.11090031006206225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BE0-1EBB-4FE9-B31E-F3AF4C4440EB}">
  <dimension ref="A1:P124"/>
  <sheetViews>
    <sheetView topLeftCell="B88" workbookViewId="0">
      <selection activeCell="P6" sqref="P6:P124"/>
    </sheetView>
  </sheetViews>
  <sheetFormatPr defaultRowHeight="14.4" x14ac:dyDescent="0.3"/>
  <cols>
    <col min="1" max="1" width="7.21875" bestFit="1" customWidth="1"/>
    <col min="2" max="2" width="7" bestFit="1" customWidth="1"/>
    <col min="3" max="3" width="6.33203125" bestFit="1" customWidth="1"/>
    <col min="4" max="4" width="6" bestFit="1" customWidth="1"/>
    <col min="5" max="5" width="7" bestFit="1" customWidth="1"/>
    <col min="6" max="6" width="9" bestFit="1" customWidth="1"/>
    <col min="7" max="8" width="12" bestFit="1" customWidth="1"/>
    <col min="14" max="14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s="1" t="s">
        <v>4</v>
      </c>
      <c r="O1" t="s">
        <v>17</v>
      </c>
      <c r="P1" t="s">
        <v>60</v>
      </c>
    </row>
    <row r="2" spans="1:16" x14ac:dyDescent="0.3">
      <c r="A2" t="s">
        <v>14</v>
      </c>
      <c r="B2">
        <v>1987.1</v>
      </c>
      <c r="C2">
        <v>3993</v>
      </c>
      <c r="D2">
        <v>13.41</v>
      </c>
      <c r="E2">
        <v>58838</v>
      </c>
      <c r="F2">
        <v>7.2896830000000001</v>
      </c>
      <c r="G2">
        <v>111.8</v>
      </c>
      <c r="H2">
        <v>7.1954098360655703</v>
      </c>
      <c r="L2">
        <v>7.2896830000000001</v>
      </c>
      <c r="N2">
        <v>7.1954098360655703</v>
      </c>
    </row>
    <row r="3" spans="1:16" x14ac:dyDescent="0.3">
      <c r="A3" t="s">
        <v>14</v>
      </c>
      <c r="B3">
        <v>1987.2</v>
      </c>
      <c r="C3">
        <v>949</v>
      </c>
      <c r="D3">
        <v>13.34</v>
      </c>
      <c r="E3">
        <v>59787</v>
      </c>
      <c r="F3">
        <v>7.2487120000000003</v>
      </c>
      <c r="G3">
        <v>113.066666666667</v>
      </c>
      <c r="H3">
        <v>8.3426984126984092</v>
      </c>
      <c r="L3">
        <v>7.2487120000000003</v>
      </c>
      <c r="N3">
        <v>8.3426984126984092</v>
      </c>
    </row>
    <row r="4" spans="1:16" x14ac:dyDescent="0.3">
      <c r="A4" t="s">
        <v>14</v>
      </c>
      <c r="B4">
        <v>1987.3</v>
      </c>
      <c r="C4">
        <v>1637</v>
      </c>
      <c r="D4">
        <v>13.36</v>
      </c>
      <c r="E4">
        <v>61424</v>
      </c>
      <c r="F4">
        <v>6.6185099999999997</v>
      </c>
      <c r="G4">
        <v>114.26666666666701</v>
      </c>
      <c r="H4">
        <v>8.8696874999999995</v>
      </c>
      <c r="L4">
        <v>6.6185099999999997</v>
      </c>
      <c r="N4">
        <v>8.8696874999999995</v>
      </c>
    </row>
    <row r="5" spans="1:16" x14ac:dyDescent="0.3">
      <c r="A5" t="s">
        <v>14</v>
      </c>
      <c r="B5">
        <v>1987.4</v>
      </c>
      <c r="C5">
        <v>2055</v>
      </c>
      <c r="D5">
        <v>13.38</v>
      </c>
      <c r="E5">
        <v>63479</v>
      </c>
      <c r="F5">
        <v>6.5050850000000002</v>
      </c>
      <c r="G5">
        <v>115.333333333333</v>
      </c>
      <c r="H5">
        <v>9.1290322580645196</v>
      </c>
      <c r="L5">
        <v>6.5050850000000002</v>
      </c>
      <c r="N5">
        <v>9.1290322580645196</v>
      </c>
    </row>
    <row r="6" spans="1:16" x14ac:dyDescent="0.3">
      <c r="A6" t="s">
        <v>14</v>
      </c>
      <c r="B6">
        <v>1988.1</v>
      </c>
      <c r="C6">
        <v>225</v>
      </c>
      <c r="D6">
        <v>13.55</v>
      </c>
      <c r="E6">
        <v>63704</v>
      </c>
      <c r="F6">
        <v>6.5675420000000004</v>
      </c>
      <c r="G6">
        <v>116.23333333333299</v>
      </c>
      <c r="H6">
        <v>8.4109677419354902</v>
      </c>
      <c r="L6">
        <v>6.5675420000000004</v>
      </c>
      <c r="M6">
        <f>F2</f>
        <v>7.2896830000000001</v>
      </c>
      <c r="N6">
        <v>8.4109677419354902</v>
      </c>
      <c r="O6">
        <f>D6/D2</f>
        <v>1.0104399701715139</v>
      </c>
      <c r="P6">
        <f>G6/G2</f>
        <v>1.039654144305304</v>
      </c>
    </row>
    <row r="7" spans="1:16" x14ac:dyDescent="0.3">
      <c r="A7" t="s">
        <v>14</v>
      </c>
      <c r="B7">
        <v>1988.2</v>
      </c>
      <c r="C7">
        <v>916</v>
      </c>
      <c r="D7">
        <v>13.72</v>
      </c>
      <c r="E7">
        <v>64620</v>
      </c>
      <c r="F7">
        <v>6.6774709999999997</v>
      </c>
      <c r="G7">
        <v>117.566666666667</v>
      </c>
      <c r="H7">
        <v>8.9128571428571401</v>
      </c>
      <c r="L7">
        <v>6.6774709999999997</v>
      </c>
      <c r="M7">
        <f t="shared" ref="M7:M70" si="0">F3</f>
        <v>7.2487120000000003</v>
      </c>
      <c r="N7">
        <v>8.9128571428571401</v>
      </c>
      <c r="O7">
        <f t="shared" ref="O7:O70" si="1">D7/D3</f>
        <v>1.0284857571214394</v>
      </c>
      <c r="P7">
        <f t="shared" ref="P7:P70" si="2">G7/G3</f>
        <v>1.0397995283018866</v>
      </c>
    </row>
    <row r="8" spans="1:16" x14ac:dyDescent="0.3">
      <c r="A8" t="s">
        <v>14</v>
      </c>
      <c r="B8">
        <v>1988.3</v>
      </c>
      <c r="C8">
        <v>229</v>
      </c>
      <c r="D8">
        <v>13.83</v>
      </c>
      <c r="E8">
        <v>64849</v>
      </c>
      <c r="F8">
        <v>7.5098440000000002</v>
      </c>
      <c r="G8">
        <v>119</v>
      </c>
      <c r="H8">
        <v>9.1035937499999999</v>
      </c>
      <c r="L8">
        <v>7.5098440000000002</v>
      </c>
      <c r="M8">
        <f t="shared" si="0"/>
        <v>6.6185099999999997</v>
      </c>
      <c r="N8">
        <v>9.1035937499999999</v>
      </c>
      <c r="O8">
        <f t="shared" si="1"/>
        <v>1.0351796407185629</v>
      </c>
      <c r="P8">
        <f t="shared" si="2"/>
        <v>1.041423570595096</v>
      </c>
    </row>
    <row r="9" spans="1:16" x14ac:dyDescent="0.3">
      <c r="A9" t="s">
        <v>14</v>
      </c>
      <c r="B9">
        <v>1988.4</v>
      </c>
      <c r="C9">
        <v>1157</v>
      </c>
      <c r="D9">
        <v>13.95</v>
      </c>
      <c r="E9">
        <v>66006</v>
      </c>
      <c r="F9">
        <v>7.6250619999999998</v>
      </c>
      <c r="G9">
        <v>120.3</v>
      </c>
      <c r="H9">
        <v>8.9570491803278696</v>
      </c>
      <c r="L9">
        <v>7.6250619999999998</v>
      </c>
      <c r="M9">
        <f t="shared" si="0"/>
        <v>6.5050850000000002</v>
      </c>
      <c r="N9">
        <v>8.9570491803278696</v>
      </c>
      <c r="O9">
        <f t="shared" si="1"/>
        <v>1.0426008968609863</v>
      </c>
      <c r="P9">
        <f t="shared" si="2"/>
        <v>1.0430635838150319</v>
      </c>
    </row>
    <row r="10" spans="1:16" x14ac:dyDescent="0.3">
      <c r="A10" t="s">
        <v>14</v>
      </c>
      <c r="B10">
        <v>1989.1</v>
      </c>
      <c r="C10">
        <v>1786</v>
      </c>
      <c r="D10">
        <v>13.61</v>
      </c>
      <c r="E10">
        <v>67792</v>
      </c>
      <c r="F10">
        <v>7.7636000000000003</v>
      </c>
      <c r="G10">
        <v>121.666666666667</v>
      </c>
      <c r="H10">
        <v>9.2116393442623004</v>
      </c>
      <c r="L10">
        <v>7.7636000000000003</v>
      </c>
      <c r="M10">
        <f t="shared" si="0"/>
        <v>6.5675420000000004</v>
      </c>
      <c r="N10">
        <v>9.2116393442623004</v>
      </c>
      <c r="O10">
        <f t="shared" si="1"/>
        <v>1.0044280442804427</v>
      </c>
      <c r="P10">
        <f t="shared" si="2"/>
        <v>1.0467450530542073</v>
      </c>
    </row>
    <row r="11" spans="1:16" x14ac:dyDescent="0.3">
      <c r="A11" t="s">
        <v>14</v>
      </c>
      <c r="B11">
        <v>1989.2</v>
      </c>
      <c r="C11">
        <v>1553</v>
      </c>
      <c r="D11">
        <v>13.27</v>
      </c>
      <c r="E11">
        <v>69345</v>
      </c>
      <c r="F11">
        <v>8.0551340000000007</v>
      </c>
      <c r="G11">
        <v>123.633333333333</v>
      </c>
      <c r="H11">
        <v>8.7579687499999999</v>
      </c>
      <c r="L11">
        <v>8.0551340000000007</v>
      </c>
      <c r="M11">
        <f t="shared" si="0"/>
        <v>6.6774709999999997</v>
      </c>
      <c r="N11">
        <v>8.7579687499999999</v>
      </c>
      <c r="O11">
        <f t="shared" si="1"/>
        <v>0.96720116618075791</v>
      </c>
      <c r="P11">
        <f t="shared" si="2"/>
        <v>1.0516019279841167</v>
      </c>
    </row>
    <row r="12" spans="1:16" x14ac:dyDescent="0.3">
      <c r="A12" t="s">
        <v>14</v>
      </c>
      <c r="B12">
        <v>1989.3</v>
      </c>
      <c r="C12">
        <v>1973</v>
      </c>
      <c r="D12">
        <v>13.2</v>
      </c>
      <c r="E12">
        <v>71318</v>
      </c>
      <c r="F12">
        <v>7.4915209999999997</v>
      </c>
      <c r="G12">
        <v>124.6</v>
      </c>
      <c r="H12">
        <v>8.1074603174603208</v>
      </c>
      <c r="L12">
        <v>7.4915209999999997</v>
      </c>
      <c r="M12">
        <f t="shared" si="0"/>
        <v>7.5098440000000002</v>
      </c>
      <c r="N12">
        <v>8.1074603174603208</v>
      </c>
      <c r="O12">
        <f t="shared" si="1"/>
        <v>0.95444685466377432</v>
      </c>
      <c r="P12">
        <f t="shared" si="2"/>
        <v>1.0470588235294118</v>
      </c>
    </row>
    <row r="13" spans="1:16" x14ac:dyDescent="0.3">
      <c r="A13" t="s">
        <v>14</v>
      </c>
      <c r="B13">
        <v>1989.4</v>
      </c>
      <c r="C13">
        <v>1227</v>
      </c>
      <c r="D13">
        <v>13.13</v>
      </c>
      <c r="E13">
        <v>72545</v>
      </c>
      <c r="F13">
        <v>7.2158340000000001</v>
      </c>
      <c r="G13">
        <v>125.866666666667</v>
      </c>
      <c r="H13">
        <v>7.9070967741935503</v>
      </c>
      <c r="L13">
        <v>7.2158340000000001</v>
      </c>
      <c r="M13">
        <f t="shared" si="0"/>
        <v>7.6250619999999998</v>
      </c>
      <c r="N13">
        <v>7.9070967741935503</v>
      </c>
      <c r="O13">
        <f t="shared" si="1"/>
        <v>0.94121863799283167</v>
      </c>
      <c r="P13">
        <f t="shared" si="2"/>
        <v>1.0462732058742061</v>
      </c>
    </row>
    <row r="14" spans="1:16" x14ac:dyDescent="0.3">
      <c r="A14" t="s">
        <v>14</v>
      </c>
      <c r="B14">
        <v>1990.1</v>
      </c>
      <c r="C14">
        <v>162</v>
      </c>
      <c r="D14">
        <v>12.97</v>
      </c>
      <c r="E14">
        <v>72707</v>
      </c>
      <c r="F14">
        <v>6.8610720000000001</v>
      </c>
      <c r="G14">
        <v>128.03333333333299</v>
      </c>
      <c r="H14">
        <v>8.4238709677419301</v>
      </c>
      <c r="L14">
        <v>6.8610720000000001</v>
      </c>
      <c r="M14">
        <f t="shared" si="0"/>
        <v>7.7636000000000003</v>
      </c>
      <c r="N14">
        <v>8.4238709677419301</v>
      </c>
      <c r="O14">
        <f t="shared" si="1"/>
        <v>0.95297575312270399</v>
      </c>
      <c r="P14">
        <f t="shared" si="2"/>
        <v>1.0523287671232819</v>
      </c>
    </row>
    <row r="15" spans="1:16" x14ac:dyDescent="0.3">
      <c r="A15" t="s">
        <v>14</v>
      </c>
      <c r="B15">
        <v>1990.2</v>
      </c>
      <c r="C15">
        <v>161</v>
      </c>
      <c r="D15">
        <v>12.81</v>
      </c>
      <c r="E15">
        <v>72868</v>
      </c>
      <c r="F15">
        <v>6.10832</v>
      </c>
      <c r="G15">
        <v>129.30000000000001</v>
      </c>
      <c r="H15">
        <v>8.6741269841269801</v>
      </c>
      <c r="L15">
        <v>6.10832</v>
      </c>
      <c r="M15">
        <f t="shared" si="0"/>
        <v>8.0551340000000007</v>
      </c>
      <c r="N15">
        <v>8.6741269841269801</v>
      </c>
      <c r="O15">
        <f t="shared" si="1"/>
        <v>0.96533534287867373</v>
      </c>
      <c r="P15">
        <f t="shared" si="2"/>
        <v>1.0458344567268836</v>
      </c>
    </row>
    <row r="16" spans="1:16" x14ac:dyDescent="0.3">
      <c r="A16" t="s">
        <v>14</v>
      </c>
      <c r="B16">
        <v>1990.3</v>
      </c>
      <c r="C16">
        <v>940</v>
      </c>
      <c r="D16">
        <v>12.9</v>
      </c>
      <c r="E16">
        <v>73808</v>
      </c>
      <c r="F16">
        <v>5.7353310000000004</v>
      </c>
      <c r="G16">
        <v>131.53333333333299</v>
      </c>
      <c r="H16">
        <v>8.7012698412698395</v>
      </c>
      <c r="L16">
        <v>5.7353310000000004</v>
      </c>
      <c r="M16">
        <f t="shared" si="0"/>
        <v>7.4915209999999997</v>
      </c>
      <c r="N16">
        <v>8.7012698412698395</v>
      </c>
      <c r="O16">
        <f t="shared" si="1"/>
        <v>0.9772727272727274</v>
      </c>
      <c r="P16">
        <f t="shared" si="2"/>
        <v>1.0556447298020304</v>
      </c>
    </row>
    <row r="17" spans="1:16" x14ac:dyDescent="0.3">
      <c r="A17" t="s">
        <v>14</v>
      </c>
      <c r="B17">
        <v>1990.4</v>
      </c>
      <c r="C17">
        <v>1027</v>
      </c>
      <c r="D17">
        <v>12.98</v>
      </c>
      <c r="E17">
        <v>74835</v>
      </c>
      <c r="F17">
        <v>5.1118249999999996</v>
      </c>
      <c r="G17">
        <v>133.76666666666699</v>
      </c>
      <c r="H17">
        <v>8.4059677419354895</v>
      </c>
      <c r="L17">
        <v>5.1118249999999996</v>
      </c>
      <c r="M17">
        <f t="shared" si="0"/>
        <v>7.2158340000000001</v>
      </c>
      <c r="N17">
        <v>8.4059677419354895</v>
      </c>
      <c r="O17">
        <f t="shared" si="1"/>
        <v>0.98857578065498852</v>
      </c>
      <c r="P17">
        <f t="shared" si="2"/>
        <v>1.0627648305084743</v>
      </c>
    </row>
    <row r="18" spans="1:16" x14ac:dyDescent="0.3">
      <c r="A18" t="s">
        <v>14</v>
      </c>
      <c r="B18">
        <v>1991.1</v>
      </c>
      <c r="C18">
        <v>1543</v>
      </c>
      <c r="D18">
        <v>12.92</v>
      </c>
      <c r="E18">
        <v>76378</v>
      </c>
      <c r="F18">
        <v>4.6699780000000004</v>
      </c>
      <c r="G18">
        <v>134.76666666666699</v>
      </c>
      <c r="H18">
        <v>8.0231666666666595</v>
      </c>
      <c r="L18">
        <v>4.6699780000000004</v>
      </c>
      <c r="M18">
        <f t="shared" si="0"/>
        <v>6.8610720000000001</v>
      </c>
      <c r="N18">
        <v>8.0231666666666595</v>
      </c>
      <c r="O18">
        <f t="shared" si="1"/>
        <v>0.99614494988434843</v>
      </c>
      <c r="P18">
        <f t="shared" si="2"/>
        <v>1.0525904712314555</v>
      </c>
    </row>
    <row r="19" spans="1:16" x14ac:dyDescent="0.3">
      <c r="A19" t="s">
        <v>14</v>
      </c>
      <c r="B19">
        <v>1991.2</v>
      </c>
      <c r="C19">
        <v>1617</v>
      </c>
      <c r="D19">
        <v>12.86</v>
      </c>
      <c r="E19">
        <v>77995</v>
      </c>
      <c r="F19">
        <v>4.7843340000000003</v>
      </c>
      <c r="G19">
        <v>135.566666666667</v>
      </c>
      <c r="H19">
        <v>8.1254687499999996</v>
      </c>
      <c r="L19">
        <v>4.7843340000000003</v>
      </c>
      <c r="M19">
        <f t="shared" si="0"/>
        <v>6.10832</v>
      </c>
      <c r="N19">
        <v>8.1254687499999996</v>
      </c>
      <c r="O19">
        <f t="shared" si="1"/>
        <v>1.0039032006245121</v>
      </c>
      <c r="P19">
        <f t="shared" si="2"/>
        <v>1.0484660995101855</v>
      </c>
    </row>
    <row r="20" spans="1:16" x14ac:dyDescent="0.3">
      <c r="A20" t="s">
        <v>14</v>
      </c>
      <c r="B20">
        <v>1991.3</v>
      </c>
      <c r="C20">
        <v>697</v>
      </c>
      <c r="D20">
        <v>12.97</v>
      </c>
      <c r="E20">
        <v>78692</v>
      </c>
      <c r="F20">
        <v>5.1722869999999999</v>
      </c>
      <c r="G20">
        <v>136.6</v>
      </c>
      <c r="H20">
        <v>7.95</v>
      </c>
      <c r="L20">
        <v>5.1722869999999999</v>
      </c>
      <c r="M20">
        <f t="shared" si="0"/>
        <v>5.7353310000000004</v>
      </c>
      <c r="N20">
        <v>7.95</v>
      </c>
      <c r="O20">
        <f t="shared" si="1"/>
        <v>1.0054263565891473</v>
      </c>
      <c r="P20">
        <f t="shared" si="2"/>
        <v>1.0385200202736975</v>
      </c>
    </row>
    <row r="21" spans="1:16" x14ac:dyDescent="0.3">
      <c r="A21" t="s">
        <v>14</v>
      </c>
      <c r="B21">
        <v>1991.4</v>
      </c>
      <c r="C21">
        <v>9</v>
      </c>
      <c r="D21">
        <v>13.08</v>
      </c>
      <c r="E21">
        <v>78701</v>
      </c>
      <c r="F21">
        <v>5.7476349999999998</v>
      </c>
      <c r="G21">
        <v>137.73333333333301</v>
      </c>
      <c r="H21">
        <v>7.3449999999999998</v>
      </c>
      <c r="L21">
        <v>5.7476349999999998</v>
      </c>
      <c r="M21">
        <f t="shared" si="0"/>
        <v>5.1118249999999996</v>
      </c>
      <c r="N21">
        <v>7.3449999999999998</v>
      </c>
      <c r="O21">
        <f t="shared" si="1"/>
        <v>1.0077041602465331</v>
      </c>
      <c r="P21">
        <f t="shared" si="2"/>
        <v>1.0296536257164166</v>
      </c>
    </row>
    <row r="22" spans="1:16" x14ac:dyDescent="0.3">
      <c r="A22" t="s">
        <v>14</v>
      </c>
      <c r="B22">
        <v>1992.1</v>
      </c>
      <c r="C22">
        <v>24</v>
      </c>
      <c r="D22">
        <v>12.93</v>
      </c>
      <c r="E22">
        <v>78725</v>
      </c>
      <c r="F22">
        <v>6.3311640000000002</v>
      </c>
      <c r="G22">
        <v>138.666666666667</v>
      </c>
      <c r="H22">
        <v>7.3069354838709701</v>
      </c>
      <c r="L22">
        <v>6.3311640000000002</v>
      </c>
      <c r="M22">
        <f t="shared" si="0"/>
        <v>4.6699780000000004</v>
      </c>
      <c r="N22">
        <v>7.3069354838709701</v>
      </c>
      <c r="O22">
        <f t="shared" si="1"/>
        <v>1.0007739938080495</v>
      </c>
      <c r="P22">
        <f t="shared" si="2"/>
        <v>1.0289389067524115</v>
      </c>
    </row>
    <row r="23" spans="1:16" x14ac:dyDescent="0.3">
      <c r="A23" t="s">
        <v>14</v>
      </c>
      <c r="B23">
        <v>1992.2</v>
      </c>
      <c r="C23">
        <v>1540</v>
      </c>
      <c r="D23">
        <v>12.78</v>
      </c>
      <c r="E23">
        <v>80265</v>
      </c>
      <c r="F23">
        <v>6.5356920000000001</v>
      </c>
      <c r="G23">
        <v>139.73333333333301</v>
      </c>
      <c r="H23">
        <v>7.3760317460317504</v>
      </c>
      <c r="L23">
        <v>6.5356920000000001</v>
      </c>
      <c r="M23">
        <f t="shared" si="0"/>
        <v>4.7843340000000003</v>
      </c>
      <c r="N23">
        <v>7.3760317460317504</v>
      </c>
      <c r="O23">
        <f t="shared" si="1"/>
        <v>0.99377916018662515</v>
      </c>
      <c r="P23">
        <f t="shared" si="2"/>
        <v>1.0307351856405162</v>
      </c>
    </row>
    <row r="24" spans="1:16" x14ac:dyDescent="0.3">
      <c r="A24" t="s">
        <v>14</v>
      </c>
      <c r="B24">
        <v>1992.3</v>
      </c>
      <c r="C24">
        <v>1323</v>
      </c>
      <c r="D24">
        <v>12.63</v>
      </c>
      <c r="E24">
        <v>81588</v>
      </c>
      <c r="F24">
        <v>6.727271</v>
      </c>
      <c r="G24">
        <v>140.80000000000001</v>
      </c>
      <c r="H24">
        <v>6.6187500000000004</v>
      </c>
      <c r="L24">
        <v>6.727271</v>
      </c>
      <c r="M24">
        <f t="shared" si="0"/>
        <v>5.1722869999999999</v>
      </c>
      <c r="N24">
        <v>6.6187500000000004</v>
      </c>
      <c r="O24">
        <f t="shared" si="1"/>
        <v>0.97378565921356974</v>
      </c>
      <c r="P24">
        <f t="shared" si="2"/>
        <v>1.0307467057101025</v>
      </c>
    </row>
    <row r="25" spans="1:16" x14ac:dyDescent="0.3">
      <c r="A25" t="s">
        <v>14</v>
      </c>
      <c r="B25">
        <v>1992.4</v>
      </c>
      <c r="C25">
        <v>0</v>
      </c>
      <c r="D25">
        <v>12.47</v>
      </c>
      <c r="E25">
        <v>81588</v>
      </c>
      <c r="F25">
        <v>7.3258549999999998</v>
      </c>
      <c r="G25">
        <v>142.03333333333299</v>
      </c>
      <c r="H25">
        <v>6.7403225806451603</v>
      </c>
      <c r="L25">
        <v>7.3258549999999998</v>
      </c>
      <c r="M25">
        <f t="shared" si="0"/>
        <v>5.7476349999999998</v>
      </c>
      <c r="N25">
        <v>6.7403225806451603</v>
      </c>
      <c r="O25">
        <f t="shared" si="1"/>
        <v>0.95336391437308876</v>
      </c>
      <c r="P25">
        <f t="shared" si="2"/>
        <v>1.0312197483059051</v>
      </c>
    </row>
    <row r="26" spans="1:16" x14ac:dyDescent="0.3">
      <c r="A26" t="s">
        <v>14</v>
      </c>
      <c r="B26">
        <v>1993.1</v>
      </c>
      <c r="C26">
        <v>103</v>
      </c>
      <c r="D26">
        <v>12.57</v>
      </c>
      <c r="E26">
        <v>81691</v>
      </c>
      <c r="F26">
        <v>7.6387700000000001</v>
      </c>
      <c r="G26">
        <v>143.066666666667</v>
      </c>
      <c r="H26">
        <v>6.25819672131147</v>
      </c>
      <c r="L26">
        <v>7.6387700000000001</v>
      </c>
      <c r="M26">
        <f t="shared" si="0"/>
        <v>6.3311640000000002</v>
      </c>
      <c r="N26">
        <v>6.25819672131147</v>
      </c>
      <c r="O26">
        <f t="shared" si="1"/>
        <v>0.9721577726218098</v>
      </c>
      <c r="P26">
        <f t="shared" si="2"/>
        <v>1.0317307692307691</v>
      </c>
    </row>
    <row r="27" spans="1:16" x14ac:dyDescent="0.3">
      <c r="A27" t="s">
        <v>14</v>
      </c>
      <c r="B27">
        <v>1993.2</v>
      </c>
      <c r="C27">
        <v>238</v>
      </c>
      <c r="D27">
        <v>12.67</v>
      </c>
      <c r="E27">
        <v>81929</v>
      </c>
      <c r="F27">
        <v>8.1077779999999997</v>
      </c>
      <c r="G27">
        <v>144.1</v>
      </c>
      <c r="H27">
        <v>5.9880952380952399</v>
      </c>
      <c r="L27">
        <v>8.1077779999999997</v>
      </c>
      <c r="M27">
        <f t="shared" si="0"/>
        <v>6.5356920000000001</v>
      </c>
      <c r="N27">
        <v>5.9880952380952399</v>
      </c>
      <c r="O27">
        <f t="shared" si="1"/>
        <v>0.99139280125195628</v>
      </c>
      <c r="P27">
        <f t="shared" si="2"/>
        <v>1.0312500000000024</v>
      </c>
    </row>
    <row r="28" spans="1:16" x14ac:dyDescent="0.3">
      <c r="A28" t="s">
        <v>14</v>
      </c>
      <c r="B28">
        <v>1993.3</v>
      </c>
      <c r="C28">
        <v>0</v>
      </c>
      <c r="D28">
        <v>13.3</v>
      </c>
      <c r="E28">
        <v>81929</v>
      </c>
      <c r="F28">
        <v>8.3363119999999995</v>
      </c>
      <c r="G28">
        <v>144.76666666666699</v>
      </c>
      <c r="H28">
        <v>5.6153124999999999</v>
      </c>
      <c r="L28">
        <v>8.3363119999999995</v>
      </c>
      <c r="M28">
        <f t="shared" si="0"/>
        <v>6.727271</v>
      </c>
      <c r="N28">
        <v>5.6153124999999999</v>
      </c>
      <c r="O28">
        <f t="shared" si="1"/>
        <v>1.0530482977038795</v>
      </c>
      <c r="P28">
        <f t="shared" si="2"/>
        <v>1.0281723484848506</v>
      </c>
    </row>
    <row r="29" spans="1:16" x14ac:dyDescent="0.3">
      <c r="A29" t="s">
        <v>14</v>
      </c>
      <c r="B29">
        <v>1993.4</v>
      </c>
      <c r="C29">
        <v>0</v>
      </c>
      <c r="D29">
        <v>13.96</v>
      </c>
      <c r="E29">
        <v>81929</v>
      </c>
      <c r="F29">
        <v>8.4628669999999993</v>
      </c>
      <c r="G29">
        <v>145.96666666666701</v>
      </c>
      <c r="H29">
        <v>5.6159677419354797</v>
      </c>
      <c r="L29">
        <v>8.4628669999999993</v>
      </c>
      <c r="M29">
        <f t="shared" si="0"/>
        <v>7.3258549999999998</v>
      </c>
      <c r="N29">
        <v>5.6159677419354797</v>
      </c>
      <c r="O29">
        <f t="shared" si="1"/>
        <v>1.119486768243785</v>
      </c>
      <c r="P29">
        <f t="shared" si="2"/>
        <v>1.0276930298052149</v>
      </c>
    </row>
    <row r="30" spans="1:16" x14ac:dyDescent="0.3">
      <c r="A30" t="s">
        <v>14</v>
      </c>
      <c r="B30">
        <v>1994.1</v>
      </c>
      <c r="C30">
        <v>762</v>
      </c>
      <c r="D30">
        <v>13.8</v>
      </c>
      <c r="E30">
        <v>82691</v>
      </c>
      <c r="F30">
        <v>8.988016</v>
      </c>
      <c r="G30">
        <v>146.69999999999999</v>
      </c>
      <c r="H30">
        <v>6.09032258064516</v>
      </c>
      <c r="L30">
        <v>8.988016</v>
      </c>
      <c r="M30">
        <f t="shared" si="0"/>
        <v>7.6387700000000001</v>
      </c>
      <c r="N30">
        <v>6.09032258064516</v>
      </c>
      <c r="O30">
        <f t="shared" si="1"/>
        <v>1.0978520286396181</v>
      </c>
      <c r="P30">
        <f t="shared" si="2"/>
        <v>1.0253960857409108</v>
      </c>
    </row>
    <row r="31" spans="1:16" x14ac:dyDescent="0.3">
      <c r="A31" t="s">
        <v>14</v>
      </c>
      <c r="B31">
        <v>1994.2</v>
      </c>
      <c r="C31">
        <v>62</v>
      </c>
      <c r="D31">
        <v>13.64</v>
      </c>
      <c r="E31">
        <v>82753</v>
      </c>
      <c r="F31">
        <v>8.8221810000000005</v>
      </c>
      <c r="G31">
        <v>147.53333333333299</v>
      </c>
      <c r="H31">
        <v>7.0895161290322601</v>
      </c>
      <c r="L31">
        <v>8.8221810000000005</v>
      </c>
      <c r="M31">
        <f t="shared" si="0"/>
        <v>8.1077779999999997</v>
      </c>
      <c r="N31">
        <v>7.0895161290322601</v>
      </c>
      <c r="O31">
        <f t="shared" si="1"/>
        <v>1.0765588003157065</v>
      </c>
      <c r="P31">
        <f t="shared" si="2"/>
        <v>1.0238260467268077</v>
      </c>
    </row>
    <row r="32" spans="1:16" x14ac:dyDescent="0.3">
      <c r="A32" t="s">
        <v>14</v>
      </c>
      <c r="B32">
        <v>1994.3</v>
      </c>
      <c r="C32">
        <v>10</v>
      </c>
      <c r="D32">
        <v>14.12</v>
      </c>
      <c r="E32">
        <v>82763</v>
      </c>
      <c r="F32">
        <v>9.1030289999999994</v>
      </c>
      <c r="G32">
        <v>148.9</v>
      </c>
      <c r="H32">
        <v>7.3279687500000001</v>
      </c>
      <c r="L32">
        <v>9.1030289999999994</v>
      </c>
      <c r="M32">
        <f t="shared" si="0"/>
        <v>8.3363119999999995</v>
      </c>
      <c r="N32">
        <v>7.3279687500000001</v>
      </c>
      <c r="O32">
        <f t="shared" si="1"/>
        <v>1.0616541353383457</v>
      </c>
      <c r="P32">
        <f t="shared" si="2"/>
        <v>1.0285516923785378</v>
      </c>
    </row>
    <row r="33" spans="1:16" x14ac:dyDescent="0.3">
      <c r="A33" t="s">
        <v>14</v>
      </c>
      <c r="B33">
        <v>1994.4</v>
      </c>
      <c r="C33">
        <v>0</v>
      </c>
      <c r="D33">
        <v>14.62</v>
      </c>
      <c r="E33">
        <v>82763</v>
      </c>
      <c r="F33">
        <v>9.227665</v>
      </c>
      <c r="G33">
        <v>149.76666666666699</v>
      </c>
      <c r="H33">
        <v>7.8372131147540998</v>
      </c>
      <c r="L33">
        <v>9.227665</v>
      </c>
      <c r="M33">
        <f t="shared" si="0"/>
        <v>8.4628669999999993</v>
      </c>
      <c r="N33">
        <v>7.8372131147540998</v>
      </c>
      <c r="O33">
        <f t="shared" si="1"/>
        <v>1.0472779369627505</v>
      </c>
      <c r="P33">
        <f t="shared" si="2"/>
        <v>1.0260333409454212</v>
      </c>
    </row>
    <row r="34" spans="1:16" x14ac:dyDescent="0.3">
      <c r="A34" t="s">
        <v>14</v>
      </c>
      <c r="B34">
        <v>1995.1</v>
      </c>
      <c r="C34">
        <v>243</v>
      </c>
      <c r="D34">
        <v>14.75</v>
      </c>
      <c r="E34">
        <v>83006</v>
      </c>
      <c r="F34">
        <v>9.3454280000000001</v>
      </c>
      <c r="G34">
        <v>150.86666666666699</v>
      </c>
      <c r="H34">
        <v>7.47129032258065</v>
      </c>
      <c r="L34">
        <v>9.3454280000000001</v>
      </c>
      <c r="M34">
        <f t="shared" si="0"/>
        <v>8.988016</v>
      </c>
      <c r="N34">
        <v>7.47129032258065</v>
      </c>
      <c r="O34">
        <f t="shared" si="1"/>
        <v>1.0688405797101448</v>
      </c>
      <c r="P34">
        <f t="shared" si="2"/>
        <v>1.0284026357646012</v>
      </c>
    </row>
    <row r="35" spans="1:16" x14ac:dyDescent="0.3">
      <c r="A35" t="s">
        <v>14</v>
      </c>
      <c r="B35">
        <v>1995.2</v>
      </c>
      <c r="C35">
        <v>13</v>
      </c>
      <c r="D35">
        <v>14.89</v>
      </c>
      <c r="E35">
        <v>83019</v>
      </c>
      <c r="F35">
        <v>9.8368640000000003</v>
      </c>
      <c r="G35">
        <v>152.1</v>
      </c>
      <c r="H35">
        <v>6.6001587301587303</v>
      </c>
      <c r="L35">
        <v>9.8368640000000003</v>
      </c>
      <c r="M35">
        <f t="shared" si="0"/>
        <v>8.8221810000000005</v>
      </c>
      <c r="N35">
        <v>6.6001587301587303</v>
      </c>
      <c r="O35">
        <f t="shared" si="1"/>
        <v>1.0916422287390029</v>
      </c>
      <c r="P35">
        <f t="shared" si="2"/>
        <v>1.0309534568459129</v>
      </c>
    </row>
    <row r="36" spans="1:16" x14ac:dyDescent="0.3">
      <c r="A36" t="s">
        <v>14</v>
      </c>
      <c r="B36">
        <v>1995.3</v>
      </c>
      <c r="C36">
        <v>280</v>
      </c>
      <c r="D36">
        <v>15.26</v>
      </c>
      <c r="E36">
        <v>83299</v>
      </c>
      <c r="F36">
        <v>9.7539689999999997</v>
      </c>
      <c r="G36">
        <v>152.86666666666699</v>
      </c>
      <c r="H36">
        <v>6.3292063492063502</v>
      </c>
      <c r="L36">
        <v>9.7539689999999997</v>
      </c>
      <c r="M36">
        <f t="shared" si="0"/>
        <v>9.1030289999999994</v>
      </c>
      <c r="N36">
        <v>6.3292063492063502</v>
      </c>
      <c r="O36">
        <f t="shared" si="1"/>
        <v>1.0807365439093486</v>
      </c>
      <c r="P36">
        <f t="shared" si="2"/>
        <v>1.0266398029997783</v>
      </c>
    </row>
    <row r="37" spans="1:16" x14ac:dyDescent="0.3">
      <c r="A37" t="s">
        <v>14</v>
      </c>
      <c r="B37">
        <v>1995.4</v>
      </c>
      <c r="C37">
        <v>276</v>
      </c>
      <c r="D37">
        <v>15.65</v>
      </c>
      <c r="E37">
        <v>83575</v>
      </c>
      <c r="F37">
        <v>9.4386460000000003</v>
      </c>
      <c r="G37">
        <v>153.69999999999999</v>
      </c>
      <c r="H37">
        <v>5.8985483870967697</v>
      </c>
      <c r="L37">
        <v>9.4386460000000003</v>
      </c>
      <c r="M37">
        <f t="shared" si="0"/>
        <v>9.227665</v>
      </c>
      <c r="N37">
        <v>5.8985483870967697</v>
      </c>
      <c r="O37">
        <f t="shared" si="1"/>
        <v>1.0704514363885089</v>
      </c>
      <c r="P37">
        <f t="shared" si="2"/>
        <v>1.0262630758958358</v>
      </c>
    </row>
    <row r="38" spans="1:16" x14ac:dyDescent="0.3">
      <c r="A38" t="s">
        <v>14</v>
      </c>
      <c r="B38">
        <v>1996.1</v>
      </c>
      <c r="C38">
        <v>19</v>
      </c>
      <c r="D38">
        <v>16.09</v>
      </c>
      <c r="E38">
        <v>83594</v>
      </c>
      <c r="F38">
        <v>8.528708</v>
      </c>
      <c r="G38">
        <v>155.066666666667</v>
      </c>
      <c r="H38">
        <v>5.9104838709677399</v>
      </c>
      <c r="L38">
        <v>8.528708</v>
      </c>
      <c r="M38">
        <f t="shared" si="0"/>
        <v>9.3454280000000001</v>
      </c>
      <c r="N38">
        <v>5.9104838709677399</v>
      </c>
      <c r="O38">
        <f t="shared" si="1"/>
        <v>1.0908474576271185</v>
      </c>
      <c r="P38">
        <f t="shared" si="2"/>
        <v>1.0278391515687142</v>
      </c>
    </row>
    <row r="39" spans="1:16" x14ac:dyDescent="0.3">
      <c r="A39" t="s">
        <v>14</v>
      </c>
      <c r="B39">
        <v>1996.2</v>
      </c>
      <c r="C39">
        <v>385</v>
      </c>
      <c r="D39">
        <v>16.55</v>
      </c>
      <c r="E39">
        <v>83979</v>
      </c>
      <c r="F39">
        <v>7.8766679999999996</v>
      </c>
      <c r="G39">
        <v>156.4</v>
      </c>
      <c r="H39">
        <v>6.7140624999999998</v>
      </c>
      <c r="L39">
        <v>7.8766679999999996</v>
      </c>
      <c r="M39">
        <f t="shared" si="0"/>
        <v>9.8368640000000003</v>
      </c>
      <c r="N39">
        <v>6.7140624999999998</v>
      </c>
      <c r="O39">
        <f t="shared" si="1"/>
        <v>1.1114842175957018</v>
      </c>
      <c r="P39">
        <f t="shared" si="2"/>
        <v>1.0282708744247206</v>
      </c>
    </row>
    <row r="40" spans="1:16" x14ac:dyDescent="0.3">
      <c r="A40" t="s">
        <v>14</v>
      </c>
      <c r="B40">
        <v>1996.3</v>
      </c>
      <c r="C40">
        <v>829</v>
      </c>
      <c r="D40">
        <v>17.079999999999998</v>
      </c>
      <c r="E40">
        <v>84808</v>
      </c>
      <c r="F40">
        <v>7.4703039999999996</v>
      </c>
      <c r="G40">
        <v>157.30000000000001</v>
      </c>
      <c r="H40">
        <v>6.7759375000000004</v>
      </c>
      <c r="L40">
        <v>7.4703039999999996</v>
      </c>
      <c r="M40">
        <f t="shared" si="0"/>
        <v>9.7539689999999997</v>
      </c>
      <c r="N40">
        <v>6.7759375000000004</v>
      </c>
      <c r="O40">
        <f t="shared" si="1"/>
        <v>1.1192660550458715</v>
      </c>
      <c r="P40">
        <f t="shared" si="2"/>
        <v>1.0290013083296969</v>
      </c>
    </row>
    <row r="41" spans="1:16" x14ac:dyDescent="0.3">
      <c r="A41" t="s">
        <v>14</v>
      </c>
      <c r="B41">
        <v>1996.4</v>
      </c>
      <c r="C41">
        <v>210</v>
      </c>
      <c r="D41">
        <v>17.64</v>
      </c>
      <c r="E41">
        <v>85018</v>
      </c>
      <c r="F41">
        <v>7.010389</v>
      </c>
      <c r="G41">
        <v>158.666666666667</v>
      </c>
      <c r="H41">
        <v>6.3541935483870997</v>
      </c>
      <c r="L41">
        <v>7.010389</v>
      </c>
      <c r="M41">
        <f t="shared" si="0"/>
        <v>9.4386460000000003</v>
      </c>
      <c r="N41">
        <v>6.3541935483870997</v>
      </c>
      <c r="O41">
        <f t="shared" si="1"/>
        <v>1.1271565495207667</v>
      </c>
      <c r="P41">
        <f t="shared" si="2"/>
        <v>1.0323140316634158</v>
      </c>
    </row>
    <row r="42" spans="1:16" x14ac:dyDescent="0.3">
      <c r="A42" t="s">
        <v>14</v>
      </c>
      <c r="B42">
        <v>1997.1</v>
      </c>
      <c r="C42">
        <v>1502</v>
      </c>
      <c r="D42">
        <v>17.57</v>
      </c>
      <c r="E42">
        <v>86520</v>
      </c>
      <c r="F42">
        <v>7.4058780000000004</v>
      </c>
      <c r="G42">
        <v>159.63333333333301</v>
      </c>
      <c r="H42">
        <v>6.5670000000000002</v>
      </c>
      <c r="L42">
        <v>7.4058780000000004</v>
      </c>
      <c r="M42">
        <f t="shared" si="0"/>
        <v>8.528708</v>
      </c>
      <c r="N42">
        <v>6.5670000000000002</v>
      </c>
      <c r="O42">
        <f t="shared" si="1"/>
        <v>1.0919825978868862</v>
      </c>
      <c r="P42">
        <f t="shared" si="2"/>
        <v>1.0294496990541659</v>
      </c>
    </row>
    <row r="43" spans="1:16" x14ac:dyDescent="0.3">
      <c r="A43" t="s">
        <v>14</v>
      </c>
      <c r="B43">
        <v>1997.2</v>
      </c>
      <c r="C43">
        <v>1511</v>
      </c>
      <c r="D43">
        <v>17.5</v>
      </c>
      <c r="E43">
        <v>88031</v>
      </c>
      <c r="F43">
        <v>7.79718</v>
      </c>
      <c r="G43">
        <v>160</v>
      </c>
      <c r="H43">
        <v>6.6996874999999996</v>
      </c>
      <c r="L43">
        <v>7.79718</v>
      </c>
      <c r="M43">
        <f t="shared" si="0"/>
        <v>7.8766679999999996</v>
      </c>
      <c r="N43">
        <v>6.6996874999999996</v>
      </c>
      <c r="O43">
        <f t="shared" si="1"/>
        <v>1.0574018126888216</v>
      </c>
      <c r="P43">
        <f t="shared" si="2"/>
        <v>1.0230179028132993</v>
      </c>
    </row>
    <row r="44" spans="1:16" x14ac:dyDescent="0.3">
      <c r="A44" t="s">
        <v>14</v>
      </c>
      <c r="B44">
        <v>1997.3</v>
      </c>
      <c r="C44">
        <v>1276</v>
      </c>
      <c r="D44">
        <v>17.37</v>
      </c>
      <c r="E44">
        <v>89307</v>
      </c>
      <c r="F44">
        <v>8.2763039999999997</v>
      </c>
      <c r="G44">
        <v>160.80000000000001</v>
      </c>
      <c r="H44">
        <v>6.2421875</v>
      </c>
      <c r="L44">
        <v>8.2763039999999997</v>
      </c>
      <c r="M44">
        <f t="shared" si="0"/>
        <v>7.4703039999999996</v>
      </c>
      <c r="N44">
        <v>6.2421875</v>
      </c>
      <c r="O44">
        <f t="shared" si="1"/>
        <v>1.0169789227166277</v>
      </c>
      <c r="P44">
        <f t="shared" si="2"/>
        <v>1.0222504767959313</v>
      </c>
    </row>
    <row r="45" spans="1:16" x14ac:dyDescent="0.3">
      <c r="A45" t="s">
        <v>14</v>
      </c>
      <c r="B45">
        <v>1997.4</v>
      </c>
      <c r="C45">
        <v>1343</v>
      </c>
      <c r="D45">
        <v>17.25</v>
      </c>
      <c r="E45">
        <v>90650</v>
      </c>
      <c r="F45">
        <v>8.7404379999999993</v>
      </c>
      <c r="G45">
        <v>161.666666666667</v>
      </c>
      <c r="H45">
        <v>5.9062903225806496</v>
      </c>
      <c r="L45">
        <v>8.7404379999999993</v>
      </c>
      <c r="M45">
        <f t="shared" si="0"/>
        <v>7.010389</v>
      </c>
      <c r="N45">
        <v>5.9062903225806496</v>
      </c>
      <c r="O45">
        <f t="shared" si="1"/>
        <v>0.97789115646258495</v>
      </c>
      <c r="P45">
        <f t="shared" si="2"/>
        <v>1.01890756302521</v>
      </c>
    </row>
    <row r="46" spans="1:16" x14ac:dyDescent="0.3">
      <c r="A46" t="s">
        <v>14</v>
      </c>
      <c r="B46">
        <v>1998.1</v>
      </c>
      <c r="C46">
        <v>1988</v>
      </c>
      <c r="D46">
        <v>17.86</v>
      </c>
      <c r="E46">
        <v>92638</v>
      </c>
      <c r="F46">
        <v>9.0089640000000006</v>
      </c>
      <c r="G46">
        <v>162</v>
      </c>
      <c r="H46">
        <v>5.5909836065573799</v>
      </c>
      <c r="L46">
        <v>9.0089640000000006</v>
      </c>
      <c r="M46">
        <f t="shared" si="0"/>
        <v>7.4058780000000004</v>
      </c>
      <c r="N46">
        <v>5.5909836065573799</v>
      </c>
      <c r="O46">
        <f t="shared" si="1"/>
        <v>1.0165054069436539</v>
      </c>
      <c r="P46">
        <f t="shared" si="2"/>
        <v>1.0148256420964732</v>
      </c>
    </row>
    <row r="47" spans="1:16" x14ac:dyDescent="0.3">
      <c r="A47" t="s">
        <v>14</v>
      </c>
      <c r="B47">
        <v>1998.2</v>
      </c>
      <c r="C47">
        <v>2042</v>
      </c>
      <c r="D47">
        <v>18.489999999999998</v>
      </c>
      <c r="E47">
        <v>94680</v>
      </c>
      <c r="F47">
        <v>9.0166649999999997</v>
      </c>
      <c r="G47">
        <v>162.53333333333299</v>
      </c>
      <c r="H47">
        <v>5.5930158730158697</v>
      </c>
      <c r="L47">
        <v>9.0166649999999997</v>
      </c>
      <c r="M47">
        <f t="shared" si="0"/>
        <v>7.79718</v>
      </c>
      <c r="N47">
        <v>5.5930158730158697</v>
      </c>
      <c r="O47">
        <f t="shared" si="1"/>
        <v>1.0565714285714285</v>
      </c>
      <c r="P47">
        <f t="shared" si="2"/>
        <v>1.0158333333333311</v>
      </c>
    </row>
    <row r="48" spans="1:16" x14ac:dyDescent="0.3">
      <c r="A48" t="s">
        <v>14</v>
      </c>
      <c r="B48">
        <v>1998.3</v>
      </c>
      <c r="C48">
        <v>2535</v>
      </c>
      <c r="D48">
        <v>18.510000000000002</v>
      </c>
      <c r="E48">
        <v>97215</v>
      </c>
      <c r="F48">
        <v>8.6404619999999994</v>
      </c>
      <c r="G48">
        <v>163.36666666666699</v>
      </c>
      <c r="H48">
        <v>5.2073437499999997</v>
      </c>
      <c r="L48">
        <v>8.6404619999999994</v>
      </c>
      <c r="M48">
        <f t="shared" si="0"/>
        <v>8.2763039999999997</v>
      </c>
      <c r="N48">
        <v>5.2073437499999997</v>
      </c>
      <c r="O48">
        <f t="shared" si="1"/>
        <v>1.0656303972366148</v>
      </c>
      <c r="P48">
        <f t="shared" si="2"/>
        <v>1.0159618573797697</v>
      </c>
    </row>
    <row r="49" spans="1:16" x14ac:dyDescent="0.3">
      <c r="A49" t="s">
        <v>14</v>
      </c>
      <c r="B49">
        <v>1998.4</v>
      </c>
      <c r="C49">
        <v>1065</v>
      </c>
      <c r="D49">
        <v>18.53</v>
      </c>
      <c r="E49">
        <v>98280</v>
      </c>
      <c r="F49">
        <v>8.4864680000000003</v>
      </c>
      <c r="G49">
        <v>164.13333333333301</v>
      </c>
      <c r="H49">
        <v>4.6619354838709697</v>
      </c>
      <c r="L49">
        <v>8.4864680000000003</v>
      </c>
      <c r="M49">
        <f t="shared" si="0"/>
        <v>8.7404379999999993</v>
      </c>
      <c r="N49">
        <v>4.6619354838709697</v>
      </c>
      <c r="O49">
        <f t="shared" si="1"/>
        <v>1.0742028985507246</v>
      </c>
      <c r="P49">
        <f t="shared" si="2"/>
        <v>1.0152577319587588</v>
      </c>
    </row>
    <row r="50" spans="1:16" x14ac:dyDescent="0.3">
      <c r="A50" t="s">
        <v>14</v>
      </c>
      <c r="B50">
        <v>1999.1</v>
      </c>
      <c r="C50">
        <v>1673</v>
      </c>
      <c r="D50">
        <v>18.66</v>
      </c>
      <c r="E50">
        <v>99953</v>
      </c>
      <c r="F50">
        <v>8.2581050000000005</v>
      </c>
      <c r="G50">
        <v>164.73333333333301</v>
      </c>
      <c r="H50">
        <v>5.0008196721311498</v>
      </c>
      <c r="L50">
        <v>8.2581050000000005</v>
      </c>
      <c r="M50">
        <f t="shared" si="0"/>
        <v>9.0089640000000006</v>
      </c>
      <c r="N50">
        <v>5.0008196721311498</v>
      </c>
      <c r="O50">
        <f t="shared" si="1"/>
        <v>1.0447928331466965</v>
      </c>
      <c r="P50">
        <f t="shared" si="2"/>
        <v>1.0168724279835371</v>
      </c>
    </row>
    <row r="51" spans="1:16" x14ac:dyDescent="0.3">
      <c r="A51" t="s">
        <v>14</v>
      </c>
      <c r="B51">
        <v>1999.2</v>
      </c>
      <c r="C51">
        <v>1272</v>
      </c>
      <c r="D51">
        <v>18.79</v>
      </c>
      <c r="E51">
        <v>101225</v>
      </c>
      <c r="F51">
        <v>7.7942600000000004</v>
      </c>
      <c r="G51">
        <v>165.96666666666701</v>
      </c>
      <c r="H51">
        <v>5.5412499999999998</v>
      </c>
      <c r="L51">
        <v>7.7942600000000004</v>
      </c>
      <c r="M51">
        <f t="shared" si="0"/>
        <v>9.0166649999999997</v>
      </c>
      <c r="N51">
        <v>5.5412499999999998</v>
      </c>
      <c r="O51">
        <f t="shared" si="1"/>
        <v>1.0162249864791779</v>
      </c>
      <c r="P51">
        <f t="shared" si="2"/>
        <v>1.0211238720262552</v>
      </c>
    </row>
    <row r="52" spans="1:16" x14ac:dyDescent="0.3">
      <c r="A52" t="s">
        <v>14</v>
      </c>
      <c r="B52">
        <v>1999.3</v>
      </c>
      <c r="C52">
        <v>2249</v>
      </c>
      <c r="D52">
        <v>18.5</v>
      </c>
      <c r="E52">
        <v>103474</v>
      </c>
      <c r="F52">
        <v>7.5262399999999996</v>
      </c>
      <c r="G52">
        <v>167.2</v>
      </c>
      <c r="H52">
        <v>5.8829687499999999</v>
      </c>
      <c r="L52">
        <v>7.5262399999999996</v>
      </c>
      <c r="M52">
        <f t="shared" si="0"/>
        <v>8.6404619999999994</v>
      </c>
      <c r="N52">
        <v>5.8829687499999999</v>
      </c>
      <c r="O52">
        <f t="shared" si="1"/>
        <v>0.99945975148568333</v>
      </c>
      <c r="P52">
        <f t="shared" si="2"/>
        <v>1.023464599061414</v>
      </c>
    </row>
    <row r="53" spans="1:16" x14ac:dyDescent="0.3">
      <c r="A53" t="s">
        <v>14</v>
      </c>
      <c r="B53">
        <v>1999.4</v>
      </c>
      <c r="C53">
        <v>1345</v>
      </c>
      <c r="D53">
        <v>18.21</v>
      </c>
      <c r="E53">
        <v>104819</v>
      </c>
      <c r="F53">
        <v>7.1146310000000001</v>
      </c>
      <c r="G53">
        <v>168.433333333333</v>
      </c>
      <c r="H53">
        <v>6.14483870967742</v>
      </c>
      <c r="L53">
        <v>7.1146310000000001</v>
      </c>
      <c r="M53">
        <f t="shared" si="0"/>
        <v>8.4864680000000003</v>
      </c>
      <c r="N53">
        <v>6.14483870967742</v>
      </c>
      <c r="O53">
        <f t="shared" si="1"/>
        <v>0.98273070696168374</v>
      </c>
      <c r="P53">
        <f t="shared" si="2"/>
        <v>1.0261982128350933</v>
      </c>
    </row>
    <row r="54" spans="1:16" x14ac:dyDescent="0.3">
      <c r="A54" t="s">
        <v>14</v>
      </c>
      <c r="B54">
        <v>2000.1</v>
      </c>
      <c r="C54">
        <v>1813</v>
      </c>
      <c r="D54">
        <v>18.82</v>
      </c>
      <c r="E54">
        <v>106632</v>
      </c>
      <c r="F54">
        <v>6.9809279999999996</v>
      </c>
      <c r="G54">
        <v>170.1</v>
      </c>
      <c r="H54">
        <v>6.4684126984126999</v>
      </c>
      <c r="L54">
        <v>6.9809279999999996</v>
      </c>
      <c r="M54">
        <f t="shared" si="0"/>
        <v>8.2581050000000005</v>
      </c>
      <c r="N54">
        <v>6.4684126984126999</v>
      </c>
      <c r="O54">
        <f t="shared" si="1"/>
        <v>1.0085744908896035</v>
      </c>
      <c r="P54">
        <f t="shared" si="2"/>
        <v>1.0325779036827216</v>
      </c>
    </row>
    <row r="55" spans="1:16" x14ac:dyDescent="0.3">
      <c r="A55" t="s">
        <v>14</v>
      </c>
      <c r="B55">
        <v>2000.2</v>
      </c>
      <c r="C55">
        <v>1658</v>
      </c>
      <c r="D55">
        <v>19.440000000000001</v>
      </c>
      <c r="E55">
        <v>108290</v>
      </c>
      <c r="F55">
        <v>7.4948430000000004</v>
      </c>
      <c r="G55">
        <v>171.433333333333</v>
      </c>
      <c r="H55">
        <v>6.1849206349206298</v>
      </c>
      <c r="L55">
        <v>7.4948430000000004</v>
      </c>
      <c r="M55">
        <f t="shared" si="0"/>
        <v>7.7942600000000004</v>
      </c>
      <c r="N55">
        <v>6.1849206349206298</v>
      </c>
      <c r="O55">
        <f t="shared" si="1"/>
        <v>1.0345928685470995</v>
      </c>
      <c r="P55">
        <f t="shared" si="2"/>
        <v>1.0329383410323316</v>
      </c>
    </row>
    <row r="56" spans="1:16" x14ac:dyDescent="0.3">
      <c r="A56" t="s">
        <v>14</v>
      </c>
      <c r="B56">
        <v>2000.3</v>
      </c>
      <c r="C56">
        <v>1716</v>
      </c>
      <c r="D56">
        <v>19.510000000000002</v>
      </c>
      <c r="E56">
        <v>110006</v>
      </c>
      <c r="F56">
        <v>7.8561500000000004</v>
      </c>
      <c r="G56">
        <v>173</v>
      </c>
      <c r="H56">
        <v>5.8898412698412699</v>
      </c>
      <c r="L56">
        <v>7.8561500000000004</v>
      </c>
      <c r="M56">
        <f t="shared" si="0"/>
        <v>7.5262399999999996</v>
      </c>
      <c r="N56">
        <v>5.8898412698412699</v>
      </c>
      <c r="O56">
        <f t="shared" si="1"/>
        <v>1.0545945945945947</v>
      </c>
      <c r="P56">
        <f t="shared" si="2"/>
        <v>1.0346889952153111</v>
      </c>
    </row>
    <row r="57" spans="1:16" x14ac:dyDescent="0.3">
      <c r="A57" t="s">
        <v>14</v>
      </c>
      <c r="B57">
        <v>2000.4</v>
      </c>
      <c r="C57">
        <v>2093</v>
      </c>
      <c r="D57">
        <v>19.579999999999998</v>
      </c>
      <c r="E57">
        <v>112099</v>
      </c>
      <c r="F57">
        <v>8.3442589999999992</v>
      </c>
      <c r="G57">
        <v>174.23333333333301</v>
      </c>
      <c r="H57">
        <v>5.5706451612903196</v>
      </c>
      <c r="L57">
        <v>8.3442589999999992</v>
      </c>
      <c r="M57">
        <f t="shared" si="0"/>
        <v>7.1146310000000001</v>
      </c>
      <c r="N57">
        <v>5.5706451612903196</v>
      </c>
      <c r="O57">
        <f t="shared" si="1"/>
        <v>1.075233388248215</v>
      </c>
      <c r="P57">
        <f t="shared" si="2"/>
        <v>1.0344349891153772</v>
      </c>
    </row>
    <row r="58" spans="1:16" x14ac:dyDescent="0.3">
      <c r="A58" t="s">
        <v>14</v>
      </c>
      <c r="B58">
        <v>2001.1</v>
      </c>
      <c r="C58">
        <v>1373</v>
      </c>
      <c r="D58">
        <v>19.47</v>
      </c>
      <c r="E58">
        <v>113472</v>
      </c>
      <c r="F58">
        <v>8.6486289999999997</v>
      </c>
      <c r="G58">
        <v>175.9</v>
      </c>
      <c r="H58">
        <v>5.0441935483871001</v>
      </c>
      <c r="L58">
        <v>8.6486289999999997</v>
      </c>
      <c r="M58">
        <f t="shared" si="0"/>
        <v>6.9809279999999996</v>
      </c>
      <c r="N58">
        <v>5.0441935483871001</v>
      </c>
      <c r="O58">
        <f t="shared" si="1"/>
        <v>1.0345377258235919</v>
      </c>
      <c r="P58">
        <f t="shared" si="2"/>
        <v>1.0340975896531452</v>
      </c>
    </row>
    <row r="59" spans="1:16" x14ac:dyDescent="0.3">
      <c r="A59" t="s">
        <v>14</v>
      </c>
      <c r="B59">
        <v>2001.2</v>
      </c>
      <c r="C59">
        <v>1551</v>
      </c>
      <c r="D59">
        <v>19.36</v>
      </c>
      <c r="E59">
        <v>115023</v>
      </c>
      <c r="F59">
        <v>8.7219809999999995</v>
      </c>
      <c r="G59">
        <v>177.13333333333301</v>
      </c>
      <c r="H59">
        <v>5.2761904761904797</v>
      </c>
      <c r="L59">
        <v>8.7219809999999995</v>
      </c>
      <c r="M59">
        <f t="shared" si="0"/>
        <v>7.4948430000000004</v>
      </c>
      <c r="N59">
        <v>5.2761904761904797</v>
      </c>
      <c r="O59">
        <f t="shared" si="1"/>
        <v>0.99588477366255135</v>
      </c>
      <c r="P59">
        <f t="shared" si="2"/>
        <v>1.0332490764145441</v>
      </c>
    </row>
    <row r="60" spans="1:16" x14ac:dyDescent="0.3">
      <c r="A60" t="s">
        <v>14</v>
      </c>
      <c r="B60">
        <v>2001.3</v>
      </c>
      <c r="C60">
        <v>2090</v>
      </c>
      <c r="D60">
        <v>19.28</v>
      </c>
      <c r="E60">
        <v>117113</v>
      </c>
      <c r="F60">
        <v>9.0888290000000005</v>
      </c>
      <c r="G60">
        <v>177.63333333333301</v>
      </c>
      <c r="H60">
        <v>4.9957377049180298</v>
      </c>
      <c r="L60">
        <v>9.0888290000000005</v>
      </c>
      <c r="M60">
        <f t="shared" si="0"/>
        <v>7.8561500000000004</v>
      </c>
      <c r="N60">
        <v>4.9957377049180298</v>
      </c>
      <c r="O60">
        <f t="shared" si="1"/>
        <v>0.9882111737570477</v>
      </c>
      <c r="P60">
        <f t="shared" si="2"/>
        <v>1.0267822736030809</v>
      </c>
    </row>
    <row r="61" spans="1:16" x14ac:dyDescent="0.3">
      <c r="A61" t="s">
        <v>14</v>
      </c>
      <c r="B61">
        <v>2001.4</v>
      </c>
      <c r="C61">
        <v>2510</v>
      </c>
      <c r="D61">
        <v>19.2</v>
      </c>
      <c r="E61">
        <v>119623</v>
      </c>
      <c r="F61">
        <v>9.1939080000000004</v>
      </c>
      <c r="G61">
        <v>177.5</v>
      </c>
      <c r="H61">
        <v>4.7620967741935498</v>
      </c>
      <c r="L61">
        <v>9.1939080000000004</v>
      </c>
      <c r="M61">
        <f t="shared" si="0"/>
        <v>8.3442589999999992</v>
      </c>
      <c r="N61">
        <v>4.7620967741935498</v>
      </c>
      <c r="O61">
        <f t="shared" si="1"/>
        <v>0.98059244126659861</v>
      </c>
      <c r="P61">
        <f t="shared" si="2"/>
        <v>1.0187488042854429</v>
      </c>
    </row>
    <row r="62" spans="1:16" x14ac:dyDescent="0.3">
      <c r="A62" t="s">
        <v>14</v>
      </c>
      <c r="B62">
        <v>2002.1</v>
      </c>
      <c r="C62">
        <v>972</v>
      </c>
      <c r="D62">
        <v>18.97</v>
      </c>
      <c r="E62">
        <v>120595</v>
      </c>
      <c r="F62">
        <v>9.3096150000000009</v>
      </c>
      <c r="G62">
        <v>178.066666666667</v>
      </c>
      <c r="H62">
        <v>5.0791666666666702</v>
      </c>
      <c r="L62">
        <v>9.3096150000000009</v>
      </c>
      <c r="M62">
        <f t="shared" si="0"/>
        <v>8.6486289999999997</v>
      </c>
      <c r="N62">
        <v>5.0791666666666702</v>
      </c>
      <c r="O62">
        <f t="shared" si="1"/>
        <v>0.9743194658448896</v>
      </c>
      <c r="P62">
        <f t="shared" si="2"/>
        <v>1.0123176046996418</v>
      </c>
    </row>
    <row r="63" spans="1:16" x14ac:dyDescent="0.3">
      <c r="A63" t="s">
        <v>14</v>
      </c>
      <c r="B63">
        <v>2002.2</v>
      </c>
      <c r="C63">
        <v>488</v>
      </c>
      <c r="D63">
        <v>18.75</v>
      </c>
      <c r="E63">
        <v>121083</v>
      </c>
      <c r="F63">
        <v>9.3392440000000008</v>
      </c>
      <c r="G63">
        <v>179.46666666666701</v>
      </c>
      <c r="H63">
        <v>5.1060937500000003</v>
      </c>
      <c r="L63">
        <v>9.3392440000000008</v>
      </c>
      <c r="M63">
        <f t="shared" si="0"/>
        <v>8.7219809999999995</v>
      </c>
      <c r="N63">
        <v>5.1060937500000003</v>
      </c>
      <c r="O63">
        <f t="shared" si="1"/>
        <v>0.96849173553719015</v>
      </c>
      <c r="P63">
        <f t="shared" si="2"/>
        <v>1.0131727512231878</v>
      </c>
    </row>
    <row r="64" spans="1:16" x14ac:dyDescent="0.3">
      <c r="A64" t="s">
        <v>14</v>
      </c>
      <c r="B64">
        <v>2002.3</v>
      </c>
      <c r="C64">
        <v>435</v>
      </c>
      <c r="D64">
        <v>18.39</v>
      </c>
      <c r="E64">
        <v>121518</v>
      </c>
      <c r="F64">
        <v>9.3640419999999995</v>
      </c>
      <c r="G64">
        <v>180.433333333333</v>
      </c>
      <c r="H64">
        <v>4.2723437500000001</v>
      </c>
      <c r="L64">
        <v>9.3640419999999995</v>
      </c>
      <c r="M64">
        <f t="shared" si="0"/>
        <v>9.0888290000000005</v>
      </c>
      <c r="N64">
        <v>4.2723437500000001</v>
      </c>
      <c r="O64">
        <f t="shared" si="1"/>
        <v>0.95383817427385886</v>
      </c>
      <c r="P64">
        <f t="shared" si="2"/>
        <v>1.0157628072809157</v>
      </c>
    </row>
    <row r="65" spans="1:16" x14ac:dyDescent="0.3">
      <c r="A65" t="s">
        <v>14</v>
      </c>
      <c r="B65">
        <v>2002.4</v>
      </c>
      <c r="C65">
        <v>840</v>
      </c>
      <c r="D65">
        <v>18.02</v>
      </c>
      <c r="E65">
        <v>122358</v>
      </c>
      <c r="F65">
        <v>9.3571010000000001</v>
      </c>
      <c r="G65">
        <v>181.5</v>
      </c>
      <c r="H65">
        <v>4.0048387096774203</v>
      </c>
      <c r="L65">
        <v>9.3571010000000001</v>
      </c>
      <c r="M65">
        <f t="shared" si="0"/>
        <v>9.1939080000000004</v>
      </c>
      <c r="N65">
        <v>4.0048387096774203</v>
      </c>
      <c r="O65">
        <f t="shared" si="1"/>
        <v>0.93854166666666672</v>
      </c>
      <c r="P65">
        <f t="shared" si="2"/>
        <v>1.0225352112676056</v>
      </c>
    </row>
    <row r="66" spans="1:16" x14ac:dyDescent="0.3">
      <c r="A66" t="s">
        <v>14</v>
      </c>
      <c r="B66">
        <v>2003.1</v>
      </c>
      <c r="C66">
        <v>975</v>
      </c>
      <c r="D66">
        <v>17.78</v>
      </c>
      <c r="E66">
        <v>123333</v>
      </c>
      <c r="F66">
        <v>9.2450089999999996</v>
      </c>
      <c r="G66">
        <v>183.36666666666699</v>
      </c>
      <c r="H66">
        <v>3.92</v>
      </c>
      <c r="L66">
        <v>9.2450089999999996</v>
      </c>
      <c r="M66">
        <f t="shared" si="0"/>
        <v>9.3096150000000009</v>
      </c>
      <c r="N66">
        <v>3.92</v>
      </c>
      <c r="O66">
        <f t="shared" si="1"/>
        <v>0.93726937269372701</v>
      </c>
      <c r="P66">
        <f t="shared" si="2"/>
        <v>1.0297641332834142</v>
      </c>
    </row>
    <row r="67" spans="1:16" x14ac:dyDescent="0.3">
      <c r="A67" t="s">
        <v>14</v>
      </c>
      <c r="B67">
        <v>2003.2</v>
      </c>
      <c r="C67">
        <v>393</v>
      </c>
      <c r="D67">
        <v>17.54</v>
      </c>
      <c r="E67">
        <v>123726</v>
      </c>
      <c r="F67">
        <v>9.1346120000000006</v>
      </c>
      <c r="G67">
        <v>183.066666666667</v>
      </c>
      <c r="H67">
        <v>3.6206349206349202</v>
      </c>
      <c r="L67">
        <v>9.1346120000000006</v>
      </c>
      <c r="M67">
        <f t="shared" si="0"/>
        <v>9.3392440000000008</v>
      </c>
      <c r="N67">
        <v>3.6206349206349202</v>
      </c>
      <c r="O67">
        <f t="shared" si="1"/>
        <v>0.93546666666666667</v>
      </c>
      <c r="P67">
        <f t="shared" si="2"/>
        <v>1.0200594353640415</v>
      </c>
    </row>
    <row r="68" spans="1:16" x14ac:dyDescent="0.3">
      <c r="A68" t="s">
        <v>14</v>
      </c>
      <c r="B68">
        <v>2003.3</v>
      </c>
      <c r="C68">
        <v>591</v>
      </c>
      <c r="D68">
        <v>17.399999999999999</v>
      </c>
      <c r="E68">
        <v>124317</v>
      </c>
      <c r="F68">
        <v>8.8990650000000002</v>
      </c>
      <c r="G68">
        <v>184.433333333333</v>
      </c>
      <c r="H68">
        <v>4.2276562499999999</v>
      </c>
      <c r="L68">
        <v>8.8990650000000002</v>
      </c>
      <c r="M68">
        <f t="shared" si="0"/>
        <v>9.3640419999999995</v>
      </c>
      <c r="N68">
        <v>4.2276562499999999</v>
      </c>
      <c r="O68">
        <f t="shared" si="1"/>
        <v>0.94616639477977149</v>
      </c>
      <c r="P68">
        <f t="shared" si="2"/>
        <v>1.0221688527618695</v>
      </c>
    </row>
    <row r="69" spans="1:16" x14ac:dyDescent="0.3">
      <c r="A69" t="s">
        <v>14</v>
      </c>
      <c r="B69">
        <v>2003.4</v>
      </c>
      <c r="C69">
        <v>48</v>
      </c>
      <c r="D69">
        <v>17.27</v>
      </c>
      <c r="E69">
        <v>124365</v>
      </c>
      <c r="F69">
        <v>8.7601139999999997</v>
      </c>
      <c r="G69">
        <v>185.13333333333301</v>
      </c>
      <c r="H69">
        <v>4.2851612903225798</v>
      </c>
      <c r="L69">
        <v>8.7601139999999997</v>
      </c>
      <c r="M69">
        <f t="shared" si="0"/>
        <v>9.3571010000000001</v>
      </c>
      <c r="N69">
        <v>4.2851612903225798</v>
      </c>
      <c r="O69">
        <f t="shared" si="1"/>
        <v>0.95837957824639286</v>
      </c>
      <c r="P69">
        <f t="shared" si="2"/>
        <v>1.0200183654729091</v>
      </c>
    </row>
    <row r="70" spans="1:16" x14ac:dyDescent="0.3">
      <c r="A70" t="s">
        <v>14</v>
      </c>
      <c r="B70">
        <v>2004.1</v>
      </c>
      <c r="C70">
        <v>0</v>
      </c>
      <c r="D70">
        <v>17.36</v>
      </c>
      <c r="E70">
        <v>124365</v>
      </c>
      <c r="F70">
        <v>8.725733</v>
      </c>
      <c r="G70">
        <v>186.7</v>
      </c>
      <c r="H70">
        <v>4.01</v>
      </c>
      <c r="L70">
        <v>8.725733</v>
      </c>
      <c r="M70">
        <f t="shared" si="0"/>
        <v>9.2450089999999996</v>
      </c>
      <c r="N70">
        <v>4.01</v>
      </c>
      <c r="O70">
        <f t="shared" si="1"/>
        <v>0.97637795275590544</v>
      </c>
      <c r="P70">
        <f t="shared" si="2"/>
        <v>1.0181785129976348</v>
      </c>
    </row>
    <row r="71" spans="1:16" x14ac:dyDescent="0.3">
      <c r="A71" t="s">
        <v>14</v>
      </c>
      <c r="B71">
        <v>2004.2</v>
      </c>
      <c r="C71">
        <v>573</v>
      </c>
      <c r="D71">
        <v>17.22</v>
      </c>
      <c r="E71">
        <v>124938</v>
      </c>
      <c r="F71">
        <v>8.8509539999999998</v>
      </c>
      <c r="G71">
        <v>188.166666666667</v>
      </c>
      <c r="H71">
        <v>4.5970967741935498</v>
      </c>
      <c r="L71">
        <v>8.8509539999999998</v>
      </c>
      <c r="M71">
        <f t="shared" ref="M71:M124" si="3">F67</f>
        <v>9.1346120000000006</v>
      </c>
      <c r="N71">
        <v>4.5970967741935498</v>
      </c>
      <c r="O71">
        <f t="shared" ref="O71:O124" si="4">D71/D67</f>
        <v>0.98175598631698968</v>
      </c>
      <c r="P71">
        <f t="shared" ref="P71:P124" si="5">G71/G67</f>
        <v>1.0278587035688274</v>
      </c>
    </row>
    <row r="72" spans="1:16" x14ac:dyDescent="0.3">
      <c r="A72" t="s">
        <v>14</v>
      </c>
      <c r="B72">
        <v>2004.3</v>
      </c>
      <c r="C72">
        <v>107</v>
      </c>
      <c r="D72">
        <v>17.309999999999999</v>
      </c>
      <c r="E72">
        <v>125045</v>
      </c>
      <c r="F72">
        <v>8.4882729999999995</v>
      </c>
      <c r="G72">
        <v>189.36666666666699</v>
      </c>
      <c r="H72">
        <v>4.3014062500000003</v>
      </c>
      <c r="L72">
        <v>8.4882729999999995</v>
      </c>
      <c r="M72">
        <f t="shared" si="3"/>
        <v>8.8990650000000002</v>
      </c>
      <c r="N72">
        <v>4.3014062500000003</v>
      </c>
      <c r="O72">
        <f t="shared" si="4"/>
        <v>0.9948275862068966</v>
      </c>
      <c r="P72">
        <f t="shared" si="5"/>
        <v>1.0267485993132153</v>
      </c>
    </row>
    <row r="73" spans="1:16" x14ac:dyDescent="0.3">
      <c r="A73" t="s">
        <v>14</v>
      </c>
      <c r="B73">
        <v>2004.4</v>
      </c>
      <c r="C73">
        <v>98</v>
      </c>
      <c r="D73">
        <v>17.41</v>
      </c>
      <c r="E73">
        <v>125143</v>
      </c>
      <c r="F73">
        <v>8.1421349999999997</v>
      </c>
      <c r="G73">
        <v>191.4</v>
      </c>
      <c r="H73">
        <v>4.1758064516128997</v>
      </c>
      <c r="L73">
        <v>8.1421349999999997</v>
      </c>
      <c r="M73">
        <f t="shared" si="3"/>
        <v>8.7601139999999997</v>
      </c>
      <c r="N73">
        <v>4.1758064516128997</v>
      </c>
      <c r="O73">
        <f t="shared" si="4"/>
        <v>1.0081065431383902</v>
      </c>
      <c r="P73">
        <f t="shared" si="5"/>
        <v>1.033849477853801</v>
      </c>
    </row>
    <row r="74" spans="1:16" x14ac:dyDescent="0.3">
      <c r="A74" t="s">
        <v>14</v>
      </c>
      <c r="B74">
        <v>2005.1</v>
      </c>
      <c r="C74">
        <v>38</v>
      </c>
      <c r="D74">
        <v>17.62</v>
      </c>
      <c r="E74">
        <v>125181</v>
      </c>
      <c r="F74">
        <v>7.6113</v>
      </c>
      <c r="G74">
        <v>192.36666666666699</v>
      </c>
      <c r="H74">
        <v>4.3036065573770497</v>
      </c>
      <c r="L74">
        <v>7.6113</v>
      </c>
      <c r="M74">
        <f t="shared" si="3"/>
        <v>8.725733</v>
      </c>
      <c r="N74">
        <v>4.3036065573770497</v>
      </c>
      <c r="O74">
        <f t="shared" si="4"/>
        <v>1.0149769585253456</v>
      </c>
      <c r="P74">
        <f t="shared" si="5"/>
        <v>1.0303517229066257</v>
      </c>
    </row>
    <row r="75" spans="1:16" x14ac:dyDescent="0.3">
      <c r="A75" t="s">
        <v>14</v>
      </c>
      <c r="B75">
        <v>2005.2</v>
      </c>
      <c r="C75">
        <v>142</v>
      </c>
      <c r="D75">
        <v>17.7</v>
      </c>
      <c r="E75">
        <v>125323</v>
      </c>
      <c r="F75">
        <v>6.7988619999999997</v>
      </c>
      <c r="G75">
        <v>193.666666666667</v>
      </c>
      <c r="H75">
        <v>4.1585937499999996</v>
      </c>
      <c r="L75">
        <v>6.7988619999999997</v>
      </c>
      <c r="M75">
        <f t="shared" si="3"/>
        <v>8.8509539999999998</v>
      </c>
      <c r="N75">
        <v>4.1585937499999996</v>
      </c>
      <c r="O75">
        <f t="shared" si="4"/>
        <v>1.0278745644599303</v>
      </c>
      <c r="P75">
        <f t="shared" si="5"/>
        <v>1.0292294065544729</v>
      </c>
    </row>
    <row r="76" spans="1:16" x14ac:dyDescent="0.3">
      <c r="A76" t="s">
        <v>14</v>
      </c>
      <c r="B76">
        <v>2005.3</v>
      </c>
      <c r="C76">
        <v>348</v>
      </c>
      <c r="D76">
        <v>17.809999999999999</v>
      </c>
      <c r="E76">
        <v>125671</v>
      </c>
      <c r="F76">
        <v>6.2962809999999996</v>
      </c>
      <c r="G76">
        <v>196.6</v>
      </c>
      <c r="H76">
        <v>4.2151562499999997</v>
      </c>
      <c r="L76">
        <v>6.2962809999999996</v>
      </c>
      <c r="M76">
        <f t="shared" si="3"/>
        <v>8.4882729999999995</v>
      </c>
      <c r="N76">
        <v>4.2151562499999997</v>
      </c>
      <c r="O76">
        <f t="shared" si="4"/>
        <v>1.0288850375505487</v>
      </c>
      <c r="P76">
        <f t="shared" si="5"/>
        <v>1.0381975004400616</v>
      </c>
    </row>
    <row r="77" spans="1:16" x14ac:dyDescent="0.3">
      <c r="A77" t="s">
        <v>14</v>
      </c>
      <c r="B77">
        <v>2005.4</v>
      </c>
      <c r="C77">
        <v>773</v>
      </c>
      <c r="D77">
        <v>17.940000000000001</v>
      </c>
      <c r="E77">
        <v>126444</v>
      </c>
      <c r="F77">
        <v>6.2198659999999997</v>
      </c>
      <c r="G77">
        <v>198.433333333333</v>
      </c>
      <c r="H77">
        <v>4.4881967213114802</v>
      </c>
      <c r="L77">
        <v>6.2198659999999997</v>
      </c>
      <c r="M77">
        <f t="shared" si="3"/>
        <v>8.1421349999999997</v>
      </c>
      <c r="N77">
        <v>4.4881967213114802</v>
      </c>
      <c r="O77">
        <f t="shared" si="4"/>
        <v>1.0304422745548536</v>
      </c>
      <c r="P77">
        <f t="shared" si="5"/>
        <v>1.0367467781260866</v>
      </c>
    </row>
    <row r="78" spans="1:16" x14ac:dyDescent="0.3">
      <c r="A78" t="s">
        <v>14</v>
      </c>
      <c r="B78">
        <v>2006.1</v>
      </c>
      <c r="C78">
        <v>685</v>
      </c>
      <c r="D78">
        <v>17.940000000000001</v>
      </c>
      <c r="E78">
        <v>127129</v>
      </c>
      <c r="F78">
        <v>6.0138350000000003</v>
      </c>
      <c r="G78">
        <v>199.46666666666701</v>
      </c>
      <c r="H78">
        <v>4.5770967741935502</v>
      </c>
      <c r="L78">
        <v>6.0138350000000003</v>
      </c>
      <c r="M78">
        <f t="shared" si="3"/>
        <v>7.6113</v>
      </c>
      <c r="N78">
        <v>4.5770967741935502</v>
      </c>
      <c r="O78">
        <f t="shared" si="4"/>
        <v>1.018161180476731</v>
      </c>
      <c r="P78">
        <f t="shared" si="5"/>
        <v>1.0369086813377231</v>
      </c>
    </row>
    <row r="79" spans="1:16" x14ac:dyDescent="0.3">
      <c r="A79" t="s">
        <v>14</v>
      </c>
      <c r="B79">
        <v>2006.2</v>
      </c>
      <c r="C79">
        <v>446</v>
      </c>
      <c r="D79">
        <v>17.8</v>
      </c>
      <c r="E79">
        <v>127575</v>
      </c>
      <c r="F79">
        <v>5.8697340000000002</v>
      </c>
      <c r="G79">
        <v>201.26666666666699</v>
      </c>
      <c r="H79">
        <v>5.0726984126984096</v>
      </c>
      <c r="L79">
        <v>5.8697340000000002</v>
      </c>
      <c r="M79">
        <f t="shared" si="3"/>
        <v>6.7988619999999997</v>
      </c>
      <c r="N79">
        <v>5.0726984126984096</v>
      </c>
      <c r="O79">
        <f t="shared" si="4"/>
        <v>1.0056497175141244</v>
      </c>
      <c r="P79">
        <f t="shared" si="5"/>
        <v>1.0392426850258174</v>
      </c>
    </row>
    <row r="80" spans="1:16" x14ac:dyDescent="0.3">
      <c r="A80" t="s">
        <v>14</v>
      </c>
      <c r="B80">
        <v>2006.3</v>
      </c>
      <c r="C80">
        <v>798</v>
      </c>
      <c r="D80">
        <v>17.66</v>
      </c>
      <c r="E80">
        <v>128373</v>
      </c>
      <c r="F80">
        <v>5.875019</v>
      </c>
      <c r="G80">
        <v>203.166666666667</v>
      </c>
      <c r="H80">
        <v>4.8934920634920704</v>
      </c>
      <c r="L80">
        <v>5.875019</v>
      </c>
      <c r="M80">
        <f t="shared" si="3"/>
        <v>6.2962809999999996</v>
      </c>
      <c r="N80">
        <v>4.8934920634920704</v>
      </c>
      <c r="O80">
        <f t="shared" si="4"/>
        <v>0.9915777653003931</v>
      </c>
      <c r="P80">
        <f t="shared" si="5"/>
        <v>1.0334011529331995</v>
      </c>
    </row>
    <row r="81" spans="1:16" x14ac:dyDescent="0.3">
      <c r="A81" t="s">
        <v>14</v>
      </c>
      <c r="B81">
        <v>2006.4</v>
      </c>
      <c r="C81">
        <v>77</v>
      </c>
      <c r="D81">
        <v>17.55</v>
      </c>
      <c r="E81">
        <v>128450</v>
      </c>
      <c r="F81">
        <v>5.6554010000000003</v>
      </c>
      <c r="G81">
        <v>202.333333333333</v>
      </c>
      <c r="H81">
        <v>4.6306451612903201</v>
      </c>
      <c r="L81">
        <v>5.6554010000000003</v>
      </c>
      <c r="M81">
        <f t="shared" si="3"/>
        <v>6.2198659999999997</v>
      </c>
      <c r="N81">
        <v>4.6306451612903201</v>
      </c>
      <c r="O81">
        <f t="shared" si="4"/>
        <v>0.97826086956521741</v>
      </c>
      <c r="P81">
        <f t="shared" si="5"/>
        <v>1.0196539559885773</v>
      </c>
    </row>
    <row r="82" spans="1:16" x14ac:dyDescent="0.3">
      <c r="A82" t="s">
        <v>14</v>
      </c>
      <c r="B82">
        <v>2007.1</v>
      </c>
      <c r="C82">
        <v>132</v>
      </c>
      <c r="D82">
        <v>17.84</v>
      </c>
      <c r="E82">
        <v>128582</v>
      </c>
      <c r="F82">
        <v>5.6121230000000004</v>
      </c>
      <c r="G82">
        <v>204.31700000000001</v>
      </c>
      <c r="H82">
        <v>4.6790322580645203</v>
      </c>
      <c r="L82">
        <v>5.6121230000000004</v>
      </c>
      <c r="M82">
        <f t="shared" si="3"/>
        <v>6.0138350000000003</v>
      </c>
      <c r="N82">
        <v>4.6790322580645203</v>
      </c>
      <c r="O82">
        <f t="shared" si="4"/>
        <v>0.99442586399108135</v>
      </c>
      <c r="P82">
        <f t="shared" si="5"/>
        <v>1.0243165106951855</v>
      </c>
    </row>
    <row r="83" spans="1:16" x14ac:dyDescent="0.3">
      <c r="A83" t="s">
        <v>14</v>
      </c>
      <c r="B83">
        <v>2007.2</v>
      </c>
      <c r="C83">
        <v>1322</v>
      </c>
      <c r="D83">
        <v>17.75</v>
      </c>
      <c r="E83">
        <v>129904</v>
      </c>
      <c r="F83">
        <v>5.6666319999999999</v>
      </c>
      <c r="G83">
        <v>206.631</v>
      </c>
      <c r="H83">
        <v>4.8460937499999996</v>
      </c>
      <c r="L83">
        <v>5.6666319999999999</v>
      </c>
      <c r="M83">
        <f t="shared" si="3"/>
        <v>5.8697340000000002</v>
      </c>
      <c r="N83">
        <v>4.8460937499999996</v>
      </c>
      <c r="O83">
        <f t="shared" si="4"/>
        <v>0.99719101123595499</v>
      </c>
      <c r="P83">
        <f t="shared" si="5"/>
        <v>1.0266528651871465</v>
      </c>
    </row>
    <row r="84" spans="1:16" x14ac:dyDescent="0.3">
      <c r="A84" t="s">
        <v>14</v>
      </c>
      <c r="B84">
        <v>2007.3</v>
      </c>
      <c r="C84">
        <v>924</v>
      </c>
      <c r="D84">
        <v>17.920000000000002</v>
      </c>
      <c r="E84">
        <v>130828</v>
      </c>
      <c r="F84">
        <v>5.5785780000000003</v>
      </c>
      <c r="G84">
        <v>207.93899999999999</v>
      </c>
      <c r="H84">
        <v>4.7384126984127004</v>
      </c>
      <c r="L84">
        <v>5.5785780000000003</v>
      </c>
      <c r="M84">
        <f t="shared" si="3"/>
        <v>5.875019</v>
      </c>
      <c r="N84">
        <v>4.7384126984127004</v>
      </c>
      <c r="O84">
        <f t="shared" si="4"/>
        <v>1.0147225368063422</v>
      </c>
      <c r="P84">
        <f t="shared" si="5"/>
        <v>1.0234897456931895</v>
      </c>
    </row>
    <row r="85" spans="1:16" x14ac:dyDescent="0.3">
      <c r="A85" t="s">
        <v>14</v>
      </c>
      <c r="B85">
        <v>2007.4</v>
      </c>
      <c r="C85">
        <v>810</v>
      </c>
      <c r="D85">
        <v>18.079999999999998</v>
      </c>
      <c r="E85">
        <v>131638</v>
      </c>
      <c r="F85">
        <v>5.6450680000000002</v>
      </c>
      <c r="G85">
        <v>210.48966666666701</v>
      </c>
      <c r="H85">
        <v>4.26661290322581</v>
      </c>
      <c r="L85">
        <v>5.6450680000000002</v>
      </c>
      <c r="M85">
        <f t="shared" si="3"/>
        <v>5.6554010000000003</v>
      </c>
      <c r="N85">
        <v>4.26661290322581</v>
      </c>
      <c r="O85">
        <f t="shared" si="4"/>
        <v>1.0301994301994302</v>
      </c>
      <c r="P85">
        <f t="shared" si="5"/>
        <v>1.0403113673805635</v>
      </c>
    </row>
    <row r="86" spans="1:16" x14ac:dyDescent="0.3">
      <c r="A86" t="s">
        <v>14</v>
      </c>
      <c r="B86">
        <v>2008.1</v>
      </c>
      <c r="C86">
        <v>357</v>
      </c>
      <c r="D86">
        <v>18.309999999999999</v>
      </c>
      <c r="E86">
        <v>131995</v>
      </c>
      <c r="F86">
        <v>5.6987199999999998</v>
      </c>
      <c r="G86">
        <v>212.76966666666701</v>
      </c>
      <c r="H86">
        <v>3.6652459016393402</v>
      </c>
      <c r="L86">
        <v>5.6987199999999998</v>
      </c>
      <c r="M86">
        <f t="shared" si="3"/>
        <v>5.6121230000000004</v>
      </c>
      <c r="N86">
        <v>3.6652459016393402</v>
      </c>
      <c r="O86">
        <f t="shared" si="4"/>
        <v>1.0263452914798206</v>
      </c>
      <c r="P86">
        <f t="shared" si="5"/>
        <v>1.0413703542371266</v>
      </c>
    </row>
    <row r="87" spans="1:16" x14ac:dyDescent="0.3">
      <c r="A87" t="s">
        <v>14</v>
      </c>
      <c r="B87">
        <v>2008.2</v>
      </c>
      <c r="C87">
        <v>1159</v>
      </c>
      <c r="D87">
        <v>18.510000000000002</v>
      </c>
      <c r="E87">
        <v>133154</v>
      </c>
      <c r="F87">
        <v>5.7376079999999998</v>
      </c>
      <c r="G87">
        <v>215.53766666666701</v>
      </c>
      <c r="H87">
        <v>3.8815624999999998</v>
      </c>
      <c r="L87">
        <v>5.7376079999999998</v>
      </c>
      <c r="M87">
        <f t="shared" si="3"/>
        <v>5.6666319999999999</v>
      </c>
      <c r="N87">
        <v>3.8815624999999998</v>
      </c>
      <c r="O87">
        <f t="shared" si="4"/>
        <v>1.0428169014084507</v>
      </c>
      <c r="P87">
        <f t="shared" si="5"/>
        <v>1.0431042131464641</v>
      </c>
    </row>
    <row r="88" spans="1:16" x14ac:dyDescent="0.3">
      <c r="A88" t="s">
        <v>14</v>
      </c>
      <c r="B88">
        <v>2008.3</v>
      </c>
      <c r="C88">
        <v>472</v>
      </c>
      <c r="D88">
        <v>18.75</v>
      </c>
      <c r="E88">
        <v>133626</v>
      </c>
      <c r="F88">
        <v>5.9115799999999998</v>
      </c>
      <c r="G88">
        <v>218.86099999999999</v>
      </c>
      <c r="H88">
        <v>3.8621875000000001</v>
      </c>
      <c r="L88">
        <v>5.9115799999999998</v>
      </c>
      <c r="M88">
        <f t="shared" si="3"/>
        <v>5.5785780000000003</v>
      </c>
      <c r="N88">
        <v>3.8621875000000001</v>
      </c>
      <c r="O88">
        <f t="shared" si="4"/>
        <v>1.0463169642857142</v>
      </c>
      <c r="P88">
        <f t="shared" si="5"/>
        <v>1.0525250193566382</v>
      </c>
    </row>
    <row r="89" spans="1:16" x14ac:dyDescent="0.3">
      <c r="A89" t="s">
        <v>14</v>
      </c>
      <c r="B89">
        <v>2008.4</v>
      </c>
      <c r="C89">
        <v>871</v>
      </c>
      <c r="D89">
        <v>18.850000000000001</v>
      </c>
      <c r="E89">
        <v>134497</v>
      </c>
      <c r="F89">
        <v>6.1200989999999997</v>
      </c>
      <c r="G89">
        <v>213.84866666666699</v>
      </c>
      <c r="H89">
        <v>3.2346774193548402</v>
      </c>
      <c r="L89">
        <v>6.1200989999999997</v>
      </c>
      <c r="M89">
        <f t="shared" si="3"/>
        <v>5.6450680000000002</v>
      </c>
      <c r="N89">
        <v>3.2346774193548402</v>
      </c>
      <c r="O89">
        <f t="shared" si="4"/>
        <v>1.0425884955752214</v>
      </c>
      <c r="P89">
        <f t="shared" si="5"/>
        <v>1.0159580280267122</v>
      </c>
    </row>
    <row r="90" spans="1:16" x14ac:dyDescent="0.3">
      <c r="A90" t="s">
        <v>14</v>
      </c>
      <c r="B90">
        <v>2009.1</v>
      </c>
      <c r="C90">
        <v>139</v>
      </c>
      <c r="D90">
        <v>18.75</v>
      </c>
      <c r="E90">
        <v>134636</v>
      </c>
      <c r="F90">
        <v>6.4231990000000003</v>
      </c>
      <c r="G90">
        <v>212.37766666666701</v>
      </c>
      <c r="H90">
        <v>2.7362295081967201</v>
      </c>
      <c r="L90">
        <v>6.4231990000000003</v>
      </c>
      <c r="M90">
        <f t="shared" si="3"/>
        <v>5.6987199999999998</v>
      </c>
      <c r="N90">
        <v>2.7362295081967201</v>
      </c>
      <c r="O90">
        <f t="shared" si="4"/>
        <v>1.0240305843801203</v>
      </c>
      <c r="P90">
        <f t="shared" si="5"/>
        <v>0.99815763211861341</v>
      </c>
    </row>
    <row r="91" spans="1:16" x14ac:dyDescent="0.3">
      <c r="A91" t="s">
        <v>14</v>
      </c>
      <c r="B91">
        <v>2009.2</v>
      </c>
      <c r="C91">
        <v>605</v>
      </c>
      <c r="D91">
        <v>17.96</v>
      </c>
      <c r="E91">
        <v>135241</v>
      </c>
      <c r="F91">
        <v>6.7822449999999996</v>
      </c>
      <c r="G91">
        <v>213.50700000000001</v>
      </c>
      <c r="H91">
        <v>3.3207936507936502</v>
      </c>
      <c r="L91">
        <v>6.7822449999999996</v>
      </c>
      <c r="M91">
        <f t="shared" si="3"/>
        <v>5.7376079999999998</v>
      </c>
      <c r="N91">
        <v>3.3207936507936502</v>
      </c>
      <c r="O91">
        <f t="shared" si="4"/>
        <v>0.97028633171258771</v>
      </c>
      <c r="P91">
        <f t="shared" si="5"/>
        <v>0.99057859956418914</v>
      </c>
    </row>
    <row r="92" spans="1:16" x14ac:dyDescent="0.3">
      <c r="A92" t="s">
        <v>14</v>
      </c>
      <c r="B92">
        <v>2009.3</v>
      </c>
      <c r="C92">
        <v>1307</v>
      </c>
      <c r="D92">
        <v>18.23</v>
      </c>
      <c r="E92">
        <v>136548</v>
      </c>
      <c r="F92">
        <v>7.1906080000000001</v>
      </c>
      <c r="G92">
        <v>215.34399999999999</v>
      </c>
      <c r="H92">
        <v>3.5178124999999998</v>
      </c>
      <c r="L92">
        <v>7.1906080000000001</v>
      </c>
      <c r="M92">
        <f t="shared" si="3"/>
        <v>5.9115799999999998</v>
      </c>
      <c r="N92">
        <v>3.5178124999999998</v>
      </c>
      <c r="O92">
        <f t="shared" si="4"/>
        <v>0.97226666666666672</v>
      </c>
      <c r="P92">
        <f t="shared" si="5"/>
        <v>0.98393043986822692</v>
      </c>
    </row>
    <row r="93" spans="1:16" x14ac:dyDescent="0.3">
      <c r="A93" t="s">
        <v>14</v>
      </c>
      <c r="B93">
        <v>2009.4</v>
      </c>
      <c r="C93">
        <v>32</v>
      </c>
      <c r="D93">
        <v>18.12</v>
      </c>
      <c r="E93">
        <v>136580</v>
      </c>
      <c r="F93">
        <v>7.2920449999999999</v>
      </c>
      <c r="G93">
        <v>217.03</v>
      </c>
      <c r="H93">
        <v>3.46403225806452</v>
      </c>
      <c r="L93">
        <v>7.2920449999999999</v>
      </c>
      <c r="M93">
        <f t="shared" si="3"/>
        <v>6.1200989999999997</v>
      </c>
      <c r="N93">
        <v>3.46403225806452</v>
      </c>
      <c r="O93">
        <f t="shared" si="4"/>
        <v>0.96127320954907158</v>
      </c>
      <c r="P93">
        <f t="shared" si="5"/>
        <v>1.0148765638005677</v>
      </c>
    </row>
    <row r="94" spans="1:16" x14ac:dyDescent="0.3">
      <c r="A94" t="s">
        <v>14</v>
      </c>
      <c r="B94">
        <v>2010.1</v>
      </c>
      <c r="C94">
        <v>1820</v>
      </c>
      <c r="D94">
        <v>17.8</v>
      </c>
      <c r="E94">
        <v>138400</v>
      </c>
      <c r="F94">
        <v>7.4326400000000001</v>
      </c>
      <c r="G94">
        <v>217.374</v>
      </c>
      <c r="H94">
        <v>3.71786885245902</v>
      </c>
      <c r="L94">
        <v>7.4326400000000001</v>
      </c>
      <c r="M94">
        <f t="shared" si="3"/>
        <v>6.4231990000000003</v>
      </c>
      <c r="N94">
        <v>3.71786885245902</v>
      </c>
      <c r="O94">
        <f t="shared" si="4"/>
        <v>0.94933333333333336</v>
      </c>
      <c r="P94">
        <f t="shared" si="5"/>
        <v>1.0235257002854961</v>
      </c>
    </row>
    <row r="95" spans="1:16" x14ac:dyDescent="0.3">
      <c r="A95" t="s">
        <v>14</v>
      </c>
      <c r="B95">
        <v>2010.2</v>
      </c>
      <c r="C95">
        <v>40</v>
      </c>
      <c r="D95">
        <v>17.55</v>
      </c>
      <c r="E95">
        <v>138440</v>
      </c>
      <c r="F95">
        <v>7.48177</v>
      </c>
      <c r="G95">
        <v>217.297333333333</v>
      </c>
      <c r="H95">
        <v>3.4925000000000002</v>
      </c>
      <c r="L95">
        <v>7.48177</v>
      </c>
      <c r="M95">
        <f t="shared" si="3"/>
        <v>6.7822449999999996</v>
      </c>
      <c r="N95">
        <v>3.4925000000000002</v>
      </c>
      <c r="O95">
        <f t="shared" si="4"/>
        <v>0.97717149220489974</v>
      </c>
      <c r="P95">
        <f t="shared" si="5"/>
        <v>1.0177527356636222</v>
      </c>
    </row>
    <row r="96" spans="1:16" x14ac:dyDescent="0.3">
      <c r="A96" t="s">
        <v>14</v>
      </c>
      <c r="B96">
        <v>2010.3</v>
      </c>
      <c r="C96">
        <v>11</v>
      </c>
      <c r="D96">
        <v>17.329999999999998</v>
      </c>
      <c r="E96">
        <v>138451</v>
      </c>
      <c r="F96">
        <v>7.3929070000000001</v>
      </c>
      <c r="G96">
        <v>217.934333333333</v>
      </c>
      <c r="H96">
        <v>2.7845312500000001</v>
      </c>
      <c r="L96">
        <v>7.3929070000000001</v>
      </c>
      <c r="M96">
        <f t="shared" si="3"/>
        <v>7.1906080000000001</v>
      </c>
      <c r="N96">
        <v>2.7845312500000001</v>
      </c>
      <c r="O96">
        <f t="shared" si="4"/>
        <v>0.95063082830499168</v>
      </c>
      <c r="P96">
        <f t="shared" si="5"/>
        <v>1.0120288159100463</v>
      </c>
    </row>
    <row r="97" spans="1:16" x14ac:dyDescent="0.3">
      <c r="A97" t="s">
        <v>14</v>
      </c>
      <c r="B97">
        <v>2010.4</v>
      </c>
      <c r="C97">
        <v>33</v>
      </c>
      <c r="D97">
        <v>17.21</v>
      </c>
      <c r="E97">
        <v>138484</v>
      </c>
      <c r="F97">
        <v>7.1570119999999999</v>
      </c>
      <c r="G97">
        <v>219.69900000000001</v>
      </c>
      <c r="H97">
        <v>2.87838709677419</v>
      </c>
      <c r="L97">
        <v>7.1570119999999999</v>
      </c>
      <c r="M97">
        <f t="shared" si="3"/>
        <v>7.2920449999999999</v>
      </c>
      <c r="N97">
        <v>2.87838709677419</v>
      </c>
      <c r="O97">
        <f t="shared" si="4"/>
        <v>0.94977924944812364</v>
      </c>
      <c r="P97">
        <f t="shared" si="5"/>
        <v>1.0122978390084321</v>
      </c>
    </row>
    <row r="98" spans="1:16" x14ac:dyDescent="0.3">
      <c r="A98" t="s">
        <v>14</v>
      </c>
      <c r="B98">
        <v>2011.1</v>
      </c>
      <c r="C98">
        <v>9</v>
      </c>
      <c r="D98">
        <v>17.25</v>
      </c>
      <c r="E98">
        <v>138493</v>
      </c>
      <c r="F98">
        <v>6.9285410000000001</v>
      </c>
      <c r="G98">
        <v>222.04366666666701</v>
      </c>
      <c r="H98">
        <v>3.4574193548387102</v>
      </c>
      <c r="L98">
        <v>6.9285410000000001</v>
      </c>
      <c r="M98">
        <f t="shared" si="3"/>
        <v>7.4326400000000001</v>
      </c>
      <c r="N98">
        <v>3.4574193548387102</v>
      </c>
      <c r="O98">
        <f t="shared" si="4"/>
        <v>0.9691011235955056</v>
      </c>
      <c r="P98">
        <f t="shared" si="5"/>
        <v>1.0214821766479294</v>
      </c>
    </row>
    <row r="99" spans="1:16" x14ac:dyDescent="0.3">
      <c r="A99" t="s">
        <v>14</v>
      </c>
      <c r="B99">
        <v>2011.2</v>
      </c>
      <c r="C99">
        <v>0</v>
      </c>
      <c r="D99">
        <v>17.23</v>
      </c>
      <c r="E99">
        <v>138493</v>
      </c>
      <c r="F99">
        <v>6.6448010000000002</v>
      </c>
      <c r="G99">
        <v>224.56833333333299</v>
      </c>
      <c r="H99">
        <v>3.2014285714285702</v>
      </c>
      <c r="L99">
        <v>6.6448010000000002</v>
      </c>
      <c r="M99">
        <f t="shared" si="3"/>
        <v>7.48177</v>
      </c>
      <c r="N99">
        <v>3.2014285714285702</v>
      </c>
      <c r="O99">
        <f t="shared" si="4"/>
        <v>0.98176638176638176</v>
      </c>
      <c r="P99">
        <f t="shared" si="5"/>
        <v>1.0334610641026427</v>
      </c>
    </row>
    <row r="100" spans="1:16" x14ac:dyDescent="0.3">
      <c r="A100" t="s">
        <v>14</v>
      </c>
      <c r="B100">
        <v>2011.3</v>
      </c>
      <c r="C100">
        <v>0</v>
      </c>
      <c r="D100">
        <v>17.18</v>
      </c>
      <c r="E100">
        <v>138493</v>
      </c>
      <c r="F100">
        <v>6.3874709999999997</v>
      </c>
      <c r="G100">
        <v>226.03266666666701</v>
      </c>
      <c r="H100">
        <v>2.4142187499999999</v>
      </c>
      <c r="L100">
        <v>6.3874709999999997</v>
      </c>
      <c r="M100">
        <f t="shared" si="3"/>
        <v>7.3929070000000001</v>
      </c>
      <c r="N100">
        <v>2.4142187499999999</v>
      </c>
      <c r="O100">
        <f t="shared" si="4"/>
        <v>0.99134448932487029</v>
      </c>
      <c r="P100">
        <f t="shared" si="5"/>
        <v>1.0371595113512817</v>
      </c>
    </row>
    <row r="101" spans="1:16" x14ac:dyDescent="0.3">
      <c r="A101" t="s">
        <v>14</v>
      </c>
      <c r="B101">
        <v>2011.4</v>
      </c>
      <c r="C101">
        <v>0</v>
      </c>
      <c r="D101">
        <v>17.22</v>
      </c>
      <c r="E101">
        <v>138493</v>
      </c>
      <c r="F101">
        <v>6.3539770000000004</v>
      </c>
      <c r="G101">
        <v>227.047333333333</v>
      </c>
      <c r="H101">
        <v>2.0467213114754101</v>
      </c>
      <c r="L101">
        <v>6.3539770000000004</v>
      </c>
      <c r="M101">
        <f t="shared" si="3"/>
        <v>7.1570119999999999</v>
      </c>
      <c r="N101">
        <v>2.0467213114754101</v>
      </c>
      <c r="O101">
        <f t="shared" si="4"/>
        <v>1.0005810575246947</v>
      </c>
      <c r="P101">
        <f t="shared" si="5"/>
        <v>1.0334472771079204</v>
      </c>
    </row>
    <row r="102" spans="1:16" x14ac:dyDescent="0.3">
      <c r="A102" t="s">
        <v>14</v>
      </c>
      <c r="B102">
        <v>2012.1</v>
      </c>
      <c r="C102">
        <v>0</v>
      </c>
      <c r="D102">
        <v>16.86</v>
      </c>
      <c r="E102">
        <v>138493</v>
      </c>
      <c r="F102">
        <v>6.242451</v>
      </c>
      <c r="G102">
        <v>228.32599999999999</v>
      </c>
      <c r="H102">
        <v>2.04</v>
      </c>
      <c r="L102">
        <v>6.242451</v>
      </c>
      <c r="M102">
        <f t="shared" si="3"/>
        <v>6.9285410000000001</v>
      </c>
      <c r="N102">
        <v>2.04</v>
      </c>
      <c r="O102">
        <f t="shared" si="4"/>
        <v>0.97739130434782606</v>
      </c>
      <c r="P102">
        <f t="shared" si="5"/>
        <v>1.0282932336132067</v>
      </c>
    </row>
    <row r="103" spans="1:16" x14ac:dyDescent="0.3">
      <c r="A103" t="s">
        <v>14</v>
      </c>
      <c r="B103">
        <v>2012.2</v>
      </c>
      <c r="C103">
        <v>0</v>
      </c>
      <c r="D103">
        <v>17.64</v>
      </c>
      <c r="E103">
        <v>138493</v>
      </c>
      <c r="F103">
        <v>6.2805350000000004</v>
      </c>
      <c r="G103">
        <v>228.80799999999999</v>
      </c>
      <c r="H103">
        <v>1.8257812499999999</v>
      </c>
      <c r="L103">
        <v>6.2805350000000004</v>
      </c>
      <c r="M103">
        <f t="shared" si="3"/>
        <v>6.6448010000000002</v>
      </c>
      <c r="N103">
        <v>1.8257812499999999</v>
      </c>
      <c r="O103">
        <f t="shared" si="4"/>
        <v>1.0237957051654092</v>
      </c>
      <c r="P103">
        <f t="shared" si="5"/>
        <v>1.0188791830252129</v>
      </c>
    </row>
    <row r="104" spans="1:16" x14ac:dyDescent="0.3">
      <c r="A104" t="s">
        <v>14</v>
      </c>
      <c r="B104">
        <v>2012.3</v>
      </c>
      <c r="C104">
        <v>0</v>
      </c>
      <c r="D104">
        <v>16.88</v>
      </c>
      <c r="E104">
        <v>138493</v>
      </c>
      <c r="F104">
        <v>6.3966130000000003</v>
      </c>
      <c r="G104">
        <v>229.84100000000001</v>
      </c>
      <c r="H104">
        <v>1.6412698412698401</v>
      </c>
      <c r="L104">
        <v>6.3966130000000003</v>
      </c>
      <c r="M104">
        <f t="shared" si="3"/>
        <v>6.3874709999999997</v>
      </c>
      <c r="N104">
        <v>1.6412698412698401</v>
      </c>
      <c r="O104">
        <f t="shared" si="4"/>
        <v>0.98253783469150169</v>
      </c>
      <c r="P104">
        <f t="shared" si="5"/>
        <v>1.0168485971054315</v>
      </c>
    </row>
    <row r="105" spans="1:16" x14ac:dyDescent="0.3">
      <c r="A105" t="s">
        <v>14</v>
      </c>
      <c r="B105">
        <v>2012.4</v>
      </c>
      <c r="C105">
        <v>0</v>
      </c>
      <c r="D105">
        <v>16.22</v>
      </c>
      <c r="E105">
        <v>138493</v>
      </c>
      <c r="F105">
        <v>6.4501140000000001</v>
      </c>
      <c r="G105">
        <v>231.369333333333</v>
      </c>
      <c r="H105">
        <v>1.70704918032787</v>
      </c>
      <c r="L105">
        <v>6.4501140000000001</v>
      </c>
      <c r="M105">
        <f t="shared" si="3"/>
        <v>6.3539770000000004</v>
      </c>
      <c r="N105">
        <v>1.70704918032787</v>
      </c>
      <c r="O105">
        <f t="shared" si="4"/>
        <v>0.94192799070847855</v>
      </c>
      <c r="P105">
        <f t="shared" si="5"/>
        <v>1.0190356783167094</v>
      </c>
    </row>
    <row r="106" spans="1:16" x14ac:dyDescent="0.3">
      <c r="A106" t="s">
        <v>14</v>
      </c>
      <c r="B106">
        <v>2013.1</v>
      </c>
      <c r="C106">
        <v>6</v>
      </c>
      <c r="D106">
        <v>16.39</v>
      </c>
      <c r="E106">
        <v>138499</v>
      </c>
      <c r="F106">
        <v>6.5276870000000002</v>
      </c>
      <c r="G106">
        <v>232.29933333333301</v>
      </c>
      <c r="H106">
        <v>1.9510000000000001</v>
      </c>
      <c r="L106">
        <v>6.5276870000000002</v>
      </c>
      <c r="M106">
        <f t="shared" si="3"/>
        <v>6.242451</v>
      </c>
      <c r="N106">
        <v>1.9510000000000001</v>
      </c>
      <c r="O106">
        <f t="shared" si="4"/>
        <v>0.97212336892052198</v>
      </c>
      <c r="P106">
        <f t="shared" si="5"/>
        <v>1.0174020187509658</v>
      </c>
    </row>
    <row r="107" spans="1:16" x14ac:dyDescent="0.3">
      <c r="A107" t="s">
        <v>14</v>
      </c>
      <c r="B107">
        <v>2013.2</v>
      </c>
      <c r="C107">
        <v>5</v>
      </c>
      <c r="D107">
        <v>16.47</v>
      </c>
      <c r="E107">
        <v>138504</v>
      </c>
      <c r="F107">
        <v>6.3991740000000004</v>
      </c>
      <c r="G107">
        <v>232.04499999999999</v>
      </c>
      <c r="H107">
        <v>1.9862500000000001</v>
      </c>
      <c r="L107">
        <v>6.3991740000000004</v>
      </c>
      <c r="M107">
        <f t="shared" si="3"/>
        <v>6.2805350000000004</v>
      </c>
      <c r="N107">
        <v>1.9862500000000001</v>
      </c>
      <c r="O107">
        <f t="shared" si="4"/>
        <v>0.93367346938775497</v>
      </c>
      <c r="P107">
        <f t="shared" si="5"/>
        <v>1.0141472326142442</v>
      </c>
    </row>
    <row r="108" spans="1:16" x14ac:dyDescent="0.3">
      <c r="A108" t="s">
        <v>14</v>
      </c>
      <c r="B108">
        <v>2013.3</v>
      </c>
      <c r="C108">
        <v>0</v>
      </c>
      <c r="D108">
        <v>16.670000000000002</v>
      </c>
      <c r="E108">
        <v>138504</v>
      </c>
      <c r="F108">
        <v>6.3621619999999997</v>
      </c>
      <c r="G108">
        <v>233.3</v>
      </c>
      <c r="H108">
        <v>2.7065625</v>
      </c>
      <c r="L108">
        <v>6.3621619999999997</v>
      </c>
      <c r="M108">
        <f t="shared" si="3"/>
        <v>6.3966130000000003</v>
      </c>
      <c r="N108">
        <v>2.7065625</v>
      </c>
      <c r="O108">
        <f t="shared" si="4"/>
        <v>0.98755924170616127</v>
      </c>
      <c r="P108">
        <f t="shared" si="5"/>
        <v>1.0150495342432377</v>
      </c>
    </row>
    <row r="109" spans="1:16" x14ac:dyDescent="0.3">
      <c r="A109" t="s">
        <v>14</v>
      </c>
      <c r="B109">
        <v>2013.4</v>
      </c>
      <c r="C109">
        <v>0</v>
      </c>
      <c r="D109">
        <v>16.850000000000001</v>
      </c>
      <c r="E109">
        <v>138504</v>
      </c>
      <c r="F109">
        <v>6.21882</v>
      </c>
      <c r="G109">
        <v>234.16266666666701</v>
      </c>
      <c r="H109">
        <v>2.7441935483870998</v>
      </c>
      <c r="L109">
        <v>6.21882</v>
      </c>
      <c r="M109">
        <f t="shared" si="3"/>
        <v>6.4501140000000001</v>
      </c>
      <c r="N109">
        <v>2.7441935483870998</v>
      </c>
      <c r="O109">
        <f t="shared" si="4"/>
        <v>1.0388409371146734</v>
      </c>
      <c r="P109">
        <f t="shared" si="5"/>
        <v>1.0120730491508556</v>
      </c>
    </row>
    <row r="110" spans="1:16" x14ac:dyDescent="0.3">
      <c r="A110" t="s">
        <v>14</v>
      </c>
      <c r="B110">
        <v>2014.1</v>
      </c>
      <c r="C110">
        <v>5</v>
      </c>
      <c r="D110">
        <v>17.03</v>
      </c>
      <c r="E110">
        <v>138509</v>
      </c>
      <c r="F110">
        <v>6.0789960000000001</v>
      </c>
      <c r="G110">
        <v>235.62100000000001</v>
      </c>
      <c r="H110">
        <v>2.7654098360655701</v>
      </c>
      <c r="L110">
        <v>6.0789960000000001</v>
      </c>
      <c r="M110">
        <f t="shared" si="3"/>
        <v>6.5276870000000002</v>
      </c>
      <c r="N110">
        <v>2.7654098360655701</v>
      </c>
      <c r="O110">
        <f t="shared" si="4"/>
        <v>1.0390482001220256</v>
      </c>
      <c r="P110">
        <f t="shared" si="5"/>
        <v>1.0142990796357587</v>
      </c>
    </row>
    <row r="111" spans="1:16" x14ac:dyDescent="0.3">
      <c r="A111" t="s">
        <v>14</v>
      </c>
      <c r="B111">
        <v>2014.2</v>
      </c>
      <c r="C111">
        <v>0</v>
      </c>
      <c r="D111">
        <v>17.89</v>
      </c>
      <c r="E111">
        <v>138509</v>
      </c>
      <c r="F111">
        <v>6.1592529999999996</v>
      </c>
      <c r="G111">
        <v>236.87233333333299</v>
      </c>
      <c r="H111">
        <v>2.6209523809523798</v>
      </c>
      <c r="L111">
        <v>6.1592529999999996</v>
      </c>
      <c r="M111">
        <f t="shared" si="3"/>
        <v>6.3991740000000004</v>
      </c>
      <c r="N111">
        <v>2.6209523809523798</v>
      </c>
      <c r="O111">
        <f t="shared" si="4"/>
        <v>1.0862173649058897</v>
      </c>
      <c r="P111">
        <f t="shared" si="5"/>
        <v>1.0208034361151199</v>
      </c>
    </row>
    <row r="112" spans="1:16" x14ac:dyDescent="0.3">
      <c r="A112" t="s">
        <v>14</v>
      </c>
      <c r="B112">
        <v>2014.3</v>
      </c>
      <c r="C112">
        <v>615</v>
      </c>
      <c r="D112">
        <v>17.739999999999998</v>
      </c>
      <c r="E112">
        <v>139124</v>
      </c>
      <c r="F112">
        <v>6.0589219999999999</v>
      </c>
      <c r="G112">
        <v>237.47833333333301</v>
      </c>
      <c r="H112">
        <v>2.49953125</v>
      </c>
      <c r="L112">
        <v>6.0589219999999999</v>
      </c>
      <c r="M112">
        <f t="shared" si="3"/>
        <v>6.3621619999999997</v>
      </c>
      <c r="N112">
        <v>2.49953125</v>
      </c>
      <c r="O112">
        <f t="shared" si="4"/>
        <v>1.0641871625674864</v>
      </c>
      <c r="P112">
        <f t="shared" si="5"/>
        <v>1.0179097013859109</v>
      </c>
    </row>
    <row r="113" spans="1:16" x14ac:dyDescent="0.3">
      <c r="A113" t="s">
        <v>14</v>
      </c>
      <c r="B113">
        <v>2014.4</v>
      </c>
      <c r="C113">
        <v>231</v>
      </c>
      <c r="D113">
        <v>18.260000000000002</v>
      </c>
      <c r="E113">
        <v>139355</v>
      </c>
      <c r="F113">
        <v>6.3039810000000003</v>
      </c>
      <c r="G113">
        <v>236.88833333333301</v>
      </c>
      <c r="H113">
        <v>2.2759677419354798</v>
      </c>
      <c r="L113">
        <v>6.3039810000000003</v>
      </c>
      <c r="M113">
        <f t="shared" si="3"/>
        <v>6.21882</v>
      </c>
      <c r="N113">
        <v>2.2759677419354798</v>
      </c>
      <c r="O113">
        <f t="shared" si="4"/>
        <v>1.083679525222552</v>
      </c>
      <c r="P113">
        <f t="shared" si="5"/>
        <v>1.0116400564849477</v>
      </c>
    </row>
    <row r="114" spans="1:16" x14ac:dyDescent="0.3">
      <c r="A114" t="s">
        <v>14</v>
      </c>
      <c r="B114">
        <v>2015.1</v>
      </c>
      <c r="C114">
        <v>0</v>
      </c>
      <c r="D114">
        <v>18.87</v>
      </c>
      <c r="E114">
        <v>139355</v>
      </c>
      <c r="F114">
        <v>6.1847640000000004</v>
      </c>
      <c r="G114">
        <v>235.35499999999999</v>
      </c>
      <c r="H114">
        <v>1.9688524590163901</v>
      </c>
      <c r="L114">
        <v>6.1847640000000004</v>
      </c>
      <c r="M114">
        <f t="shared" si="3"/>
        <v>6.0789960000000001</v>
      </c>
      <c r="N114">
        <v>1.9688524590163901</v>
      </c>
      <c r="O114">
        <f t="shared" si="4"/>
        <v>1.1080446271285966</v>
      </c>
      <c r="P114">
        <f t="shared" si="5"/>
        <v>0.99887106836826933</v>
      </c>
    </row>
    <row r="115" spans="1:16" x14ac:dyDescent="0.3">
      <c r="A115" t="s">
        <v>14</v>
      </c>
      <c r="B115">
        <v>2015.2</v>
      </c>
      <c r="C115">
        <v>0</v>
      </c>
      <c r="D115">
        <v>19</v>
      </c>
      <c r="E115">
        <v>139355</v>
      </c>
      <c r="F115">
        <v>5.985792</v>
      </c>
      <c r="G115">
        <v>236.96</v>
      </c>
      <c r="H115">
        <v>2.1643750000000002</v>
      </c>
      <c r="L115">
        <v>5.985792</v>
      </c>
      <c r="M115">
        <f t="shared" si="3"/>
        <v>6.1592529999999996</v>
      </c>
      <c r="N115">
        <v>2.1643750000000002</v>
      </c>
      <c r="O115">
        <f t="shared" si="4"/>
        <v>1.0620458356623812</v>
      </c>
      <c r="P115">
        <f t="shared" si="5"/>
        <v>1.0003701009123074</v>
      </c>
    </row>
    <row r="116" spans="1:16" x14ac:dyDescent="0.3">
      <c r="A116" t="s">
        <v>14</v>
      </c>
      <c r="B116">
        <v>2015.3</v>
      </c>
      <c r="C116">
        <v>82</v>
      </c>
      <c r="D116">
        <v>19.43</v>
      </c>
      <c r="E116">
        <v>139437</v>
      </c>
      <c r="F116">
        <v>5.6294659999999999</v>
      </c>
      <c r="G116">
        <v>237.85499999999999</v>
      </c>
      <c r="H116">
        <v>2.223125</v>
      </c>
      <c r="L116">
        <v>5.6294659999999999</v>
      </c>
      <c r="M116">
        <f t="shared" si="3"/>
        <v>6.0589219999999999</v>
      </c>
      <c r="N116">
        <v>2.223125</v>
      </c>
      <c r="O116">
        <f t="shared" si="4"/>
        <v>1.0952649379932358</v>
      </c>
      <c r="P116">
        <f t="shared" si="5"/>
        <v>1.0015861096100007</v>
      </c>
    </row>
    <row r="117" spans="1:16" x14ac:dyDescent="0.3">
      <c r="A117" t="s">
        <v>14</v>
      </c>
      <c r="B117">
        <v>2015.4</v>
      </c>
      <c r="C117">
        <v>52</v>
      </c>
      <c r="D117">
        <v>19.55</v>
      </c>
      <c r="E117">
        <v>139489</v>
      </c>
      <c r="F117">
        <v>5.2687119999999998</v>
      </c>
      <c r="G117">
        <v>237.83699999999999</v>
      </c>
      <c r="H117">
        <v>2.1904838709677401</v>
      </c>
      <c r="L117">
        <v>5.2687119999999998</v>
      </c>
      <c r="M117">
        <f t="shared" si="3"/>
        <v>6.3039810000000003</v>
      </c>
      <c r="N117">
        <v>2.1904838709677401</v>
      </c>
      <c r="O117">
        <f t="shared" si="4"/>
        <v>1.0706462212486307</v>
      </c>
      <c r="P117">
        <f t="shared" si="5"/>
        <v>1.0040046998234062</v>
      </c>
    </row>
    <row r="118" spans="1:16" x14ac:dyDescent="0.3">
      <c r="A118" t="s">
        <v>14</v>
      </c>
      <c r="B118">
        <v>2016.1</v>
      </c>
      <c r="C118">
        <v>40</v>
      </c>
      <c r="D118">
        <v>19.739999999999998</v>
      </c>
      <c r="E118">
        <v>139529</v>
      </c>
      <c r="F118">
        <v>5.1644329999999998</v>
      </c>
      <c r="G118">
        <v>237.689333333333</v>
      </c>
      <c r="H118">
        <v>1.9142619999999999</v>
      </c>
      <c r="L118">
        <v>5.1644329999999998</v>
      </c>
      <c r="M118">
        <f t="shared" si="3"/>
        <v>6.1847640000000004</v>
      </c>
      <c r="N118">
        <v>1.9142619999999999</v>
      </c>
      <c r="O118">
        <f t="shared" si="4"/>
        <v>1.0461049284578694</v>
      </c>
      <c r="P118">
        <f t="shared" si="5"/>
        <v>1.0099183502935267</v>
      </c>
    </row>
    <row r="119" spans="1:16" x14ac:dyDescent="0.3">
      <c r="A119" t="s">
        <v>14</v>
      </c>
      <c r="B119">
        <v>2016.2</v>
      </c>
      <c r="C119">
        <v>0</v>
      </c>
      <c r="D119">
        <v>20.010000000000002</v>
      </c>
      <c r="E119">
        <v>139529</v>
      </c>
      <c r="F119">
        <v>5.0326639999999996</v>
      </c>
      <c r="G119">
        <v>239.59033333333301</v>
      </c>
      <c r="H119">
        <v>1.750156</v>
      </c>
      <c r="L119">
        <v>5.0326639999999996</v>
      </c>
      <c r="M119">
        <f t="shared" si="3"/>
        <v>5.985792</v>
      </c>
      <c r="N119">
        <v>1.750156</v>
      </c>
      <c r="O119">
        <f t="shared" si="4"/>
        <v>1.0531578947368423</v>
      </c>
      <c r="P119">
        <f t="shared" si="5"/>
        <v>1.0111003263560643</v>
      </c>
    </row>
    <row r="120" spans="1:16" x14ac:dyDescent="0.3">
      <c r="A120" t="s">
        <v>14</v>
      </c>
      <c r="B120">
        <v>2016.3</v>
      </c>
      <c r="C120">
        <v>116</v>
      </c>
      <c r="D120">
        <v>20.34</v>
      </c>
      <c r="E120">
        <v>139645</v>
      </c>
      <c r="F120">
        <v>5.1709490000000002</v>
      </c>
      <c r="G120">
        <v>240.607333333333</v>
      </c>
      <c r="H120">
        <v>1.5643750000000001</v>
      </c>
      <c r="L120">
        <v>5.1709490000000002</v>
      </c>
      <c r="M120">
        <f t="shared" si="3"/>
        <v>5.6294659999999999</v>
      </c>
      <c r="N120">
        <v>1.5643750000000001</v>
      </c>
      <c r="O120">
        <f t="shared" si="4"/>
        <v>1.0468347915594443</v>
      </c>
      <c r="P120">
        <f t="shared" si="5"/>
        <v>1.011571475618898</v>
      </c>
    </row>
    <row r="121" spans="1:16" x14ac:dyDescent="0.3">
      <c r="A121" t="s">
        <v>14</v>
      </c>
      <c r="B121">
        <v>2016.4</v>
      </c>
      <c r="C121">
        <v>61</v>
      </c>
      <c r="D121">
        <v>20.56</v>
      </c>
      <c r="E121">
        <v>139706</v>
      </c>
      <c r="F121">
        <v>4.9615980000000004</v>
      </c>
      <c r="G121">
        <v>242.13466666666699</v>
      </c>
      <c r="H121">
        <v>2.1386889999999998</v>
      </c>
      <c r="L121">
        <v>4.9615980000000004</v>
      </c>
      <c r="M121">
        <f t="shared" si="3"/>
        <v>5.2687119999999998</v>
      </c>
      <c r="N121">
        <v>2.1386889999999998</v>
      </c>
      <c r="O121">
        <f t="shared" si="4"/>
        <v>1.0516624040920715</v>
      </c>
      <c r="P121">
        <f t="shared" si="5"/>
        <v>1.0180697985034581</v>
      </c>
    </row>
    <row r="122" spans="1:16" x14ac:dyDescent="0.3">
      <c r="A122" t="s">
        <v>14</v>
      </c>
      <c r="B122">
        <v>2017.1</v>
      </c>
      <c r="C122">
        <v>50</v>
      </c>
      <c r="D122">
        <v>20.95</v>
      </c>
      <c r="E122">
        <v>139756</v>
      </c>
      <c r="F122">
        <v>4.9446399999999997</v>
      </c>
      <c r="G122">
        <v>243.838666666667</v>
      </c>
      <c r="H122">
        <v>2.4466130000000001</v>
      </c>
      <c r="L122">
        <v>4.9446399999999997</v>
      </c>
      <c r="M122">
        <f t="shared" si="3"/>
        <v>5.1644329999999998</v>
      </c>
      <c r="N122">
        <v>2.4466130000000001</v>
      </c>
      <c r="O122">
        <f t="shared" si="4"/>
        <v>1.0612968591691996</v>
      </c>
      <c r="P122">
        <f t="shared" si="5"/>
        <v>1.0258713054014512</v>
      </c>
    </row>
    <row r="123" spans="1:16" x14ac:dyDescent="0.3">
      <c r="A123" t="s">
        <v>14</v>
      </c>
      <c r="B123">
        <v>2017.2</v>
      </c>
      <c r="C123">
        <v>1465</v>
      </c>
      <c r="D123">
        <v>21.08</v>
      </c>
      <c r="E123">
        <v>141221</v>
      </c>
      <c r="F123">
        <v>4.9829610000000004</v>
      </c>
      <c r="G123">
        <v>244.12</v>
      </c>
      <c r="H123">
        <v>2.2609520000000001</v>
      </c>
      <c r="L123">
        <v>4.9829610000000004</v>
      </c>
      <c r="M123">
        <f t="shared" si="3"/>
        <v>5.0326639999999996</v>
      </c>
      <c r="N123">
        <v>2.2609520000000001</v>
      </c>
      <c r="O123">
        <f t="shared" si="4"/>
        <v>1.0534732633683157</v>
      </c>
      <c r="P123">
        <f t="shared" si="5"/>
        <v>1.018905882402046</v>
      </c>
    </row>
    <row r="124" spans="1:16" x14ac:dyDescent="0.3">
      <c r="A124" t="s">
        <v>14</v>
      </c>
      <c r="B124">
        <v>2017.3</v>
      </c>
      <c r="C124">
        <v>231</v>
      </c>
      <c r="D124">
        <v>21.26</v>
      </c>
      <c r="E124">
        <v>141452</v>
      </c>
      <c r="F124">
        <v>5.1481960000000004</v>
      </c>
      <c r="G124">
        <v>245.28700000000001</v>
      </c>
      <c r="H124">
        <v>2.2414290000000001</v>
      </c>
      <c r="L124">
        <v>5.1481960000000004</v>
      </c>
      <c r="M124">
        <f t="shared" si="3"/>
        <v>5.1709490000000002</v>
      </c>
      <c r="N124">
        <v>2.2414290000000001</v>
      </c>
      <c r="O124">
        <f t="shared" si="4"/>
        <v>1.0452310717797444</v>
      </c>
      <c r="P124">
        <f t="shared" si="5"/>
        <v>1.019449393340742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B89E-CE89-4EE6-B213-EE9D46B3E4A4}">
  <dimension ref="A1:I145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0.85347147143518953</v>
      </c>
    </row>
    <row r="5" spans="1:9" x14ac:dyDescent="0.3">
      <c r="A5" s="2" t="s">
        <v>21</v>
      </c>
      <c r="B5" s="2">
        <v>0.72841355255374751</v>
      </c>
    </row>
    <row r="6" spans="1:9" x14ac:dyDescent="0.3">
      <c r="A6" s="2" t="s">
        <v>22</v>
      </c>
      <c r="B6" s="2">
        <v>0.72132868870732347</v>
      </c>
    </row>
    <row r="7" spans="1:9" x14ac:dyDescent="0.3">
      <c r="A7" s="2" t="s">
        <v>23</v>
      </c>
      <c r="B7" s="2">
        <v>0.91712387310773869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259.43212952196308</v>
      </c>
      <c r="D12" s="2">
        <v>86.477376507321026</v>
      </c>
      <c r="E12" s="2">
        <v>102.81263950067405</v>
      </c>
      <c r="F12" s="2">
        <v>2.0767630267242096E-32</v>
      </c>
    </row>
    <row r="13" spans="1:9" x14ac:dyDescent="0.3">
      <c r="A13" s="2" t="s">
        <v>27</v>
      </c>
      <c r="B13" s="2">
        <v>115</v>
      </c>
      <c r="C13" s="2">
        <v>96.728362841776061</v>
      </c>
      <c r="D13" s="2">
        <v>0.84111619862413967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356.16049236373914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2.9797851249097702</v>
      </c>
      <c r="C17" s="2">
        <v>0.84313109547707288</v>
      </c>
      <c r="D17" s="2">
        <v>3.5341895713426443</v>
      </c>
      <c r="E17" s="2">
        <v>5.9020636804312768E-4</v>
      </c>
      <c r="F17" s="2">
        <v>1.3097046928495835</v>
      </c>
      <c r="G17" s="2">
        <v>4.6498655569699565</v>
      </c>
      <c r="H17" s="2">
        <v>1.3097046928495835</v>
      </c>
      <c r="I17" s="2">
        <v>4.6498655569699565</v>
      </c>
    </row>
    <row r="18" spans="1:9" x14ac:dyDescent="0.3">
      <c r="A18" s="2" t="s">
        <v>42</v>
      </c>
      <c r="B18" s="2">
        <v>0.84455618371599872</v>
      </c>
      <c r="C18" s="2">
        <v>5.9643653993407986E-2</v>
      </c>
      <c r="D18" s="2">
        <v>14.1600342562738</v>
      </c>
      <c r="E18" s="2">
        <v>5.8093207104555377E-27</v>
      </c>
      <c r="F18" s="2">
        <v>0.72641358410686385</v>
      </c>
      <c r="G18" s="2">
        <v>0.96269878332513359</v>
      </c>
      <c r="H18" s="2">
        <v>0.72641358410686385</v>
      </c>
      <c r="I18" s="2">
        <v>0.96269878332513359</v>
      </c>
    </row>
    <row r="19" spans="1:9" x14ac:dyDescent="0.3">
      <c r="A19" s="2" t="s">
        <v>43</v>
      </c>
      <c r="B19" s="2">
        <v>6.7168611368123146E-2</v>
      </c>
      <c r="C19" s="2">
        <v>4.6723462387928842E-2</v>
      </c>
      <c r="D19" s="2">
        <v>1.4375777807399046</v>
      </c>
      <c r="E19" s="2">
        <v>0.15326937630970666</v>
      </c>
      <c r="F19" s="2">
        <v>-2.5381575276371207E-2</v>
      </c>
      <c r="G19" s="2">
        <v>0.15971879801261751</v>
      </c>
      <c r="H19" s="2">
        <v>-2.5381575276371207E-2</v>
      </c>
      <c r="I19" s="2">
        <v>0.15971879801261751</v>
      </c>
    </row>
    <row r="20" spans="1:9" ht="15" thickBot="1" x14ac:dyDescent="0.35">
      <c r="A20" s="3" t="s">
        <v>44</v>
      </c>
      <c r="B20" s="3">
        <v>-2.2963516765320144</v>
      </c>
      <c r="C20" s="3">
        <v>0.75226436393883933</v>
      </c>
      <c r="D20" s="3">
        <v>-3.0525860144542385</v>
      </c>
      <c r="E20" s="3">
        <v>2.8185317315437453E-3</v>
      </c>
      <c r="F20" s="3">
        <v>-3.7864426015258035</v>
      </c>
      <c r="G20" s="3">
        <v>-0.80626075153822518</v>
      </c>
      <c r="H20" s="3">
        <v>-3.7864426015258035</v>
      </c>
      <c r="I20" s="3">
        <v>-0.80626075153822518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7.6045899912926203</v>
      </c>
      <c r="C27" s="2">
        <v>-0.57270399129262017</v>
      </c>
    </row>
    <row r="28" spans="1:9" x14ac:dyDescent="0.3">
      <c r="A28" s="2">
        <v>2</v>
      </c>
      <c r="B28" s="2">
        <v>7.57423939702851</v>
      </c>
      <c r="C28" s="2">
        <v>-0.86569639702851031</v>
      </c>
    </row>
    <row r="29" spans="1:9" x14ac:dyDescent="0.3">
      <c r="A29" s="2">
        <v>3</v>
      </c>
      <c r="B29" s="2">
        <v>7.6192021235526646</v>
      </c>
      <c r="C29" s="2">
        <v>-0.92250612355266437</v>
      </c>
    </row>
    <row r="30" spans="1:9" x14ac:dyDescent="0.3">
      <c r="A30" s="2">
        <v>4</v>
      </c>
      <c r="B30" s="2">
        <v>7.2193709040511882</v>
      </c>
      <c r="C30" s="2">
        <v>-0.48803490405118843</v>
      </c>
    </row>
    <row r="31" spans="1:9" x14ac:dyDescent="0.3">
      <c r="A31" s="2">
        <v>5</v>
      </c>
      <c r="B31" s="2">
        <v>7.2730720894734313</v>
      </c>
      <c r="C31" s="2">
        <v>-0.54247108947343126</v>
      </c>
    </row>
    <row r="32" spans="1:9" x14ac:dyDescent="0.3">
      <c r="A32" s="2">
        <v>6</v>
      </c>
      <c r="B32" s="2">
        <v>7.0443545808600536</v>
      </c>
      <c r="C32" s="2">
        <v>-0.12455858086005378</v>
      </c>
    </row>
    <row r="33" spans="1:3" x14ac:dyDescent="0.3">
      <c r="A33" s="2">
        <v>7</v>
      </c>
      <c r="B33" s="2">
        <v>6.9934530357183595</v>
      </c>
      <c r="C33" s="2">
        <v>-0.19886703571835973</v>
      </c>
    </row>
    <row r="34" spans="1:3" x14ac:dyDescent="0.3">
      <c r="A34" s="2">
        <v>8</v>
      </c>
      <c r="B34" s="2">
        <v>7.0120432948182243</v>
      </c>
      <c r="C34" s="2">
        <v>-0.35073129481822463</v>
      </c>
    </row>
    <row r="35" spans="1:3" x14ac:dyDescent="0.3">
      <c r="A35" s="2">
        <v>9</v>
      </c>
      <c r="B35" s="2">
        <v>7.0647594413740613</v>
      </c>
      <c r="C35" s="2">
        <v>-0.73713844137406159</v>
      </c>
    </row>
    <row r="36" spans="1:3" x14ac:dyDescent="0.3">
      <c r="A36" s="2">
        <v>10</v>
      </c>
      <c r="B36" s="2">
        <v>7.2597394933038819</v>
      </c>
      <c r="C36" s="2">
        <v>-1.2790374933038819</v>
      </c>
    </row>
    <row r="37" spans="1:3" x14ac:dyDescent="0.3">
      <c r="A37" s="2">
        <v>11</v>
      </c>
      <c r="B37" s="2">
        <v>7.1760959349832643</v>
      </c>
      <c r="C37" s="2">
        <v>-1.233319934983264</v>
      </c>
    </row>
    <row r="38" spans="1:3" x14ac:dyDescent="0.3">
      <c r="A38" s="2">
        <v>12</v>
      </c>
      <c r="B38" s="2">
        <v>7.0650127189759591</v>
      </c>
      <c r="C38" s="2">
        <v>-1.077326718975959</v>
      </c>
    </row>
    <row r="39" spans="1:3" x14ac:dyDescent="0.3">
      <c r="A39" s="2">
        <v>13</v>
      </c>
      <c r="B39" s="2">
        <v>6.8047888824391611</v>
      </c>
      <c r="C39" s="2">
        <v>-0.66406488243916151</v>
      </c>
    </row>
    <row r="40" spans="1:3" x14ac:dyDescent="0.3">
      <c r="A40" s="2">
        <v>14</v>
      </c>
      <c r="B40" s="2">
        <v>6.5655366840244813</v>
      </c>
      <c r="C40" s="2">
        <v>-0.29741368402448121</v>
      </c>
    </row>
    <row r="41" spans="1:3" x14ac:dyDescent="0.3">
      <c r="A41" s="2">
        <v>15</v>
      </c>
      <c r="B41" s="2">
        <v>6.6184297928157045</v>
      </c>
      <c r="C41" s="2">
        <v>-0.56506779281570463</v>
      </c>
    </row>
    <row r="42" spans="1:3" x14ac:dyDescent="0.3">
      <c r="A42" s="2">
        <v>16</v>
      </c>
      <c r="B42" s="2">
        <v>6.7057887461033276</v>
      </c>
      <c r="C42" s="2">
        <v>-0.5027827461033274</v>
      </c>
    </row>
    <row r="43" spans="1:3" x14ac:dyDescent="0.3">
      <c r="A43" s="2">
        <v>17</v>
      </c>
      <c r="B43" s="2">
        <v>6.6742979878196813</v>
      </c>
      <c r="C43" s="2">
        <v>-0.36015198781968127</v>
      </c>
    </row>
    <row r="44" spans="1:3" x14ac:dyDescent="0.3">
      <c r="A44" s="2">
        <v>18</v>
      </c>
      <c r="B44" s="2">
        <v>6.6145557391622098</v>
      </c>
      <c r="C44" s="2">
        <v>0.18923526083779052</v>
      </c>
    </row>
    <row r="45" spans="1:3" x14ac:dyDescent="0.3">
      <c r="A45" s="2">
        <v>19</v>
      </c>
      <c r="B45" s="2">
        <v>6.2980151774274908</v>
      </c>
      <c r="C45" s="2">
        <v>1.3074398225725092</v>
      </c>
    </row>
    <row r="46" spans="1:3" x14ac:dyDescent="0.3">
      <c r="A46" s="2">
        <v>20</v>
      </c>
      <c r="B46" s="2">
        <v>6.345803017431237</v>
      </c>
      <c r="C46" s="2">
        <v>2.2833599825687632</v>
      </c>
    </row>
    <row r="47" spans="1:3" x14ac:dyDescent="0.3">
      <c r="A47" s="2">
        <v>21</v>
      </c>
      <c r="B47" s="2">
        <v>6.3161473570404807</v>
      </c>
      <c r="C47" s="2">
        <v>3.3031286429595186</v>
      </c>
    </row>
    <row r="48" spans="1:3" x14ac:dyDescent="0.3">
      <c r="A48" s="2">
        <v>22</v>
      </c>
      <c r="B48" s="2">
        <v>6.6187656944055711</v>
      </c>
      <c r="C48" s="2">
        <v>3.3592643055944293</v>
      </c>
    </row>
    <row r="49" spans="1:3" x14ac:dyDescent="0.3">
      <c r="A49" s="2">
        <v>23</v>
      </c>
      <c r="B49" s="2">
        <v>7.204517932432382</v>
      </c>
      <c r="C49" s="2">
        <v>3.0704520675676177</v>
      </c>
    </row>
    <row r="50" spans="1:3" x14ac:dyDescent="0.3">
      <c r="A50" s="2">
        <v>24</v>
      </c>
      <c r="B50" s="2">
        <v>8.0016112501618419</v>
      </c>
      <c r="C50" s="2">
        <v>2.2908687498381575</v>
      </c>
    </row>
    <row r="51" spans="1:3" x14ac:dyDescent="0.3">
      <c r="A51" s="2">
        <v>25</v>
      </c>
      <c r="B51" s="2">
        <v>9.0842467467004653</v>
      </c>
      <c r="C51" s="2">
        <v>1.1079332532995352</v>
      </c>
    </row>
    <row r="52" spans="1:3" x14ac:dyDescent="0.3">
      <c r="A52" s="2">
        <v>26</v>
      </c>
      <c r="B52" s="2">
        <v>9.6516244250253802</v>
      </c>
      <c r="C52" s="2">
        <v>0.4991955749746193</v>
      </c>
    </row>
    <row r="53" spans="1:3" x14ac:dyDescent="0.3">
      <c r="A53" s="2">
        <v>27</v>
      </c>
      <c r="B53" s="2">
        <v>9.8450515389258442</v>
      </c>
      <c r="C53" s="2">
        <v>0.18905846107415591</v>
      </c>
    </row>
    <row r="54" spans="1:3" x14ac:dyDescent="0.3">
      <c r="A54" s="2">
        <v>28</v>
      </c>
      <c r="B54" s="2">
        <v>9.8178609821014966</v>
      </c>
      <c r="C54" s="2">
        <v>-4.1561982101496753E-2</v>
      </c>
    </row>
    <row r="55" spans="1:3" x14ac:dyDescent="0.3">
      <c r="A55" s="2">
        <v>29</v>
      </c>
      <c r="B55" s="2">
        <v>9.6996326945764615</v>
      </c>
      <c r="C55" s="2">
        <v>-0.13425169457646113</v>
      </c>
    </row>
    <row r="56" spans="1:3" x14ac:dyDescent="0.3">
      <c r="A56" s="2">
        <v>30</v>
      </c>
      <c r="B56" s="2">
        <v>9.5968915154848382</v>
      </c>
      <c r="C56" s="2">
        <v>-4.8503515484838999E-2</v>
      </c>
    </row>
    <row r="57" spans="1:3" x14ac:dyDescent="0.3">
      <c r="A57" s="2">
        <v>31</v>
      </c>
      <c r="B57" s="2">
        <v>9.5149312306782097</v>
      </c>
      <c r="C57" s="2">
        <v>4.4188769321790389E-2</v>
      </c>
    </row>
    <row r="58" spans="1:3" x14ac:dyDescent="0.3">
      <c r="A58" s="2">
        <v>32</v>
      </c>
      <c r="B58" s="2">
        <v>9.3040995209588253</v>
      </c>
      <c r="C58" s="2">
        <v>0.24816347904117464</v>
      </c>
    </row>
    <row r="59" spans="1:3" x14ac:dyDescent="0.3">
      <c r="A59" s="2">
        <v>33</v>
      </c>
      <c r="B59" s="2">
        <v>9.0982581567211174</v>
      </c>
      <c r="C59" s="2">
        <v>0.30041984327888294</v>
      </c>
    </row>
    <row r="60" spans="1:3" x14ac:dyDescent="0.3">
      <c r="A60" s="2">
        <v>34</v>
      </c>
      <c r="B60" s="2">
        <v>9.1084583351693738</v>
      </c>
      <c r="C60" s="2">
        <v>-9.5293351693737094E-3</v>
      </c>
    </row>
    <row r="61" spans="1:3" x14ac:dyDescent="0.3">
      <c r="A61" s="2">
        <v>35</v>
      </c>
      <c r="B61" s="2">
        <v>9.0889657214796671</v>
      </c>
      <c r="C61" s="2">
        <v>-0.49153472147966681</v>
      </c>
    </row>
    <row r="62" spans="1:3" x14ac:dyDescent="0.3">
      <c r="A62" s="2">
        <v>36</v>
      </c>
      <c r="B62" s="2">
        <v>9.0201880019455061</v>
      </c>
      <c r="C62" s="2">
        <v>-0.87378200194550537</v>
      </c>
    </row>
    <row r="63" spans="1:3" x14ac:dyDescent="0.3">
      <c r="A63" s="2">
        <v>37</v>
      </c>
      <c r="B63" s="2">
        <v>8.742798362142441</v>
      </c>
      <c r="C63" s="2">
        <v>-0.95363936214244127</v>
      </c>
    </row>
    <row r="64" spans="1:3" x14ac:dyDescent="0.3">
      <c r="A64" s="2">
        <v>38</v>
      </c>
      <c r="B64" s="2">
        <v>8.3274717227360142</v>
      </c>
      <c r="C64" s="2">
        <v>-0.80262372273601379</v>
      </c>
    </row>
    <row r="65" spans="1:3" x14ac:dyDescent="0.3">
      <c r="A65" s="2">
        <v>39</v>
      </c>
      <c r="B65" s="2">
        <v>7.961204615209315</v>
      </c>
      <c r="C65" s="2">
        <v>-0.3801786152093154</v>
      </c>
    </row>
    <row r="66" spans="1:3" x14ac:dyDescent="0.3">
      <c r="A66" s="2">
        <v>40</v>
      </c>
      <c r="B66" s="2">
        <v>7.6432542620458728</v>
      </c>
      <c r="C66" s="2">
        <v>7.3678737954127271E-2</v>
      </c>
    </row>
    <row r="67" spans="1:3" x14ac:dyDescent="0.3">
      <c r="A67" s="2">
        <v>41</v>
      </c>
      <c r="B67" s="2">
        <v>7.3259847339574833</v>
      </c>
      <c r="C67" s="2">
        <v>0.60236826604251714</v>
      </c>
    </row>
    <row r="68" spans="1:3" x14ac:dyDescent="0.3">
      <c r="A68" s="2">
        <v>42</v>
      </c>
      <c r="B68" s="2">
        <v>7.1068946130717112</v>
      </c>
      <c r="C68" s="2">
        <v>1.1455133869282896</v>
      </c>
    </row>
    <row r="69" spans="1:3" x14ac:dyDescent="0.3">
      <c r="A69" s="2">
        <v>43</v>
      </c>
      <c r="B69" s="2">
        <v>7.2224529166917417</v>
      </c>
      <c r="C69" s="2">
        <v>1.1464890833082588</v>
      </c>
    </row>
    <row r="70" spans="1:3" x14ac:dyDescent="0.3">
      <c r="A70" s="2">
        <v>44</v>
      </c>
      <c r="B70" s="2">
        <v>7.390983731998034</v>
      </c>
      <c r="C70" s="2">
        <v>0.94644026800196634</v>
      </c>
    </row>
    <row r="71" spans="1:3" x14ac:dyDescent="0.3">
      <c r="A71" s="2">
        <v>45</v>
      </c>
      <c r="B71" s="2">
        <v>7.6159646698021159</v>
      </c>
      <c r="C71" s="2">
        <v>0.42798333019788437</v>
      </c>
    </row>
    <row r="72" spans="1:3" x14ac:dyDescent="0.3">
      <c r="A72" s="2">
        <v>46</v>
      </c>
      <c r="B72" s="2">
        <v>7.9498140109516306</v>
      </c>
      <c r="C72" s="2">
        <v>-0.31158201095163029</v>
      </c>
    </row>
    <row r="73" spans="1:3" x14ac:dyDescent="0.3">
      <c r="A73" s="2">
        <v>47</v>
      </c>
      <c r="B73" s="2">
        <v>7.7647569365546509</v>
      </c>
      <c r="C73" s="2">
        <v>-0.47026193655465054</v>
      </c>
    </row>
    <row r="74" spans="1:3" x14ac:dyDescent="0.3">
      <c r="A74" s="2">
        <v>48</v>
      </c>
      <c r="B74" s="2">
        <v>7.4089891870183333</v>
      </c>
      <c r="C74" s="2">
        <v>-0.2702011870183334</v>
      </c>
    </row>
    <row r="75" spans="1:3" x14ac:dyDescent="0.3">
      <c r="A75" s="2">
        <v>49</v>
      </c>
      <c r="B75" s="2">
        <v>7.1440576394299145</v>
      </c>
      <c r="C75" s="2">
        <v>-5.8107639429914038E-2</v>
      </c>
    </row>
    <row r="76" spans="1:3" x14ac:dyDescent="0.3">
      <c r="A76" s="2">
        <v>50</v>
      </c>
      <c r="B76" s="2">
        <v>6.7423266865346934</v>
      </c>
      <c r="C76" s="2">
        <v>0.4225923134653069</v>
      </c>
    </row>
    <row r="77" spans="1:3" x14ac:dyDescent="0.3">
      <c r="A77" s="2">
        <v>51</v>
      </c>
      <c r="B77" s="2">
        <v>6.5084655042550299</v>
      </c>
      <c r="C77" s="2">
        <v>0.8932814957449704</v>
      </c>
    </row>
    <row r="78" spans="1:3" x14ac:dyDescent="0.3">
      <c r="A78" s="2">
        <v>52</v>
      </c>
      <c r="B78" s="2">
        <v>6.4309006981658472</v>
      </c>
      <c r="C78" s="2">
        <v>1.0366223018341527</v>
      </c>
    </row>
    <row r="79" spans="1:3" x14ac:dyDescent="0.3">
      <c r="A79" s="2">
        <v>53</v>
      </c>
      <c r="B79" s="2">
        <v>6.6114800417425901</v>
      </c>
      <c r="C79" s="2">
        <v>0.96270295825740959</v>
      </c>
    </row>
    <row r="80" spans="1:3" x14ac:dyDescent="0.3">
      <c r="A80" s="2">
        <v>54</v>
      </c>
      <c r="B80" s="2">
        <v>6.9316387748777668</v>
      </c>
      <c r="C80" s="2">
        <v>0.81379122512223301</v>
      </c>
    </row>
    <row r="81" spans="1:3" x14ac:dyDescent="0.3">
      <c r="A81" s="2">
        <v>55</v>
      </c>
      <c r="B81" s="2">
        <v>7.3982514617829018</v>
      </c>
      <c r="C81" s="2">
        <v>0.39643353821709848</v>
      </c>
    </row>
    <row r="82" spans="1:3" x14ac:dyDescent="0.3">
      <c r="A82" s="2">
        <v>56</v>
      </c>
      <c r="B82" s="2">
        <v>7.690154204801428</v>
      </c>
      <c r="C82" s="2">
        <v>0.30695779519857247</v>
      </c>
    </row>
    <row r="83" spans="1:3" x14ac:dyDescent="0.3">
      <c r="A83" s="2">
        <v>57</v>
      </c>
      <c r="B83" s="2">
        <v>7.8550467364629428</v>
      </c>
      <c r="C83" s="2">
        <v>0.53834126353705702</v>
      </c>
    </row>
    <row r="84" spans="1:3" x14ac:dyDescent="0.3">
      <c r="A84" s="2">
        <v>58</v>
      </c>
      <c r="B84" s="2">
        <v>8.0530216798336802</v>
      </c>
      <c r="C84" s="2">
        <v>0.67476932016631963</v>
      </c>
    </row>
    <row r="85" spans="1:3" x14ac:dyDescent="0.3">
      <c r="A85" s="2">
        <v>59</v>
      </c>
      <c r="B85" s="2">
        <v>7.9821733410187097</v>
      </c>
      <c r="C85" s="2">
        <v>0.97374465898129081</v>
      </c>
    </row>
    <row r="86" spans="1:3" x14ac:dyDescent="0.3">
      <c r="A86" s="2">
        <v>60</v>
      </c>
      <c r="B86" s="2">
        <v>8.0837457636528942</v>
      </c>
      <c r="C86" s="2">
        <v>0.88154323634710607</v>
      </c>
    </row>
    <row r="87" spans="1:3" x14ac:dyDescent="0.3">
      <c r="A87" s="2">
        <v>61</v>
      </c>
      <c r="B87" s="2">
        <v>8.3641364514837679</v>
      </c>
      <c r="C87" s="2">
        <v>0.57470154851623256</v>
      </c>
    </row>
    <row r="88" spans="1:3" x14ac:dyDescent="0.3">
      <c r="A88" s="2">
        <v>62</v>
      </c>
      <c r="B88" s="2">
        <v>8.5528082228359779</v>
      </c>
      <c r="C88" s="2">
        <v>0.2513597771640228</v>
      </c>
    </row>
    <row r="89" spans="1:3" x14ac:dyDescent="0.3">
      <c r="A89" s="2">
        <v>63</v>
      </c>
      <c r="B89" s="2">
        <v>8.7980073251267061</v>
      </c>
      <c r="C89" s="2">
        <v>-0.11970732512670601</v>
      </c>
    </row>
    <row r="90" spans="1:3" x14ac:dyDescent="0.3">
      <c r="A90" s="2">
        <v>64</v>
      </c>
      <c r="B90" s="2">
        <v>8.8027609896540167</v>
      </c>
      <c r="C90" s="2">
        <v>-7.9857989654016137E-2</v>
      </c>
    </row>
    <row r="91" spans="1:3" x14ac:dyDescent="0.3">
      <c r="A91" s="2">
        <v>65</v>
      </c>
      <c r="B91" s="2">
        <v>8.7671835671996998</v>
      </c>
      <c r="C91" s="2">
        <v>-0.37271956719970056</v>
      </c>
    </row>
    <row r="92" spans="1:3" x14ac:dyDescent="0.3">
      <c r="A92" s="2">
        <v>66</v>
      </c>
      <c r="B92" s="2">
        <v>8.7512360668928508</v>
      </c>
      <c r="C92" s="2">
        <v>-0.38467806689285133</v>
      </c>
    </row>
    <row r="93" spans="1:3" x14ac:dyDescent="0.3">
      <c r="A93" s="2">
        <v>67</v>
      </c>
      <c r="B93" s="2">
        <v>8.6068605834740879</v>
      </c>
      <c r="C93" s="2">
        <v>-0.34452458347408843</v>
      </c>
    </row>
    <row r="94" spans="1:3" x14ac:dyDescent="0.3">
      <c r="A94" s="2">
        <v>68</v>
      </c>
      <c r="B94" s="2">
        <v>8.630605901344504</v>
      </c>
      <c r="C94" s="2">
        <v>-0.67164390134450436</v>
      </c>
    </row>
    <row r="95" spans="1:3" x14ac:dyDescent="0.3">
      <c r="A95" s="2">
        <v>69</v>
      </c>
      <c r="B95" s="2">
        <v>8.2417050239272207</v>
      </c>
      <c r="C95" s="2">
        <v>-0.35022302392722082</v>
      </c>
    </row>
    <row r="96" spans="1:3" x14ac:dyDescent="0.3">
      <c r="A96" s="2">
        <v>70</v>
      </c>
      <c r="B96" s="2">
        <v>8.0684605159053397</v>
      </c>
      <c r="C96" s="2">
        <v>-0.5565235159053401</v>
      </c>
    </row>
    <row r="97" spans="1:3" x14ac:dyDescent="0.3">
      <c r="A97" s="2">
        <v>71</v>
      </c>
      <c r="B97" s="2">
        <v>7.8906349795543118</v>
      </c>
      <c r="C97" s="2">
        <v>-0.86955497955431138</v>
      </c>
    </row>
    <row r="98" spans="1:3" x14ac:dyDescent="0.3">
      <c r="A98" s="2">
        <v>72</v>
      </c>
      <c r="B98" s="2">
        <v>7.5629859254929714</v>
      </c>
      <c r="C98" s="2">
        <v>-0.89826392549297118</v>
      </c>
    </row>
    <row r="99" spans="1:3" x14ac:dyDescent="0.3">
      <c r="A99" s="2">
        <v>73</v>
      </c>
      <c r="B99" s="2">
        <v>7.4893371843027463</v>
      </c>
      <c r="C99" s="2">
        <v>-1.1386881843027465</v>
      </c>
    </row>
    <row r="100" spans="1:3" x14ac:dyDescent="0.3">
      <c r="A100" s="2">
        <v>74</v>
      </c>
      <c r="B100" s="2">
        <v>7.1984861328962895</v>
      </c>
      <c r="C100" s="2">
        <v>-1.2417511328962894</v>
      </c>
    </row>
    <row r="101" spans="1:3" x14ac:dyDescent="0.3">
      <c r="A101" s="2">
        <v>75</v>
      </c>
      <c r="B101" s="2">
        <v>6.7726433783972881</v>
      </c>
      <c r="C101" s="2">
        <v>-0.86572237839728849</v>
      </c>
    </row>
    <row r="102" spans="1:3" x14ac:dyDescent="0.3">
      <c r="A102" s="2">
        <v>76</v>
      </c>
      <c r="B102" s="2">
        <v>6.4413556268203198</v>
      </c>
      <c r="C102" s="2">
        <v>-0.60271062682032017</v>
      </c>
    </row>
    <row r="103" spans="1:3" x14ac:dyDescent="0.3">
      <c r="A103" s="2">
        <v>77</v>
      </c>
      <c r="B103" s="2">
        <v>6.1440588126747357</v>
      </c>
      <c r="C103" s="2">
        <v>-0.48943981267473546</v>
      </c>
    </row>
    <row r="104" spans="1:3" x14ac:dyDescent="0.3">
      <c r="A104" s="2">
        <v>78</v>
      </c>
      <c r="B104" s="2">
        <v>5.8369369806614735</v>
      </c>
      <c r="C104" s="2">
        <v>-0.2790629806614735</v>
      </c>
    </row>
    <row r="105" spans="1:3" x14ac:dyDescent="0.3">
      <c r="A105" s="2">
        <v>79</v>
      </c>
      <c r="B105" s="2">
        <v>5.7614002560133759</v>
      </c>
      <c r="C105" s="2">
        <v>-0.54506325601337569</v>
      </c>
    </row>
    <row r="106" spans="1:3" x14ac:dyDescent="0.3">
      <c r="A106" s="2">
        <v>80</v>
      </c>
      <c r="B106" s="2">
        <v>5.657219296575299</v>
      </c>
      <c r="C106" s="2">
        <v>-0.80617229657529865</v>
      </c>
    </row>
    <row r="107" spans="1:3" x14ac:dyDescent="0.3">
      <c r="A107" s="2">
        <v>81</v>
      </c>
      <c r="B107" s="2">
        <v>5.4696393104339585</v>
      </c>
      <c r="C107" s="2">
        <v>-0.92711931043395879</v>
      </c>
    </row>
    <row r="108" spans="1:3" x14ac:dyDescent="0.3">
      <c r="A108" s="2">
        <v>82</v>
      </c>
      <c r="B108" s="2">
        <v>5.3473307022358458</v>
      </c>
      <c r="C108" s="2">
        <v>-1.079743702235846</v>
      </c>
    </row>
    <row r="109" spans="1:3" x14ac:dyDescent="0.3">
      <c r="A109" s="2">
        <v>83</v>
      </c>
      <c r="B109" s="2">
        <v>5.0954525185051045</v>
      </c>
      <c r="C109" s="2">
        <v>-0.94034151850510472</v>
      </c>
    </row>
    <row r="110" spans="1:3" x14ac:dyDescent="0.3">
      <c r="A110" s="2">
        <v>84</v>
      </c>
      <c r="B110" s="2">
        <v>4.7902468787598647</v>
      </c>
      <c r="C110" s="2">
        <v>-0.42278787875986445</v>
      </c>
    </row>
    <row r="111" spans="1:3" x14ac:dyDescent="0.3">
      <c r="A111" s="2">
        <v>85</v>
      </c>
      <c r="B111" s="2">
        <v>4.6771984888807863</v>
      </c>
      <c r="C111" s="2">
        <v>0.13548351111921342</v>
      </c>
    </row>
    <row r="112" spans="1:3" x14ac:dyDescent="0.3">
      <c r="A112" s="2">
        <v>86</v>
      </c>
      <c r="B112" s="2">
        <v>4.7295734421519739</v>
      </c>
      <c r="C112" s="2">
        <v>0.71442755784802614</v>
      </c>
    </row>
    <row r="113" spans="1:3" x14ac:dyDescent="0.3">
      <c r="A113" s="2">
        <v>87</v>
      </c>
      <c r="B113" s="2">
        <v>4.7392625122584962</v>
      </c>
      <c r="C113" s="2">
        <v>1.444718487741504</v>
      </c>
    </row>
    <row r="114" spans="1:3" x14ac:dyDescent="0.3">
      <c r="A114" s="2">
        <v>88</v>
      </c>
      <c r="B114" s="2">
        <v>4.954284888387507</v>
      </c>
      <c r="C114" s="2">
        <v>1.7404501116124926</v>
      </c>
    </row>
    <row r="115" spans="1:3" x14ac:dyDescent="0.3">
      <c r="A115" s="2">
        <v>89</v>
      </c>
      <c r="B115" s="2">
        <v>5.3142757650303105</v>
      </c>
      <c r="C115" s="2">
        <v>1.6940002349696899</v>
      </c>
    </row>
    <row r="116" spans="1:3" x14ac:dyDescent="0.3">
      <c r="A116" s="2">
        <v>90</v>
      </c>
      <c r="B116" s="2">
        <v>5.6733927461876252</v>
      </c>
      <c r="C116" s="2">
        <v>1.4753952538123745</v>
      </c>
    </row>
    <row r="117" spans="1:3" x14ac:dyDescent="0.3">
      <c r="A117" s="2">
        <v>91</v>
      </c>
      <c r="B117" s="2">
        <v>6.1804407792655089</v>
      </c>
      <c r="C117" s="2">
        <v>0.91047522073449105</v>
      </c>
    </row>
    <row r="118" spans="1:3" x14ac:dyDescent="0.3">
      <c r="A118" s="2">
        <v>92</v>
      </c>
      <c r="B118" s="2">
        <v>6.6028962082701277</v>
      </c>
      <c r="C118" s="2">
        <v>0.2434327917298722</v>
      </c>
    </row>
    <row r="119" spans="1:3" x14ac:dyDescent="0.3">
      <c r="A119" s="2">
        <v>93</v>
      </c>
      <c r="B119" s="2">
        <v>6.9137018416827711</v>
      </c>
      <c r="C119" s="2">
        <v>-0.41657284168277098</v>
      </c>
    </row>
    <row r="120" spans="1:3" x14ac:dyDescent="0.3">
      <c r="A120" s="2">
        <v>94</v>
      </c>
      <c r="B120" s="2">
        <v>6.9394065248553547</v>
      </c>
      <c r="C120" s="2">
        <v>-0.76017452485535486</v>
      </c>
    </row>
    <row r="121" spans="1:3" x14ac:dyDescent="0.3">
      <c r="A121" s="2">
        <v>95</v>
      </c>
      <c r="B121" s="2">
        <v>6.9656597561741815</v>
      </c>
      <c r="C121" s="2">
        <v>-1.1601517561741819</v>
      </c>
    </row>
    <row r="122" spans="1:3" x14ac:dyDescent="0.3">
      <c r="A122" s="2">
        <v>96</v>
      </c>
      <c r="B122" s="2">
        <v>6.5628364897600129</v>
      </c>
      <c r="C122" s="2">
        <v>-0.92783248976001254</v>
      </c>
    </row>
    <row r="123" spans="1:3" x14ac:dyDescent="0.3">
      <c r="A123" s="2">
        <v>97</v>
      </c>
      <c r="B123" s="2">
        <v>6.2239221916359142</v>
      </c>
      <c r="C123" s="2">
        <v>-0.70498419163591386</v>
      </c>
    </row>
    <row r="124" spans="1:3" x14ac:dyDescent="0.3">
      <c r="A124" s="2">
        <v>98</v>
      </c>
      <c r="B124" s="2">
        <v>5.9883406594006914</v>
      </c>
      <c r="C124" s="2">
        <v>-0.6038236594006916</v>
      </c>
    </row>
    <row r="125" spans="1:3" x14ac:dyDescent="0.3">
      <c r="A125" s="2">
        <v>99</v>
      </c>
      <c r="B125" s="2">
        <v>5.5025430934608046</v>
      </c>
      <c r="C125" s="2">
        <v>-8.7084093460804368E-2</v>
      </c>
    </row>
    <row r="126" spans="1:3" x14ac:dyDescent="0.3">
      <c r="A126" s="2">
        <v>100</v>
      </c>
      <c r="B126" s="2">
        <v>5.4807100120503947</v>
      </c>
      <c r="C126" s="2">
        <v>-0.13643801205039452</v>
      </c>
    </row>
    <row r="127" spans="1:3" x14ac:dyDescent="0.3">
      <c r="A127" s="2">
        <v>101</v>
      </c>
      <c r="B127" s="2">
        <v>5.2559108629404427</v>
      </c>
      <c r="C127" s="2">
        <v>9.361137059557656E-3</v>
      </c>
    </row>
    <row r="128" spans="1:3" x14ac:dyDescent="0.3">
      <c r="A128" s="2">
        <v>102</v>
      </c>
      <c r="B128" s="2">
        <v>5.1558424772468445</v>
      </c>
      <c r="C128" s="2">
        <v>2.4505227531550489E-3</v>
      </c>
    </row>
    <row r="129" spans="1:3" x14ac:dyDescent="0.3">
      <c r="A129" s="2">
        <v>103</v>
      </c>
      <c r="B129" s="2">
        <v>5.231636922828546</v>
      </c>
      <c r="C129" s="2">
        <v>-0.23047592282854623</v>
      </c>
    </row>
    <row r="130" spans="1:3" x14ac:dyDescent="0.3">
      <c r="A130" s="2">
        <v>104</v>
      </c>
      <c r="B130" s="2">
        <v>5.194269274059268</v>
      </c>
      <c r="C130" s="2">
        <v>-0.20161127405926837</v>
      </c>
    </row>
    <row r="131" spans="1:3" x14ac:dyDescent="0.3">
      <c r="A131" s="2">
        <v>105</v>
      </c>
      <c r="B131" s="2">
        <v>5.2614714612915261</v>
      </c>
      <c r="C131" s="2">
        <v>-0.32115346129152567</v>
      </c>
    </row>
    <row r="132" spans="1:3" x14ac:dyDescent="0.3">
      <c r="A132" s="2">
        <v>106</v>
      </c>
      <c r="B132" s="2">
        <v>5.1501844457617452</v>
      </c>
      <c r="C132" s="2">
        <v>-0.24731044576174543</v>
      </c>
    </row>
    <row r="133" spans="1:3" x14ac:dyDescent="0.3">
      <c r="A133" s="2">
        <v>107</v>
      </c>
      <c r="B133" s="2">
        <v>4.9861203218889036</v>
      </c>
      <c r="C133" s="2">
        <v>-7.9929321888903893E-2</v>
      </c>
    </row>
    <row r="134" spans="1:3" x14ac:dyDescent="0.3">
      <c r="A134" s="2">
        <v>108</v>
      </c>
      <c r="B134" s="2">
        <v>5.0032607676083254</v>
      </c>
      <c r="C134" s="2">
        <v>-0.19876376760832581</v>
      </c>
    </row>
    <row r="135" spans="1:3" x14ac:dyDescent="0.3">
      <c r="A135" s="2">
        <v>109</v>
      </c>
      <c r="B135" s="2">
        <v>4.9115346011297252</v>
      </c>
      <c r="C135" s="2">
        <v>-0.20290460112972486</v>
      </c>
    </row>
    <row r="136" spans="1:3" x14ac:dyDescent="0.3">
      <c r="A136" s="2">
        <v>110</v>
      </c>
      <c r="B136" s="2">
        <v>4.8045300513349369</v>
      </c>
      <c r="C136" s="2">
        <v>-0.15735305133493682</v>
      </c>
    </row>
    <row r="137" spans="1:3" x14ac:dyDescent="0.3">
      <c r="A137" s="2">
        <v>111</v>
      </c>
      <c r="B137" s="2">
        <v>4.8342994297796906</v>
      </c>
      <c r="C137" s="2">
        <v>-0.31631942977969096</v>
      </c>
    </row>
    <row r="138" spans="1:3" x14ac:dyDescent="0.3">
      <c r="A138" s="2">
        <v>112</v>
      </c>
      <c r="B138" s="2">
        <v>4.7182145139281975</v>
      </c>
      <c r="C138" s="2">
        <v>-0.33975351392819775</v>
      </c>
    </row>
    <row r="139" spans="1:3" x14ac:dyDescent="0.3">
      <c r="A139" s="2">
        <v>113</v>
      </c>
      <c r="B139" s="2">
        <v>4.6318974180783048</v>
      </c>
      <c r="C139" s="2">
        <v>-0.39550541807830442</v>
      </c>
    </row>
    <row r="140" spans="1:3" x14ac:dyDescent="0.3">
      <c r="A140" s="2">
        <v>114</v>
      </c>
      <c r="B140" s="2">
        <v>4.6397905831274597</v>
      </c>
      <c r="C140" s="2">
        <v>-0.57850558312745992</v>
      </c>
    </row>
    <row r="141" spans="1:3" x14ac:dyDescent="0.3">
      <c r="A141" s="2">
        <v>115</v>
      </c>
      <c r="B141" s="2">
        <v>4.500790080500197</v>
      </c>
      <c r="C141" s="2">
        <v>-0.58903608050019685</v>
      </c>
    </row>
    <row r="142" spans="1:3" x14ac:dyDescent="0.3">
      <c r="A142" s="2">
        <v>116</v>
      </c>
      <c r="B142" s="2">
        <v>4.3604768786146444</v>
      </c>
      <c r="C142" s="2">
        <v>-0.50478587861464419</v>
      </c>
    </row>
    <row r="143" spans="1:3" x14ac:dyDescent="0.3">
      <c r="A143" s="2">
        <v>117</v>
      </c>
      <c r="B143" s="2">
        <v>4.2591393189507274</v>
      </c>
      <c r="C143" s="2">
        <v>-0.39063531895072723</v>
      </c>
    </row>
    <row r="144" spans="1:3" x14ac:dyDescent="0.3">
      <c r="A144" s="2">
        <v>118</v>
      </c>
      <c r="B144" s="2">
        <v>4.1476230393135216</v>
      </c>
      <c r="C144" s="2">
        <v>-0.29966603931352154</v>
      </c>
    </row>
    <row r="145" spans="1:3" ht="15" thickBot="1" x14ac:dyDescent="0.35">
      <c r="A145" s="3">
        <v>119</v>
      </c>
      <c r="B145" s="3">
        <v>4.0466470897961031</v>
      </c>
      <c r="C145" s="3">
        <v>-0.167516089796103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AC7D-E897-433C-85C8-AE7634AEE5B8}">
  <dimension ref="A1:I146"/>
  <sheetViews>
    <sheetView workbookViewId="0">
      <selection activeCell="K25" sqref="K25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0.87725776753791684</v>
      </c>
    </row>
    <row r="5" spans="1:9" x14ac:dyDescent="0.3">
      <c r="A5" s="2" t="s">
        <v>21</v>
      </c>
      <c r="B5" s="2">
        <v>0.76958119070560971</v>
      </c>
    </row>
    <row r="6" spans="1:9" x14ac:dyDescent="0.3">
      <c r="A6" s="2" t="s">
        <v>22</v>
      </c>
      <c r="B6" s="2">
        <v>0.76149632020405211</v>
      </c>
    </row>
    <row r="7" spans="1:9" x14ac:dyDescent="0.3">
      <c r="A7" s="2" t="s">
        <v>23</v>
      </c>
      <c r="B7" s="2">
        <v>0.84845616541631219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274.09441579558256</v>
      </c>
      <c r="D12" s="2">
        <v>68.523603948895641</v>
      </c>
      <c r="E12" s="2">
        <v>95.18781909461002</v>
      </c>
      <c r="F12" s="2">
        <v>2.0674760553751862E-35</v>
      </c>
    </row>
    <row r="13" spans="1:9" x14ac:dyDescent="0.3">
      <c r="A13" s="2" t="s">
        <v>27</v>
      </c>
      <c r="B13" s="2">
        <v>114</v>
      </c>
      <c r="C13" s="2">
        <v>82.066076568156575</v>
      </c>
      <c r="D13" s="2">
        <v>0.71987786463295245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356.16049236373914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38.284174298774118</v>
      </c>
      <c r="C17" s="2">
        <v>7.8615015517698215</v>
      </c>
      <c r="D17" s="2">
        <v>4.8698297706441833</v>
      </c>
      <c r="E17" s="2">
        <v>3.6279363533198855E-6</v>
      </c>
      <c r="F17" s="2">
        <v>22.710600274192835</v>
      </c>
      <c r="G17" s="2">
        <v>53.857748323355402</v>
      </c>
      <c r="H17" s="2">
        <v>22.710600274192835</v>
      </c>
      <c r="I17" s="2">
        <v>53.857748323355402</v>
      </c>
    </row>
    <row r="18" spans="1:9" x14ac:dyDescent="0.3">
      <c r="A18" s="2" t="s">
        <v>42</v>
      </c>
      <c r="B18" s="2">
        <v>0.82652171677052877</v>
      </c>
      <c r="C18" s="2">
        <v>5.5322472334513928E-2</v>
      </c>
      <c r="D18" s="2">
        <v>14.940071943510887</v>
      </c>
      <c r="E18" s="2">
        <v>1.2995747037075416E-28</v>
      </c>
      <c r="F18" s="2">
        <v>0.71692832517087413</v>
      </c>
      <c r="G18" s="2">
        <v>0.93611510837018341</v>
      </c>
      <c r="H18" s="2">
        <v>0.71692832517087413</v>
      </c>
      <c r="I18" s="2">
        <v>0.93611510837018341</v>
      </c>
    </row>
    <row r="19" spans="1:9" x14ac:dyDescent="0.3">
      <c r="A19" s="2" t="s">
        <v>43</v>
      </c>
      <c r="B19" s="2">
        <v>0.22084760033220327</v>
      </c>
      <c r="C19" s="2">
        <v>5.502684728990468E-2</v>
      </c>
      <c r="D19" s="2">
        <v>4.0134518186856099</v>
      </c>
      <c r="E19" s="2">
        <v>1.0742096185758955E-4</v>
      </c>
      <c r="F19" s="2">
        <v>0.11183983966900829</v>
      </c>
      <c r="G19" s="2">
        <v>0.32985536099539825</v>
      </c>
      <c r="H19" s="2">
        <v>0.11183983966900829</v>
      </c>
      <c r="I19" s="2">
        <v>0.32985536099539825</v>
      </c>
    </row>
    <row r="20" spans="1:9" x14ac:dyDescent="0.3">
      <c r="A20" s="2" t="s">
        <v>44</v>
      </c>
      <c r="B20" s="2">
        <v>-2.0885149850296187</v>
      </c>
      <c r="C20" s="2">
        <v>0.6974621991988903</v>
      </c>
      <c r="D20" s="2">
        <v>-2.9944490001443818</v>
      </c>
      <c r="E20" s="2">
        <v>3.3726989092732187E-3</v>
      </c>
      <c r="F20" s="2">
        <v>-3.4701822297719254</v>
      </c>
      <c r="G20" s="2">
        <v>-0.70684774028731234</v>
      </c>
      <c r="H20" s="2">
        <v>-3.4701822297719254</v>
      </c>
      <c r="I20" s="2">
        <v>-0.70684774028731234</v>
      </c>
    </row>
    <row r="21" spans="1:9" ht="15" thickBot="1" x14ac:dyDescent="0.35">
      <c r="A21" s="3" t="s">
        <v>61</v>
      </c>
      <c r="B21" s="3">
        <v>-35.23057408830703</v>
      </c>
      <c r="C21" s="3">
        <v>7.8063547380962151</v>
      </c>
      <c r="D21" s="3">
        <v>-4.5130634297691339</v>
      </c>
      <c r="E21" s="3">
        <v>1.5633590320575585E-5</v>
      </c>
      <c r="F21" s="3">
        <v>-50.69490269974299</v>
      </c>
      <c r="G21" s="3">
        <v>-19.76624547687107</v>
      </c>
      <c r="H21" s="3">
        <v>-50.69490269974299</v>
      </c>
      <c r="I21" s="3">
        <v>-19.76624547687107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7.6486601191154833</v>
      </c>
      <c r="C28" s="2">
        <v>-0.61677411911548319</v>
      </c>
    </row>
    <row r="29" spans="1:9" x14ac:dyDescent="0.3">
      <c r="A29" s="2">
        <v>2</v>
      </c>
      <c r="B29" s="2">
        <v>7.695679496648637</v>
      </c>
      <c r="C29" s="2">
        <v>-0.98713649664863734</v>
      </c>
    </row>
    <row r="30" spans="1:9" x14ac:dyDescent="0.3">
      <c r="A30" s="2">
        <v>3</v>
      </c>
      <c r="B30" s="2">
        <v>7.7103316030963285</v>
      </c>
      <c r="C30" s="2">
        <v>-1.0136356030963283</v>
      </c>
    </row>
    <row r="31" spans="1:9" x14ac:dyDescent="0.3">
      <c r="A31" s="2">
        <v>4</v>
      </c>
      <c r="B31" s="2">
        <v>7.2369157762634586</v>
      </c>
      <c r="C31" s="2">
        <v>-0.50557977626345885</v>
      </c>
    </row>
    <row r="32" spans="1:9" x14ac:dyDescent="0.3">
      <c r="A32" s="2">
        <v>5</v>
      </c>
      <c r="B32" s="2">
        <v>7.1937841869048071</v>
      </c>
      <c r="C32" s="2">
        <v>-0.46318318690480709</v>
      </c>
    </row>
    <row r="33" spans="1:3" x14ac:dyDescent="0.3">
      <c r="A33" s="2">
        <v>6</v>
      </c>
      <c r="B33" s="2">
        <v>6.7232946368201354</v>
      </c>
      <c r="C33" s="2">
        <v>0.19650136317986444</v>
      </c>
    </row>
    <row r="34" spans="1:3" x14ac:dyDescent="0.3">
      <c r="A34" s="2">
        <v>7</v>
      </c>
      <c r="B34" s="2">
        <v>6.7324402370831962</v>
      </c>
      <c r="C34" s="2">
        <v>6.2145762916803626E-2</v>
      </c>
    </row>
    <row r="35" spans="1:3" x14ac:dyDescent="0.3">
      <c r="A35" s="2">
        <v>8</v>
      </c>
      <c r="B35" s="2">
        <v>6.747039091853452</v>
      </c>
      <c r="C35" s="2">
        <v>-8.5727091853452286E-2</v>
      </c>
    </row>
    <row r="36" spans="1:3" x14ac:dyDescent="0.3">
      <c r="A36" s="2">
        <v>9</v>
      </c>
      <c r="B36" s="2">
        <v>6.6641591502270217</v>
      </c>
      <c r="C36" s="2">
        <v>-0.33653815022702194</v>
      </c>
    </row>
    <row r="37" spans="1:3" x14ac:dyDescent="0.3">
      <c r="A37" s="2">
        <v>10</v>
      </c>
      <c r="B37" s="2">
        <v>7.12132057825864</v>
      </c>
      <c r="C37" s="2">
        <v>-1.14061857825864</v>
      </c>
    </row>
    <row r="38" spans="1:3" x14ac:dyDescent="0.3">
      <c r="A38" s="2">
        <v>11</v>
      </c>
      <c r="B38" s="2">
        <v>6.6966493453517657</v>
      </c>
      <c r="C38" s="2">
        <v>-0.75387334535176542</v>
      </c>
    </row>
    <row r="39" spans="1:3" x14ac:dyDescent="0.3">
      <c r="A39" s="2">
        <v>12</v>
      </c>
      <c r="B39" s="2">
        <v>6.2898140525672517</v>
      </c>
      <c r="C39" s="2">
        <v>-0.30212805256725161</v>
      </c>
    </row>
    <row r="40" spans="1:3" x14ac:dyDescent="0.3">
      <c r="A40" s="2">
        <v>13</v>
      </c>
      <c r="B40" s="2">
        <v>6.3309463634075556</v>
      </c>
      <c r="C40" s="2">
        <v>-0.19022236340755594</v>
      </c>
    </row>
    <row r="41" spans="1:3" x14ac:dyDescent="0.3">
      <c r="A41" s="2">
        <v>14</v>
      </c>
      <c r="B41" s="2">
        <v>6.2547343488516276</v>
      </c>
      <c r="C41" s="2">
        <v>1.338865114837251E-2</v>
      </c>
    </row>
    <row r="42" spans="1:3" x14ac:dyDescent="0.3">
      <c r="A42" s="2">
        <v>15</v>
      </c>
      <c r="B42" s="2">
        <v>6.6229987125491903</v>
      </c>
      <c r="C42" s="2">
        <v>-0.56963671254919035</v>
      </c>
    </row>
    <row r="43" spans="1:3" x14ac:dyDescent="0.3">
      <c r="A43" s="2">
        <v>16</v>
      </c>
      <c r="B43" s="2">
        <v>6.9207883999649269</v>
      </c>
      <c r="C43" s="2">
        <v>-0.71778239996492665</v>
      </c>
    </row>
    <row r="44" spans="1:3" x14ac:dyDescent="0.3">
      <c r="A44" s="2">
        <v>17</v>
      </c>
      <c r="B44" s="2">
        <v>6.9201846679301013</v>
      </c>
      <c r="C44" s="2">
        <v>-0.6060386679301013</v>
      </c>
    </row>
    <row r="45" spans="1:3" x14ac:dyDescent="0.3">
      <c r="A45" s="2">
        <v>18</v>
      </c>
      <c r="B45" s="2">
        <v>6.8210449125695902</v>
      </c>
      <c r="C45" s="2">
        <v>-1.7253912569589858E-2</v>
      </c>
    </row>
    <row r="46" spans="1:3" x14ac:dyDescent="0.3">
      <c r="A46" s="2">
        <v>19</v>
      </c>
      <c r="B46" s="2">
        <v>6.3992228210691522</v>
      </c>
      <c r="C46" s="2">
        <v>1.2062321789308479</v>
      </c>
    </row>
    <row r="47" spans="1:3" x14ac:dyDescent="0.3">
      <c r="A47" s="2">
        <v>20</v>
      </c>
      <c r="B47" s="2">
        <v>6.4541819887686529</v>
      </c>
      <c r="C47" s="2">
        <v>2.1749810112313472</v>
      </c>
    </row>
    <row r="48" spans="1:3" x14ac:dyDescent="0.3">
      <c r="A48" s="2">
        <v>21</v>
      </c>
      <c r="B48" s="2">
        <v>6.3386742717390732</v>
      </c>
      <c r="C48" s="2">
        <v>3.2806017282609261</v>
      </c>
    </row>
    <row r="49" spans="1:3" x14ac:dyDescent="0.3">
      <c r="A49" s="2">
        <v>22</v>
      </c>
      <c r="B49" s="2">
        <v>6.6162875260606526</v>
      </c>
      <c r="C49" s="2">
        <v>3.3617424739393478</v>
      </c>
    </row>
    <row r="50" spans="1:3" x14ac:dyDescent="0.3">
      <c r="A50" s="2">
        <v>23</v>
      </c>
      <c r="B50" s="2">
        <v>7.2447176402394433</v>
      </c>
      <c r="C50" s="2">
        <v>3.0302523597605564</v>
      </c>
    </row>
    <row r="51" spans="1:3" x14ac:dyDescent="0.3">
      <c r="A51" s="2">
        <v>24</v>
      </c>
      <c r="B51" s="2">
        <v>8.0464482252215745</v>
      </c>
      <c r="C51" s="2">
        <v>2.2460317747784249</v>
      </c>
    </row>
    <row r="52" spans="1:3" x14ac:dyDescent="0.3">
      <c r="A52" s="2">
        <v>25</v>
      </c>
      <c r="B52" s="2">
        <v>9.2456286404251813</v>
      </c>
      <c r="C52" s="2">
        <v>0.94655135957481917</v>
      </c>
    </row>
    <row r="53" spans="1:3" x14ac:dyDescent="0.3">
      <c r="A53" s="2">
        <v>26</v>
      </c>
      <c r="B53" s="2">
        <v>9.9975499458689256</v>
      </c>
      <c r="C53" s="2">
        <v>0.15327005413107386</v>
      </c>
    </row>
    <row r="54" spans="1:3" x14ac:dyDescent="0.3">
      <c r="A54" s="2">
        <v>27</v>
      </c>
      <c r="B54" s="2">
        <v>10.062420552197779</v>
      </c>
      <c r="C54" s="2">
        <v>-2.8310552197778449E-2</v>
      </c>
    </row>
    <row r="55" spans="1:3" x14ac:dyDescent="0.3">
      <c r="A55" s="2">
        <v>28</v>
      </c>
      <c r="B55" s="2">
        <v>10.208792546725263</v>
      </c>
      <c r="C55" s="2">
        <v>-0.4324935467252633</v>
      </c>
    </row>
    <row r="56" spans="1:3" x14ac:dyDescent="0.3">
      <c r="A56" s="2">
        <v>29</v>
      </c>
      <c r="B56" s="2">
        <v>9.9534760607645083</v>
      </c>
      <c r="C56" s="2">
        <v>-0.38809506076450795</v>
      </c>
    </row>
    <row r="57" spans="1:3" x14ac:dyDescent="0.3">
      <c r="A57" s="2">
        <v>30</v>
      </c>
      <c r="B57" s="2">
        <v>9.6285807780934363</v>
      </c>
      <c r="C57" s="2">
        <v>-8.0192778093437056E-2</v>
      </c>
    </row>
    <row r="58" spans="1:3" x14ac:dyDescent="0.3">
      <c r="A58" s="2">
        <v>31</v>
      </c>
      <c r="B58" s="2">
        <v>9.6559077874359076</v>
      </c>
      <c r="C58" s="2">
        <v>-9.6787787435907546E-2</v>
      </c>
    </row>
    <row r="59" spans="1:3" x14ac:dyDescent="0.3">
      <c r="A59" s="2">
        <v>32</v>
      </c>
      <c r="B59" s="2">
        <v>9.3935718374693451</v>
      </c>
      <c r="C59" s="2">
        <v>0.15869116253065485</v>
      </c>
    </row>
    <row r="60" spans="1:3" x14ac:dyDescent="0.3">
      <c r="A60" s="2">
        <v>33</v>
      </c>
      <c r="B60" s="2">
        <v>9.1404228998945527</v>
      </c>
      <c r="C60" s="2">
        <v>0.25825510010544761</v>
      </c>
    </row>
    <row r="61" spans="1:3" x14ac:dyDescent="0.3">
      <c r="A61" s="2">
        <v>34</v>
      </c>
      <c r="B61" s="2">
        <v>9.2618758916052784</v>
      </c>
      <c r="C61" s="2">
        <v>-0.16294689160527831</v>
      </c>
    </row>
    <row r="62" spans="1:3" x14ac:dyDescent="0.3">
      <c r="A62" s="2">
        <v>35</v>
      </c>
      <c r="B62" s="2">
        <v>9.2289257304856704</v>
      </c>
      <c r="C62" s="2">
        <v>-0.63149473048567017</v>
      </c>
    </row>
    <row r="63" spans="1:3" x14ac:dyDescent="0.3">
      <c r="A63" s="2">
        <v>36</v>
      </c>
      <c r="B63" s="2">
        <v>8.9818862060208531</v>
      </c>
      <c r="C63" s="2">
        <v>-0.83548020602085238</v>
      </c>
    </row>
    <row r="64" spans="1:3" x14ac:dyDescent="0.3">
      <c r="A64" s="2">
        <v>37</v>
      </c>
      <c r="B64" s="2">
        <v>8.8555420433991188</v>
      </c>
      <c r="C64" s="2">
        <v>-1.066383043399119</v>
      </c>
    </row>
    <row r="65" spans="1:3" x14ac:dyDescent="0.3">
      <c r="A65" s="2">
        <v>38</v>
      </c>
      <c r="B65" s="2">
        <v>8.7080927491007927</v>
      </c>
      <c r="C65" s="2">
        <v>-1.1832447491007922</v>
      </c>
    </row>
    <row r="66" spans="1:3" x14ac:dyDescent="0.3">
      <c r="A66" s="2">
        <v>39</v>
      </c>
      <c r="B66" s="2">
        <v>8.2996334439487143</v>
      </c>
      <c r="C66" s="2">
        <v>-0.71860744394871467</v>
      </c>
    </row>
    <row r="67" spans="1:3" x14ac:dyDescent="0.3">
      <c r="A67" s="2">
        <v>40</v>
      </c>
      <c r="B67" s="2">
        <v>8.0482286658969855</v>
      </c>
      <c r="C67" s="2">
        <v>-0.33129566589698545</v>
      </c>
    </row>
    <row r="68" spans="1:3" x14ac:dyDescent="0.3">
      <c r="A68" s="2">
        <v>41</v>
      </c>
      <c r="B68" s="2">
        <v>7.8322452524880575</v>
      </c>
      <c r="C68" s="2">
        <v>9.6107747511942954E-2</v>
      </c>
    </row>
    <row r="69" spans="1:3" x14ac:dyDescent="0.3">
      <c r="A69" s="2">
        <v>42</v>
      </c>
      <c r="B69" s="2">
        <v>7.5823706889046392</v>
      </c>
      <c r="C69" s="2">
        <v>0.67003731109536169</v>
      </c>
    </row>
    <row r="70" spans="1:3" x14ac:dyDescent="0.3">
      <c r="A70" s="2">
        <v>43</v>
      </c>
      <c r="B70" s="2">
        <v>7.6246088650825925</v>
      </c>
      <c r="C70" s="2">
        <v>0.74433313491740805</v>
      </c>
    </row>
    <row r="71" spans="1:3" x14ac:dyDescent="0.3">
      <c r="A71" s="2">
        <v>44</v>
      </c>
      <c r="B71" s="2">
        <v>7.7234972031269606</v>
      </c>
      <c r="C71" s="2">
        <v>0.61392679687303975</v>
      </c>
    </row>
    <row r="72" spans="1:3" x14ac:dyDescent="0.3">
      <c r="A72" s="2">
        <v>45</v>
      </c>
      <c r="B72" s="2">
        <v>7.9377163763811893</v>
      </c>
      <c r="C72" s="2">
        <v>0.106231623618811</v>
      </c>
    </row>
    <row r="73" spans="1:3" x14ac:dyDescent="0.3">
      <c r="A73" s="2">
        <v>46</v>
      </c>
      <c r="B73" s="2">
        <v>8.1968334158471023</v>
      </c>
      <c r="C73" s="2">
        <v>-0.55860141584710199</v>
      </c>
    </row>
    <row r="74" spans="1:3" x14ac:dyDescent="0.3">
      <c r="A74" s="2">
        <v>47</v>
      </c>
      <c r="B74" s="2">
        <v>8.0074586550786933</v>
      </c>
      <c r="C74" s="2">
        <v>-0.71296365507869286</v>
      </c>
    </row>
    <row r="75" spans="1:3" x14ac:dyDescent="0.3">
      <c r="A75" s="2">
        <v>48</v>
      </c>
      <c r="B75" s="2">
        <v>7.6275788219061482</v>
      </c>
      <c r="C75" s="2">
        <v>-0.48879082190614831</v>
      </c>
    </row>
    <row r="76" spans="1:3" x14ac:dyDescent="0.3">
      <c r="A76" s="2">
        <v>49</v>
      </c>
      <c r="B76" s="2">
        <v>7.1964187725541677</v>
      </c>
      <c r="C76" s="2">
        <v>-0.11046877255416732</v>
      </c>
    </row>
    <row r="77" spans="1:3" x14ac:dyDescent="0.3">
      <c r="A77" s="2">
        <v>50</v>
      </c>
      <c r="B77" s="2">
        <v>6.7493633471944747</v>
      </c>
      <c r="C77" s="2">
        <v>0.41555565280552553</v>
      </c>
    </row>
    <row r="78" spans="1:3" x14ac:dyDescent="0.3">
      <c r="A78" s="2">
        <v>51</v>
      </c>
      <c r="B78" s="2">
        <v>6.4077747671430743</v>
      </c>
      <c r="C78" s="2">
        <v>0.99397223285692604</v>
      </c>
    </row>
    <row r="79" spans="1:3" x14ac:dyDescent="0.3">
      <c r="A79" s="2">
        <v>52</v>
      </c>
      <c r="B79" s="2">
        <v>6.2860907947870643</v>
      </c>
      <c r="C79" s="2">
        <v>1.1814322052129356</v>
      </c>
    </row>
    <row r="80" spans="1:3" x14ac:dyDescent="0.3">
      <c r="A80" s="2">
        <v>53</v>
      </c>
      <c r="B80" s="2">
        <v>6.3750222200950475</v>
      </c>
      <c r="C80" s="2">
        <v>1.1991607799049522</v>
      </c>
    </row>
    <row r="81" spans="1:3" x14ac:dyDescent="0.3">
      <c r="A81" s="2">
        <v>54</v>
      </c>
      <c r="B81" s="2">
        <v>6.7377733773643911</v>
      </c>
      <c r="C81" s="2">
        <v>1.0076566226356087</v>
      </c>
    </row>
    <row r="82" spans="1:3" x14ac:dyDescent="0.3">
      <c r="A82" s="2">
        <v>55</v>
      </c>
      <c r="B82" s="2">
        <v>7.3590104423483282</v>
      </c>
      <c r="C82" s="2">
        <v>0.43567455765167207</v>
      </c>
    </row>
    <row r="83" spans="1:3" x14ac:dyDescent="0.3">
      <c r="A83" s="2">
        <v>56</v>
      </c>
      <c r="B83" s="2">
        <v>7.8740331011920901</v>
      </c>
      <c r="C83" s="2">
        <v>0.12307889880791034</v>
      </c>
    </row>
    <row r="84" spans="1:3" x14ac:dyDescent="0.3">
      <c r="A84" s="2">
        <v>57</v>
      </c>
      <c r="B84" s="2">
        <v>8.3074604078393506</v>
      </c>
      <c r="C84" s="2">
        <v>8.5927592160649269E-2</v>
      </c>
    </row>
    <row r="85" spans="1:3" x14ac:dyDescent="0.3">
      <c r="A85" s="2">
        <v>58</v>
      </c>
      <c r="B85" s="2">
        <v>8.4716932072214632</v>
      </c>
      <c r="C85" s="2">
        <v>0.25609779277853661</v>
      </c>
    </row>
    <row r="86" spans="1:3" x14ac:dyDescent="0.3">
      <c r="A86" s="2">
        <v>59</v>
      </c>
      <c r="B86" s="2">
        <v>8.1856862601100886</v>
      </c>
      <c r="C86" s="2">
        <v>0.77023173988991189</v>
      </c>
    </row>
    <row r="87" spans="1:3" x14ac:dyDescent="0.3">
      <c r="A87" s="2">
        <v>60</v>
      </c>
      <c r="B87" s="2">
        <v>8.0085563779901818</v>
      </c>
      <c r="C87" s="2">
        <v>0.95673262200981846</v>
      </c>
    </row>
    <row r="88" spans="1:3" x14ac:dyDescent="0.3">
      <c r="A88" s="2">
        <v>61</v>
      </c>
      <c r="B88" s="2">
        <v>8.0184810249420337</v>
      </c>
      <c r="C88" s="2">
        <v>0.92035697505796676</v>
      </c>
    </row>
    <row r="89" spans="1:3" x14ac:dyDescent="0.3">
      <c r="A89" s="2">
        <v>62</v>
      </c>
      <c r="B89" s="2">
        <v>8.503683152030888</v>
      </c>
      <c r="C89" s="2">
        <v>0.30048484796911268</v>
      </c>
    </row>
    <row r="90" spans="1:3" x14ac:dyDescent="0.3">
      <c r="A90" s="2">
        <v>63</v>
      </c>
      <c r="B90" s="2">
        <v>8.7626741543833191</v>
      </c>
      <c r="C90" s="2">
        <v>-8.4374154383318967E-2</v>
      </c>
    </row>
    <row r="91" spans="1:3" x14ac:dyDescent="0.3">
      <c r="A91" s="2">
        <v>64</v>
      </c>
      <c r="B91" s="2">
        <v>8.8524946877855868</v>
      </c>
      <c r="C91" s="2">
        <v>-0.12959168778558627</v>
      </c>
    </row>
    <row r="92" spans="1:3" x14ac:dyDescent="0.3">
      <c r="A92" s="2">
        <v>65</v>
      </c>
      <c r="B92" s="2">
        <v>8.8394522123340025</v>
      </c>
      <c r="C92" s="2">
        <v>-0.44498821233400321</v>
      </c>
    </row>
    <row r="93" spans="1:3" x14ac:dyDescent="0.3">
      <c r="A93" s="2">
        <v>66</v>
      </c>
      <c r="B93" s="2">
        <v>8.5698376789680495</v>
      </c>
      <c r="C93" s="2">
        <v>-0.20327967896804999</v>
      </c>
    </row>
    <row r="94" spans="1:3" x14ac:dyDescent="0.3">
      <c r="A94" s="2">
        <v>67</v>
      </c>
      <c r="B94" s="2">
        <v>8.4230486456259399</v>
      </c>
      <c r="C94" s="2">
        <v>-0.16071264562594045</v>
      </c>
    </row>
    <row r="95" spans="1:3" x14ac:dyDescent="0.3">
      <c r="A95" s="2">
        <v>68</v>
      </c>
      <c r="B95" s="2">
        <v>8.1770162041338921</v>
      </c>
      <c r="C95" s="2">
        <v>-0.21805420413389243</v>
      </c>
    </row>
    <row r="96" spans="1:3" x14ac:dyDescent="0.3">
      <c r="A96" s="2">
        <v>69</v>
      </c>
      <c r="B96" s="2">
        <v>7.947776572829909</v>
      </c>
      <c r="C96" s="2">
        <v>-5.6294572829909129E-2</v>
      </c>
    </row>
    <row r="97" spans="1:3" x14ac:dyDescent="0.3">
      <c r="A97" s="2">
        <v>70</v>
      </c>
      <c r="B97" s="2">
        <v>7.804954999415969</v>
      </c>
      <c r="C97" s="2">
        <v>-0.2930179994159694</v>
      </c>
    </row>
    <row r="98" spans="1:3" x14ac:dyDescent="0.3">
      <c r="A98" s="2">
        <v>71</v>
      </c>
      <c r="B98" s="2">
        <v>7.3302222205485918</v>
      </c>
      <c r="C98" s="2">
        <v>-0.30914222054859142</v>
      </c>
    </row>
    <row r="99" spans="1:3" x14ac:dyDescent="0.3">
      <c r="A99" s="2">
        <v>72</v>
      </c>
      <c r="B99" s="2">
        <v>7.1092397813266714</v>
      </c>
      <c r="C99" s="2">
        <v>-0.44451778132667119</v>
      </c>
    </row>
    <row r="100" spans="1:3" x14ac:dyDescent="0.3">
      <c r="A100" s="2">
        <v>73</v>
      </c>
      <c r="B100" s="2">
        <v>7.0468142584757558</v>
      </c>
      <c r="C100" s="2">
        <v>-0.69616525847575605</v>
      </c>
    </row>
    <row r="101" spans="1:3" x14ac:dyDescent="0.3">
      <c r="A101" s="2">
        <v>74</v>
      </c>
      <c r="B101" s="2">
        <v>6.7570685468811362</v>
      </c>
      <c r="C101" s="2">
        <v>-0.80033354688113612</v>
      </c>
    </row>
    <row r="102" spans="1:3" x14ac:dyDescent="0.3">
      <c r="A102" s="2">
        <v>75</v>
      </c>
      <c r="B102" s="2">
        <v>6.5182704803647553</v>
      </c>
      <c r="C102" s="2">
        <v>-0.61134948036475567</v>
      </c>
    </row>
    <row r="103" spans="1:3" x14ac:dyDescent="0.3">
      <c r="A103" s="2">
        <v>76</v>
      </c>
      <c r="B103" s="2">
        <v>6.6384836272353525</v>
      </c>
      <c r="C103" s="2">
        <v>-0.79983862723535282</v>
      </c>
    </row>
    <row r="104" spans="1:3" x14ac:dyDescent="0.3">
      <c r="A104" s="2">
        <v>77</v>
      </c>
      <c r="B104" s="2">
        <v>6.1932169750782791</v>
      </c>
      <c r="C104" s="2">
        <v>-0.53859797507827878</v>
      </c>
    </row>
    <row r="105" spans="1:3" x14ac:dyDescent="0.3">
      <c r="A105" s="2">
        <v>78</v>
      </c>
      <c r="B105" s="2">
        <v>5.8352640836543301</v>
      </c>
      <c r="C105" s="2">
        <v>-0.27739008365433016</v>
      </c>
    </row>
    <row r="106" spans="1:3" x14ac:dyDescent="0.3">
      <c r="A106" s="2">
        <v>79</v>
      </c>
      <c r="B106" s="2">
        <v>5.857890227213808</v>
      </c>
      <c r="C106" s="2">
        <v>-0.64155322721380781</v>
      </c>
    </row>
    <row r="107" spans="1:3" x14ac:dyDescent="0.3">
      <c r="A107" s="2">
        <v>80</v>
      </c>
      <c r="B107" s="2">
        <v>5.0911415186230187</v>
      </c>
      <c r="C107" s="2">
        <v>-0.24009451862301834</v>
      </c>
    </row>
    <row r="108" spans="1:3" x14ac:dyDescent="0.3">
      <c r="A108" s="2">
        <v>81</v>
      </c>
      <c r="B108" s="2">
        <v>4.7764089817831845</v>
      </c>
      <c r="C108" s="2">
        <v>-0.23388898178318485</v>
      </c>
    </row>
    <row r="109" spans="1:3" x14ac:dyDescent="0.3">
      <c r="A109" s="2">
        <v>82</v>
      </c>
      <c r="B109" s="2">
        <v>4.6329934137227298</v>
      </c>
      <c r="C109" s="2">
        <v>-0.36540641372272997</v>
      </c>
    </row>
    <row r="110" spans="1:3" x14ac:dyDescent="0.3">
      <c r="A110" s="2">
        <v>83</v>
      </c>
      <c r="B110" s="2">
        <v>4.0489691774269545</v>
      </c>
      <c r="C110" s="2">
        <v>0.10614182257304527</v>
      </c>
    </row>
    <row r="111" spans="1:3" x14ac:dyDescent="0.3">
      <c r="A111" s="2">
        <v>84</v>
      </c>
      <c r="B111" s="2">
        <v>4.9380786569125661</v>
      </c>
      <c r="C111" s="2">
        <v>-0.57061965691256589</v>
      </c>
    </row>
    <row r="112" spans="1:3" x14ac:dyDescent="0.3">
      <c r="A112" s="2">
        <v>85</v>
      </c>
      <c r="B112" s="2">
        <v>5.3647297490156447</v>
      </c>
      <c r="C112" s="2">
        <v>-0.55204774901564502</v>
      </c>
    </row>
    <row r="113" spans="1:3" x14ac:dyDescent="0.3">
      <c r="A113" s="2">
        <v>86</v>
      </c>
      <c r="B113" s="2">
        <v>5.7567097855673168</v>
      </c>
      <c r="C113" s="2">
        <v>-0.31270878556731674</v>
      </c>
    </row>
    <row r="114" spans="1:3" x14ac:dyDescent="0.3">
      <c r="A114" s="2">
        <v>87</v>
      </c>
      <c r="B114" s="2">
        <v>6.024646735095871</v>
      </c>
      <c r="C114" s="2">
        <v>0.15933426490412916</v>
      </c>
    </row>
    <row r="115" spans="1:3" x14ac:dyDescent="0.3">
      <c r="A115" s="2">
        <v>88</v>
      </c>
      <c r="B115" s="2">
        <v>5.1337684457048809</v>
      </c>
      <c r="C115" s="2">
        <v>1.5609665542951188</v>
      </c>
    </row>
    <row r="116" spans="1:3" x14ac:dyDescent="0.3">
      <c r="A116" s="2">
        <v>89</v>
      </c>
      <c r="B116" s="2">
        <v>5.2230187837833739</v>
      </c>
      <c r="C116" s="2">
        <v>1.7852572162166265</v>
      </c>
    </row>
    <row r="117" spans="1:3" x14ac:dyDescent="0.3">
      <c r="A117" s="2">
        <v>90</v>
      </c>
      <c r="B117" s="2">
        <v>5.7538849661933114</v>
      </c>
      <c r="C117" s="2">
        <v>1.3949030338066883</v>
      </c>
    </row>
    <row r="118" spans="1:3" x14ac:dyDescent="0.3">
      <c r="A118" s="2">
        <v>91</v>
      </c>
      <c r="B118" s="2">
        <v>6.3468124086827586</v>
      </c>
      <c r="C118" s="2">
        <v>0.74410359131724135</v>
      </c>
    </row>
    <row r="119" spans="1:3" x14ac:dyDescent="0.3">
      <c r="A119" s="2">
        <v>92</v>
      </c>
      <c r="B119" s="2">
        <v>6.7663790381162485</v>
      </c>
      <c r="C119" s="2">
        <v>7.9949961883751364E-2</v>
      </c>
    </row>
    <row r="120" spans="1:3" x14ac:dyDescent="0.3">
      <c r="A120" s="2">
        <v>93</v>
      </c>
      <c r="B120" s="2">
        <v>6.8363022373966871</v>
      </c>
      <c r="C120" s="2">
        <v>-0.33917323739668692</v>
      </c>
    </row>
    <row r="121" spans="1:3" x14ac:dyDescent="0.3">
      <c r="A121" s="2">
        <v>94</v>
      </c>
      <c r="B121" s="2">
        <v>6.4049672112903906</v>
      </c>
      <c r="C121" s="2">
        <v>-0.22573521129039076</v>
      </c>
    </row>
    <row r="122" spans="1:3" x14ac:dyDescent="0.3">
      <c r="A122" s="2">
        <v>95</v>
      </c>
      <c r="B122" s="2">
        <v>6.1694026953754673</v>
      </c>
      <c r="C122" s="2">
        <v>-0.36389469537546759</v>
      </c>
    </row>
    <row r="123" spans="1:3" x14ac:dyDescent="0.3">
      <c r="A123" s="2">
        <v>96</v>
      </c>
      <c r="B123" s="2">
        <v>5.8608264156199112</v>
      </c>
      <c r="C123" s="2">
        <v>-0.2258224156199109</v>
      </c>
    </row>
    <row r="124" spans="1:3" x14ac:dyDescent="0.3">
      <c r="A124" s="2">
        <v>97</v>
      </c>
      <c r="B124" s="2">
        <v>5.7126977754826811</v>
      </c>
      <c r="C124" s="2">
        <v>-0.19375977548268075</v>
      </c>
    </row>
    <row r="125" spans="1:3" x14ac:dyDescent="0.3">
      <c r="A125" s="2">
        <v>98</v>
      </c>
      <c r="B125" s="2">
        <v>5.7773108192429703</v>
      </c>
      <c r="C125" s="2">
        <v>-0.39279381924297052</v>
      </c>
    </row>
    <row r="126" spans="1:3" x14ac:dyDescent="0.3">
      <c r="A126" s="2">
        <v>99</v>
      </c>
      <c r="B126" s="2">
        <v>5.3557159875282636</v>
      </c>
      <c r="C126" s="2">
        <v>5.9743012471736634E-2</v>
      </c>
    </row>
    <row r="127" spans="1:3" x14ac:dyDescent="0.3">
      <c r="A127" s="2">
        <v>100</v>
      </c>
      <c r="B127" s="2">
        <v>5.2593574976292032</v>
      </c>
      <c r="C127" s="2">
        <v>8.4914502370796896E-2</v>
      </c>
    </row>
    <row r="128" spans="1:3" x14ac:dyDescent="0.3">
      <c r="A128" s="2">
        <v>101</v>
      </c>
      <c r="B128" s="2">
        <v>5.1446535140099172</v>
      </c>
      <c r="C128" s="2">
        <v>0.12061848599008318</v>
      </c>
    </row>
    <row r="129" spans="1:3" x14ac:dyDescent="0.3">
      <c r="A129" s="2">
        <v>102</v>
      </c>
      <c r="B129" s="2">
        <v>5.1660907807619481</v>
      </c>
      <c r="C129" s="2">
        <v>-7.7977807619484807E-3</v>
      </c>
    </row>
    <row r="130" spans="1:3" x14ac:dyDescent="0.3">
      <c r="A130" s="2">
        <v>103</v>
      </c>
      <c r="B130" s="2">
        <v>5.3201196651182201</v>
      </c>
      <c r="C130" s="2">
        <v>-0.31895866511822035</v>
      </c>
    </row>
    <row r="131" spans="1:3" x14ac:dyDescent="0.3">
      <c r="A131" s="2">
        <v>104</v>
      </c>
      <c r="B131" s="2">
        <v>5.3928516011380196</v>
      </c>
      <c r="C131" s="2">
        <v>-0.40019360113802005</v>
      </c>
    </row>
    <row r="132" spans="1:3" x14ac:dyDescent="0.3">
      <c r="A132" s="2">
        <v>105</v>
      </c>
      <c r="B132" s="2">
        <v>5.3743227202247041</v>
      </c>
      <c r="C132" s="2">
        <v>-0.43400472022470371</v>
      </c>
    </row>
    <row r="133" spans="1:3" x14ac:dyDescent="0.3">
      <c r="A133" s="2">
        <v>106</v>
      </c>
      <c r="B133" s="2">
        <v>5.0146295060238515</v>
      </c>
      <c r="C133" s="2">
        <v>-0.11175550602385176</v>
      </c>
    </row>
    <row r="134" spans="1:3" x14ac:dyDescent="0.3">
      <c r="A134" s="2">
        <v>107</v>
      </c>
      <c r="B134" s="2">
        <v>4.9387871513067765</v>
      </c>
      <c r="C134" s="2">
        <v>-3.2596151306776733E-2</v>
      </c>
    </row>
    <row r="135" spans="1:3" x14ac:dyDescent="0.3">
      <c r="A135" s="2">
        <v>108</v>
      </c>
      <c r="B135" s="2">
        <v>5.1390467272558595</v>
      </c>
      <c r="C135" s="2">
        <v>-0.33454972725585996</v>
      </c>
    </row>
    <row r="136" spans="1:3" x14ac:dyDescent="0.3">
      <c r="A136" s="2">
        <v>109</v>
      </c>
      <c r="B136" s="2">
        <v>5.4533601677718622</v>
      </c>
      <c r="C136" s="2">
        <v>-0.74473016777186185</v>
      </c>
    </row>
    <row r="137" spans="1:3" x14ac:dyDescent="0.3">
      <c r="A137" s="2">
        <v>110</v>
      </c>
      <c r="B137" s="2">
        <v>5.3322779938214069</v>
      </c>
      <c r="C137" s="2">
        <v>-0.68510099382140677</v>
      </c>
    </row>
    <row r="138" spans="1:3" x14ac:dyDescent="0.3">
      <c r="A138" s="2">
        <v>111</v>
      </c>
      <c r="B138" s="2">
        <v>5.3260918633640699</v>
      </c>
      <c r="C138" s="2">
        <v>-0.80811186336407026</v>
      </c>
    </row>
    <row r="139" spans="1:3" x14ac:dyDescent="0.3">
      <c r="A139" s="2">
        <v>112</v>
      </c>
      <c r="B139" s="2">
        <v>5.1241511303443872</v>
      </c>
      <c r="C139" s="2">
        <v>-0.74569013034438747</v>
      </c>
    </row>
    <row r="140" spans="1:3" x14ac:dyDescent="0.3">
      <c r="A140" s="2">
        <v>113</v>
      </c>
      <c r="B140" s="2">
        <v>4.7875773211796684</v>
      </c>
      <c r="C140" s="2">
        <v>-0.55118532117966801</v>
      </c>
    </row>
    <row r="141" spans="1:3" x14ac:dyDescent="0.3">
      <c r="A141" s="2">
        <v>114</v>
      </c>
      <c r="B141" s="2">
        <v>4.7233080102587124</v>
      </c>
      <c r="C141" s="2">
        <v>-0.66202301025871257</v>
      </c>
    </row>
    <row r="142" spans="1:3" x14ac:dyDescent="0.3">
      <c r="A142" s="2">
        <v>115</v>
      </c>
      <c r="B142" s="2">
        <v>4.5430635384070683</v>
      </c>
      <c r="C142" s="2">
        <v>-0.63130953840706816</v>
      </c>
    </row>
    <row r="143" spans="1:3" x14ac:dyDescent="0.3">
      <c r="A143" s="2">
        <v>116</v>
      </c>
      <c r="B143" s="2">
        <v>4.2701129832257365</v>
      </c>
      <c r="C143" s="2">
        <v>-0.41442198322573631</v>
      </c>
    </row>
    <row r="144" spans="1:3" x14ac:dyDescent="0.3">
      <c r="A144" s="2">
        <v>117</v>
      </c>
      <c r="B144" s="2">
        <v>3.9439916391093632</v>
      </c>
      <c r="C144" s="2">
        <v>-7.5487639109363069E-2</v>
      </c>
    </row>
    <row r="145" spans="1:3" x14ac:dyDescent="0.3">
      <c r="A145" s="2">
        <v>118</v>
      </c>
      <c r="B145" s="2">
        <v>4.0480764163908844</v>
      </c>
      <c r="C145" s="2">
        <v>-0.20011941639088437</v>
      </c>
    </row>
    <row r="146" spans="1:3" ht="15" thickBot="1" x14ac:dyDescent="0.35">
      <c r="A146" s="3">
        <v>119</v>
      </c>
      <c r="B146" s="3">
        <v>3.9252391503176511</v>
      </c>
      <c r="C146" s="3">
        <v>-4.6108150317651031E-2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2D36-50BB-4F21-9DAF-80025E9FEC59}">
  <dimension ref="A1:P124"/>
  <sheetViews>
    <sheetView workbookViewId="0">
      <selection activeCell="P6" sqref="P6:P124"/>
    </sheetView>
  </sheetViews>
  <sheetFormatPr defaultRowHeight="14.4" x14ac:dyDescent="0.3"/>
  <cols>
    <col min="1" max="1" width="6.88671875" bestFit="1" customWidth="1"/>
    <col min="2" max="2" width="7" bestFit="1" customWidth="1"/>
    <col min="3" max="3" width="6.33203125" bestFit="1" customWidth="1"/>
    <col min="4" max="4" width="6" bestFit="1" customWidth="1"/>
    <col min="5" max="5" width="7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3</v>
      </c>
      <c r="B2">
        <v>1987.1</v>
      </c>
      <c r="C2">
        <v>1803</v>
      </c>
      <c r="D2">
        <v>23.24</v>
      </c>
      <c r="E2">
        <v>114459</v>
      </c>
      <c r="F2">
        <v>7.5705460000000002</v>
      </c>
      <c r="G2">
        <v>111.8</v>
      </c>
      <c r="H2">
        <v>7.1954098360655703</v>
      </c>
      <c r="L2">
        <v>7.5705460000000002</v>
      </c>
      <c r="N2">
        <v>7.1954098360655703</v>
      </c>
    </row>
    <row r="3" spans="1:16" x14ac:dyDescent="0.3">
      <c r="A3" t="s">
        <v>3</v>
      </c>
      <c r="B3">
        <v>1987.2</v>
      </c>
      <c r="C3">
        <v>945</v>
      </c>
      <c r="D3">
        <v>22.89</v>
      </c>
      <c r="E3">
        <v>115404</v>
      </c>
      <c r="F3">
        <v>7.5630810000000004</v>
      </c>
      <c r="G3">
        <v>113.066666666667</v>
      </c>
      <c r="H3">
        <v>8.3426984126984092</v>
      </c>
      <c r="L3">
        <v>7.5630810000000004</v>
      </c>
      <c r="N3">
        <v>8.3426984126984092</v>
      </c>
    </row>
    <row r="4" spans="1:16" x14ac:dyDescent="0.3">
      <c r="A4" t="s">
        <v>3</v>
      </c>
      <c r="B4">
        <v>1987.3</v>
      </c>
      <c r="C4">
        <v>751</v>
      </c>
      <c r="D4">
        <v>23.15</v>
      </c>
      <c r="E4">
        <v>116155</v>
      </c>
      <c r="F4">
        <v>7.5716939999999999</v>
      </c>
      <c r="G4">
        <v>114.26666666666701</v>
      </c>
      <c r="H4">
        <v>8.8696874999999995</v>
      </c>
      <c r="L4">
        <v>7.5716939999999999</v>
      </c>
      <c r="N4">
        <v>8.8696874999999995</v>
      </c>
    </row>
    <row r="5" spans="1:16" x14ac:dyDescent="0.3">
      <c r="A5" t="s">
        <v>3</v>
      </c>
      <c r="B5">
        <v>1987.4</v>
      </c>
      <c r="C5">
        <v>5317</v>
      </c>
      <c r="D5">
        <v>23.4</v>
      </c>
      <c r="E5">
        <v>121472</v>
      </c>
      <c r="F5">
        <v>7.0823109999999998</v>
      </c>
      <c r="G5">
        <v>115.333333333333</v>
      </c>
      <c r="H5">
        <v>9.1290322580645196</v>
      </c>
      <c r="L5">
        <v>7.0823109999999998</v>
      </c>
      <c r="N5">
        <v>9.1290322580645196</v>
      </c>
    </row>
    <row r="6" spans="1:16" x14ac:dyDescent="0.3">
      <c r="A6" t="s">
        <v>3</v>
      </c>
      <c r="B6">
        <v>1988.1</v>
      </c>
      <c r="C6">
        <v>2612</v>
      </c>
      <c r="D6">
        <v>23.62</v>
      </c>
      <c r="E6">
        <v>124084</v>
      </c>
      <c r="F6">
        <v>7.0318860000000001</v>
      </c>
      <c r="G6">
        <v>116.23333333333299</v>
      </c>
      <c r="H6">
        <v>8.4109677419354902</v>
      </c>
      <c r="L6">
        <v>7.0318860000000001</v>
      </c>
      <c r="M6">
        <f>F2</f>
        <v>7.5705460000000002</v>
      </c>
      <c r="N6">
        <v>8.4109677419354902</v>
      </c>
      <c r="O6">
        <f>D6/D2</f>
        <v>1.0163511187607575</v>
      </c>
      <c r="P6">
        <f>G6/G2</f>
        <v>1.039654144305304</v>
      </c>
    </row>
    <row r="7" spans="1:16" x14ac:dyDescent="0.3">
      <c r="A7" t="s">
        <v>3</v>
      </c>
      <c r="B7">
        <v>1988.2</v>
      </c>
      <c r="C7">
        <v>1666</v>
      </c>
      <c r="D7">
        <v>23.84</v>
      </c>
      <c r="E7">
        <v>125750</v>
      </c>
      <c r="F7">
        <v>6.7085429999999997</v>
      </c>
      <c r="G7">
        <v>117.566666666667</v>
      </c>
      <c r="H7">
        <v>8.9128571428571401</v>
      </c>
      <c r="L7">
        <v>6.7085429999999997</v>
      </c>
      <c r="M7">
        <f>F3</f>
        <v>7.5630810000000004</v>
      </c>
      <c r="N7">
        <v>8.9128571428571401</v>
      </c>
      <c r="O7">
        <f>D7/D3</f>
        <v>1.0415028396679773</v>
      </c>
      <c r="P7">
        <f>G7/G3</f>
        <v>1.0397995283018866</v>
      </c>
    </row>
    <row r="8" spans="1:16" x14ac:dyDescent="0.3">
      <c r="A8" t="s">
        <v>3</v>
      </c>
      <c r="B8">
        <v>1988.3</v>
      </c>
      <c r="C8">
        <v>758</v>
      </c>
      <c r="D8">
        <v>23.86</v>
      </c>
      <c r="E8">
        <v>126508</v>
      </c>
      <c r="F8">
        <v>6.6966960000000002</v>
      </c>
      <c r="G8">
        <v>119</v>
      </c>
      <c r="H8">
        <v>9.1035937499999999</v>
      </c>
      <c r="L8">
        <v>6.6966960000000002</v>
      </c>
      <c r="M8">
        <f>F4</f>
        <v>7.5716939999999999</v>
      </c>
      <c r="N8">
        <v>9.1035937499999999</v>
      </c>
      <c r="O8">
        <f>D8/D4</f>
        <v>1.0306695464362852</v>
      </c>
      <c r="P8">
        <f>G8/G4</f>
        <v>1.041423570595096</v>
      </c>
    </row>
    <row r="9" spans="1:16" x14ac:dyDescent="0.3">
      <c r="A9" t="s">
        <v>3</v>
      </c>
      <c r="B9">
        <v>1988.4</v>
      </c>
      <c r="C9">
        <v>1839</v>
      </c>
      <c r="D9">
        <v>23.88</v>
      </c>
      <c r="E9">
        <v>128347</v>
      </c>
      <c r="F9">
        <v>6.7313359999999998</v>
      </c>
      <c r="G9">
        <v>120.3</v>
      </c>
      <c r="H9">
        <v>8.9570491803278696</v>
      </c>
      <c r="L9">
        <v>6.7313359999999998</v>
      </c>
      <c r="M9">
        <f>F5</f>
        <v>7.0823109999999998</v>
      </c>
      <c r="N9">
        <v>8.9570491803278696</v>
      </c>
      <c r="O9">
        <f>D9/D5</f>
        <v>1.0205128205128204</v>
      </c>
      <c r="P9">
        <f>G9/G5</f>
        <v>1.0430635838150319</v>
      </c>
    </row>
    <row r="10" spans="1:16" x14ac:dyDescent="0.3">
      <c r="A10" t="s">
        <v>3</v>
      </c>
      <c r="B10">
        <v>1989.1</v>
      </c>
      <c r="C10">
        <v>1452</v>
      </c>
      <c r="D10">
        <v>23.29</v>
      </c>
      <c r="E10">
        <v>129799</v>
      </c>
      <c r="F10">
        <v>6.7306010000000001</v>
      </c>
      <c r="G10">
        <v>121.666666666667</v>
      </c>
      <c r="H10">
        <v>9.2116393442623004</v>
      </c>
      <c r="L10">
        <v>6.7306010000000001</v>
      </c>
      <c r="M10">
        <f>F6</f>
        <v>7.0318860000000001</v>
      </c>
      <c r="N10">
        <v>9.2116393442623004</v>
      </c>
      <c r="O10">
        <f>D10/D6</f>
        <v>0.98602878916172731</v>
      </c>
      <c r="P10">
        <f>G10/G6</f>
        <v>1.0467450530542073</v>
      </c>
    </row>
    <row r="11" spans="1:16" x14ac:dyDescent="0.3">
      <c r="A11" t="s">
        <v>3</v>
      </c>
      <c r="B11">
        <v>1989.2</v>
      </c>
      <c r="C11">
        <v>1915</v>
      </c>
      <c r="D11">
        <v>22.73</v>
      </c>
      <c r="E11">
        <v>131714</v>
      </c>
      <c r="F11">
        <v>6.9197959999999998</v>
      </c>
      <c r="G11">
        <v>123.633333333333</v>
      </c>
      <c r="H11">
        <v>8.7579687499999999</v>
      </c>
      <c r="L11">
        <v>6.9197959999999998</v>
      </c>
      <c r="M11">
        <f>F7</f>
        <v>6.7085429999999997</v>
      </c>
      <c r="N11">
        <v>8.7579687499999999</v>
      </c>
      <c r="O11">
        <f>D11/D7</f>
        <v>0.95343959731543626</v>
      </c>
      <c r="P11">
        <f>G11/G7</f>
        <v>1.0516019279841167</v>
      </c>
    </row>
    <row r="12" spans="1:16" x14ac:dyDescent="0.3">
      <c r="A12" t="s">
        <v>3</v>
      </c>
      <c r="B12">
        <v>1989.3</v>
      </c>
      <c r="C12">
        <v>391</v>
      </c>
      <c r="D12">
        <v>22.72</v>
      </c>
      <c r="E12">
        <v>132105</v>
      </c>
      <c r="F12">
        <v>6.7945859999999998</v>
      </c>
      <c r="G12">
        <v>124.6</v>
      </c>
      <c r="H12">
        <v>8.1074603174603208</v>
      </c>
      <c r="L12">
        <v>6.7945859999999998</v>
      </c>
      <c r="M12">
        <f>F8</f>
        <v>6.6966960000000002</v>
      </c>
      <c r="N12">
        <v>8.1074603174603208</v>
      </c>
      <c r="O12">
        <f>D12/D8</f>
        <v>0.9522212908633696</v>
      </c>
      <c r="P12">
        <f>G12/G8</f>
        <v>1.0470588235294118</v>
      </c>
    </row>
    <row r="13" spans="1:16" x14ac:dyDescent="0.3">
      <c r="A13" t="s">
        <v>3</v>
      </c>
      <c r="B13">
        <v>1989.4</v>
      </c>
      <c r="C13">
        <v>3272</v>
      </c>
      <c r="D13">
        <v>22.71</v>
      </c>
      <c r="E13">
        <v>135377</v>
      </c>
      <c r="F13">
        <v>6.6613119999999997</v>
      </c>
      <c r="G13">
        <v>125.866666666667</v>
      </c>
      <c r="H13">
        <v>7.9070967741935503</v>
      </c>
      <c r="L13">
        <v>6.6613119999999997</v>
      </c>
      <c r="M13">
        <f>F9</f>
        <v>6.7313359999999998</v>
      </c>
      <c r="N13">
        <v>7.9070967741935503</v>
      </c>
      <c r="O13">
        <f>D13/D9</f>
        <v>0.95100502512562823</v>
      </c>
      <c r="P13">
        <f>G13/G9</f>
        <v>1.0462732058742061</v>
      </c>
    </row>
    <row r="14" spans="1:16" x14ac:dyDescent="0.3">
      <c r="A14" t="s">
        <v>3</v>
      </c>
      <c r="B14">
        <v>1990.1</v>
      </c>
      <c r="C14">
        <v>1874</v>
      </c>
      <c r="D14">
        <v>21.96</v>
      </c>
      <c r="E14">
        <v>137251</v>
      </c>
      <c r="F14">
        <v>6.3276209999999997</v>
      </c>
      <c r="G14">
        <v>128.03333333333299</v>
      </c>
      <c r="H14">
        <v>8.4238709677419301</v>
      </c>
      <c r="L14">
        <v>6.3276209999999997</v>
      </c>
      <c r="M14">
        <f>F10</f>
        <v>6.7306010000000001</v>
      </c>
      <c r="N14">
        <v>8.4238709677419301</v>
      </c>
      <c r="O14">
        <f>D14/D10</f>
        <v>0.9428939458995278</v>
      </c>
      <c r="P14">
        <f>G14/G10</f>
        <v>1.0523287671232819</v>
      </c>
    </row>
    <row r="15" spans="1:16" x14ac:dyDescent="0.3">
      <c r="A15" t="s">
        <v>3</v>
      </c>
      <c r="B15">
        <v>1990.2</v>
      </c>
      <c r="C15">
        <v>0</v>
      </c>
      <c r="D15">
        <v>21.25</v>
      </c>
      <c r="E15">
        <v>137251</v>
      </c>
      <c r="F15">
        <v>5.980702</v>
      </c>
      <c r="G15">
        <v>129.30000000000001</v>
      </c>
      <c r="H15">
        <v>8.6741269841269801</v>
      </c>
      <c r="L15">
        <v>5.980702</v>
      </c>
      <c r="M15">
        <f>F11</f>
        <v>6.9197959999999998</v>
      </c>
      <c r="N15">
        <v>8.6741269841269801</v>
      </c>
      <c r="O15">
        <f>D15/D11</f>
        <v>0.93488781346238448</v>
      </c>
      <c r="P15">
        <f>G15/G11</f>
        <v>1.0458344567268836</v>
      </c>
    </row>
    <row r="16" spans="1:16" x14ac:dyDescent="0.3">
      <c r="A16" t="s">
        <v>3</v>
      </c>
      <c r="B16">
        <v>1990.3</v>
      </c>
      <c r="C16">
        <v>1353</v>
      </c>
      <c r="D16">
        <v>21.04</v>
      </c>
      <c r="E16">
        <v>138604</v>
      </c>
      <c r="F16">
        <v>5.9427760000000003</v>
      </c>
      <c r="G16">
        <v>131.53333333333299</v>
      </c>
      <c r="H16">
        <v>8.7012698412698395</v>
      </c>
      <c r="L16">
        <v>5.9427760000000003</v>
      </c>
      <c r="M16">
        <f>F12</f>
        <v>6.7945859999999998</v>
      </c>
      <c r="N16">
        <v>8.7012698412698395</v>
      </c>
      <c r="O16">
        <f>D16/D12</f>
        <v>0.926056338028169</v>
      </c>
      <c r="P16">
        <f>G16/G12</f>
        <v>1.0556447298020304</v>
      </c>
    </row>
    <row r="17" spans="1:16" x14ac:dyDescent="0.3">
      <c r="A17" t="s">
        <v>3</v>
      </c>
      <c r="B17">
        <v>1990.4</v>
      </c>
      <c r="C17">
        <v>811</v>
      </c>
      <c r="D17">
        <v>20.82</v>
      </c>
      <c r="E17">
        <v>139415</v>
      </c>
      <c r="F17">
        <v>5.9876860000000001</v>
      </c>
      <c r="G17">
        <v>133.76666666666699</v>
      </c>
      <c r="H17">
        <v>8.4059677419354895</v>
      </c>
      <c r="L17">
        <v>5.9876860000000001</v>
      </c>
      <c r="M17">
        <f>F13</f>
        <v>6.6613119999999997</v>
      </c>
      <c r="N17">
        <v>8.4059677419354895</v>
      </c>
      <c r="O17">
        <f>D17/D13</f>
        <v>0.91677675033025097</v>
      </c>
      <c r="P17">
        <f>G17/G13</f>
        <v>1.0627648305084743</v>
      </c>
    </row>
    <row r="18" spans="1:16" x14ac:dyDescent="0.3">
      <c r="A18" t="s">
        <v>3</v>
      </c>
      <c r="B18">
        <v>1991.1</v>
      </c>
      <c r="C18">
        <v>115</v>
      </c>
      <c r="D18">
        <v>19.68</v>
      </c>
      <c r="E18">
        <v>139530</v>
      </c>
      <c r="F18">
        <v>6.1407239999999996</v>
      </c>
      <c r="G18">
        <v>134.76666666666699</v>
      </c>
      <c r="H18">
        <v>8.0231666666666595</v>
      </c>
      <c r="L18">
        <v>6.1407239999999996</v>
      </c>
      <c r="M18">
        <f>F14</f>
        <v>6.3276209999999997</v>
      </c>
      <c r="N18">
        <v>8.0231666666666595</v>
      </c>
      <c r="O18">
        <f>D18/D14</f>
        <v>0.89617486338797814</v>
      </c>
      <c r="P18">
        <f>G18/G14</f>
        <v>1.0525904712314555</v>
      </c>
    </row>
    <row r="19" spans="1:16" x14ac:dyDescent="0.3">
      <c r="A19" t="s">
        <v>3</v>
      </c>
      <c r="B19">
        <v>1991.2</v>
      </c>
      <c r="C19">
        <v>0</v>
      </c>
      <c r="D19">
        <v>18.61</v>
      </c>
      <c r="E19">
        <v>139530</v>
      </c>
      <c r="F19">
        <v>6.2681230000000001</v>
      </c>
      <c r="G19">
        <v>135.566666666667</v>
      </c>
      <c r="H19">
        <v>8.1254687499999996</v>
      </c>
      <c r="L19">
        <v>6.2681230000000001</v>
      </c>
      <c r="M19">
        <f>F15</f>
        <v>5.980702</v>
      </c>
      <c r="N19">
        <v>8.1254687499999996</v>
      </c>
      <c r="O19">
        <f>D19/D15</f>
        <v>0.87576470588235289</v>
      </c>
      <c r="P19">
        <f>G19/G15</f>
        <v>1.0484660995101855</v>
      </c>
    </row>
    <row r="20" spans="1:16" x14ac:dyDescent="0.3">
      <c r="A20" t="s">
        <v>3</v>
      </c>
      <c r="B20">
        <v>1991.3</v>
      </c>
      <c r="C20">
        <v>700</v>
      </c>
      <c r="D20">
        <v>17.54</v>
      </c>
      <c r="E20">
        <v>140230</v>
      </c>
      <c r="F20">
        <v>6.0533619999999999</v>
      </c>
      <c r="G20">
        <v>136.6</v>
      </c>
      <c r="H20">
        <v>7.95</v>
      </c>
      <c r="L20">
        <v>6.0533619999999999</v>
      </c>
      <c r="M20">
        <f>F16</f>
        <v>5.9427760000000003</v>
      </c>
      <c r="N20">
        <v>7.95</v>
      </c>
      <c r="O20">
        <f>D20/D16</f>
        <v>0.83365019011406838</v>
      </c>
      <c r="P20">
        <f>G20/G16</f>
        <v>1.0385200202736975</v>
      </c>
    </row>
    <row r="21" spans="1:16" x14ac:dyDescent="0.3">
      <c r="A21" t="s">
        <v>3</v>
      </c>
      <c r="B21">
        <v>1991.4</v>
      </c>
      <c r="C21">
        <v>434</v>
      </c>
      <c r="D21">
        <v>16.54</v>
      </c>
      <c r="E21">
        <v>140664</v>
      </c>
      <c r="F21">
        <v>6.2030060000000002</v>
      </c>
      <c r="G21">
        <v>137.73333333333301</v>
      </c>
      <c r="H21">
        <v>7.3449999999999998</v>
      </c>
      <c r="L21">
        <v>6.2030060000000002</v>
      </c>
      <c r="M21">
        <f>F17</f>
        <v>5.9876860000000001</v>
      </c>
      <c r="N21">
        <v>7.3449999999999998</v>
      </c>
      <c r="O21">
        <f>D21/D17</f>
        <v>0.79442843419788656</v>
      </c>
      <c r="P21">
        <f>G21/G17</f>
        <v>1.0296536257164166</v>
      </c>
    </row>
    <row r="22" spans="1:16" x14ac:dyDescent="0.3">
      <c r="A22" t="s">
        <v>3</v>
      </c>
      <c r="B22">
        <v>1992.1</v>
      </c>
      <c r="C22">
        <v>26</v>
      </c>
      <c r="D22">
        <v>16.989999999999998</v>
      </c>
      <c r="E22">
        <v>140690</v>
      </c>
      <c r="F22">
        <v>6.314146</v>
      </c>
      <c r="G22">
        <v>138.666666666667</v>
      </c>
      <c r="H22">
        <v>7.3069354838709701</v>
      </c>
      <c r="L22">
        <v>6.314146</v>
      </c>
      <c r="M22">
        <f>F18</f>
        <v>6.1407239999999996</v>
      </c>
      <c r="N22">
        <v>7.3069354838709701</v>
      </c>
      <c r="O22">
        <f>D22/D18</f>
        <v>0.86331300813008127</v>
      </c>
      <c r="P22">
        <f>G22/G18</f>
        <v>1.0289389067524115</v>
      </c>
    </row>
    <row r="23" spans="1:16" x14ac:dyDescent="0.3">
      <c r="A23" t="s">
        <v>3</v>
      </c>
      <c r="B23">
        <v>1992.2</v>
      </c>
      <c r="C23">
        <v>0</v>
      </c>
      <c r="D23">
        <v>17.46</v>
      </c>
      <c r="E23">
        <v>140690</v>
      </c>
      <c r="F23">
        <v>6.8037910000000004</v>
      </c>
      <c r="G23">
        <v>139.73333333333301</v>
      </c>
      <c r="H23">
        <v>7.3760317460317504</v>
      </c>
      <c r="L23">
        <v>6.8037910000000004</v>
      </c>
      <c r="M23">
        <f>F19</f>
        <v>6.2681230000000001</v>
      </c>
      <c r="N23">
        <v>7.3760317460317504</v>
      </c>
      <c r="O23">
        <f>D23/D19</f>
        <v>0.93820526598602905</v>
      </c>
      <c r="P23">
        <f>G23/G19</f>
        <v>1.0307351856405162</v>
      </c>
    </row>
    <row r="24" spans="1:16" x14ac:dyDescent="0.3">
      <c r="A24" t="s">
        <v>3</v>
      </c>
      <c r="B24">
        <v>1992.3</v>
      </c>
      <c r="C24">
        <v>118</v>
      </c>
      <c r="D24">
        <v>17.100000000000001</v>
      </c>
      <c r="E24">
        <v>140808</v>
      </c>
      <c r="F24">
        <v>7.6054550000000001</v>
      </c>
      <c r="G24">
        <v>140.80000000000001</v>
      </c>
      <c r="H24">
        <v>6.6187500000000004</v>
      </c>
      <c r="L24">
        <v>7.6054550000000001</v>
      </c>
      <c r="M24">
        <f>F20</f>
        <v>6.0533619999999999</v>
      </c>
      <c r="N24">
        <v>6.6187500000000004</v>
      </c>
      <c r="O24">
        <f>D24/D20</f>
        <v>0.97491448118586099</v>
      </c>
      <c r="P24">
        <f>G24/G20</f>
        <v>1.0307467057101025</v>
      </c>
    </row>
    <row r="25" spans="1:16" x14ac:dyDescent="0.3">
      <c r="A25" t="s">
        <v>3</v>
      </c>
      <c r="B25">
        <v>1992.4</v>
      </c>
      <c r="C25">
        <v>299</v>
      </c>
      <c r="D25">
        <v>16.75</v>
      </c>
      <c r="E25">
        <v>141107</v>
      </c>
      <c r="F25">
        <v>8.6291630000000001</v>
      </c>
      <c r="G25">
        <v>142.03333333333299</v>
      </c>
      <c r="H25">
        <v>6.7403225806451603</v>
      </c>
      <c r="L25">
        <v>8.6291630000000001</v>
      </c>
      <c r="M25">
        <f>F21</f>
        <v>6.2030060000000002</v>
      </c>
      <c r="N25">
        <v>6.7403225806451603</v>
      </c>
      <c r="O25">
        <f>D25/D21</f>
        <v>1.012696493349456</v>
      </c>
      <c r="P25">
        <f>G25/G21</f>
        <v>1.0312197483059051</v>
      </c>
    </row>
    <row r="26" spans="1:16" x14ac:dyDescent="0.3">
      <c r="A26" t="s">
        <v>3</v>
      </c>
      <c r="B26">
        <v>1993.1</v>
      </c>
      <c r="C26">
        <v>144</v>
      </c>
      <c r="D26">
        <v>17.88</v>
      </c>
      <c r="E26">
        <v>141251</v>
      </c>
      <c r="F26">
        <v>9.6192759999999993</v>
      </c>
      <c r="G26">
        <v>143.066666666667</v>
      </c>
      <c r="H26">
        <v>6.25819672131147</v>
      </c>
      <c r="L26">
        <v>9.6192759999999993</v>
      </c>
      <c r="M26">
        <f>F22</f>
        <v>6.314146</v>
      </c>
      <c r="N26">
        <v>6.25819672131147</v>
      </c>
      <c r="O26">
        <f>D26/D22</f>
        <v>1.0523837551500883</v>
      </c>
      <c r="P26">
        <f>G26/G22</f>
        <v>1.0317307692307691</v>
      </c>
    </row>
    <row r="27" spans="1:16" x14ac:dyDescent="0.3">
      <c r="A27" t="s">
        <v>3</v>
      </c>
      <c r="B27">
        <v>1993.2</v>
      </c>
      <c r="C27">
        <v>55</v>
      </c>
      <c r="D27">
        <v>19.079999999999998</v>
      </c>
      <c r="E27">
        <v>141306</v>
      </c>
      <c r="F27">
        <v>9.9780300000000004</v>
      </c>
      <c r="G27">
        <v>144.1</v>
      </c>
      <c r="H27">
        <v>5.9880952380952399</v>
      </c>
      <c r="L27">
        <v>9.9780300000000004</v>
      </c>
      <c r="M27">
        <f>F23</f>
        <v>6.8037910000000004</v>
      </c>
      <c r="N27">
        <v>5.9880952380952399</v>
      </c>
      <c r="O27">
        <f>D27/D23</f>
        <v>1.0927835051546391</v>
      </c>
      <c r="P27">
        <f>G27/G23</f>
        <v>1.0312500000000024</v>
      </c>
    </row>
    <row r="28" spans="1:16" x14ac:dyDescent="0.3">
      <c r="A28" t="s">
        <v>3</v>
      </c>
      <c r="B28">
        <v>1993.3</v>
      </c>
      <c r="C28">
        <v>869</v>
      </c>
      <c r="D28">
        <v>19.18</v>
      </c>
      <c r="E28">
        <v>142175</v>
      </c>
      <c r="F28">
        <v>10.27497</v>
      </c>
      <c r="G28">
        <v>144.76666666666699</v>
      </c>
      <c r="H28">
        <v>5.6153124999999999</v>
      </c>
      <c r="L28">
        <v>10.27497</v>
      </c>
      <c r="M28">
        <f>F24</f>
        <v>7.6054550000000001</v>
      </c>
      <c r="N28">
        <v>5.6153124999999999</v>
      </c>
      <c r="O28">
        <f>D28/D24</f>
        <v>1.1216374269005847</v>
      </c>
      <c r="P28">
        <f>G28/G24</f>
        <v>1.0281723484848506</v>
      </c>
    </row>
    <row r="29" spans="1:16" x14ac:dyDescent="0.3">
      <c r="A29" t="s">
        <v>3</v>
      </c>
      <c r="B29">
        <v>1993.4</v>
      </c>
      <c r="C29">
        <v>0</v>
      </c>
      <c r="D29">
        <v>19.28</v>
      </c>
      <c r="E29">
        <v>142175</v>
      </c>
      <c r="F29">
        <v>10.292479999999999</v>
      </c>
      <c r="G29">
        <v>145.96666666666701</v>
      </c>
      <c r="H29">
        <v>5.6159677419354797</v>
      </c>
      <c r="L29">
        <v>10.292479999999999</v>
      </c>
      <c r="M29">
        <f>F25</f>
        <v>8.6291630000000001</v>
      </c>
      <c r="N29">
        <v>5.6159677419354797</v>
      </c>
      <c r="O29">
        <f>D29/D25</f>
        <v>1.1510447761194031</v>
      </c>
      <c r="P29">
        <f>G29/G25</f>
        <v>1.0276930298052149</v>
      </c>
    </row>
    <row r="30" spans="1:16" x14ac:dyDescent="0.3">
      <c r="A30" t="s">
        <v>3</v>
      </c>
      <c r="B30">
        <v>1994.1</v>
      </c>
      <c r="C30">
        <v>157</v>
      </c>
      <c r="D30">
        <v>18.91</v>
      </c>
      <c r="E30">
        <v>142332</v>
      </c>
      <c r="F30">
        <v>10.19218</v>
      </c>
      <c r="G30">
        <v>146.69999999999999</v>
      </c>
      <c r="H30">
        <v>6.09032258064516</v>
      </c>
      <c r="L30">
        <v>10.19218</v>
      </c>
      <c r="M30">
        <f>F26</f>
        <v>9.6192759999999993</v>
      </c>
      <c r="N30">
        <v>6.09032258064516</v>
      </c>
      <c r="O30">
        <f>D30/D26</f>
        <v>1.0576062639821029</v>
      </c>
      <c r="P30">
        <f>G30/G26</f>
        <v>1.0253960857409108</v>
      </c>
    </row>
    <row r="31" spans="1:16" x14ac:dyDescent="0.3">
      <c r="A31" t="s">
        <v>3</v>
      </c>
      <c r="B31">
        <v>1994.2</v>
      </c>
      <c r="C31">
        <v>0</v>
      </c>
      <c r="D31">
        <v>18.54</v>
      </c>
      <c r="E31">
        <v>142332</v>
      </c>
      <c r="F31">
        <v>10.15082</v>
      </c>
      <c r="G31">
        <v>147.53333333333299</v>
      </c>
      <c r="H31">
        <v>7.0895161290322601</v>
      </c>
      <c r="L31">
        <v>10.15082</v>
      </c>
      <c r="M31">
        <f>F27</f>
        <v>9.9780300000000004</v>
      </c>
      <c r="N31">
        <v>7.0895161290322601</v>
      </c>
      <c r="O31">
        <f>D31/D27</f>
        <v>0.97169811320754718</v>
      </c>
      <c r="P31">
        <f>G31/G27</f>
        <v>1.0238260467268077</v>
      </c>
    </row>
    <row r="32" spans="1:16" x14ac:dyDescent="0.3">
      <c r="A32" t="s">
        <v>3</v>
      </c>
      <c r="B32">
        <v>1994.3</v>
      </c>
      <c r="C32">
        <v>0</v>
      </c>
      <c r="D32">
        <v>19.25</v>
      </c>
      <c r="E32">
        <v>142332</v>
      </c>
      <c r="F32">
        <v>10.03411</v>
      </c>
      <c r="G32">
        <v>148.9</v>
      </c>
      <c r="H32">
        <v>7.3279687500000001</v>
      </c>
      <c r="L32">
        <v>10.03411</v>
      </c>
      <c r="M32">
        <f>F28</f>
        <v>10.27497</v>
      </c>
      <c r="N32">
        <v>7.3279687500000001</v>
      </c>
      <c r="O32">
        <f>D32/D28</f>
        <v>1.0036496350364963</v>
      </c>
      <c r="P32">
        <f>G32/G28</f>
        <v>1.0285516923785378</v>
      </c>
    </row>
    <row r="33" spans="1:16" x14ac:dyDescent="0.3">
      <c r="A33" t="s">
        <v>3</v>
      </c>
      <c r="B33">
        <v>1994.4</v>
      </c>
      <c r="C33">
        <v>0</v>
      </c>
      <c r="D33">
        <v>19.989999999999998</v>
      </c>
      <c r="E33">
        <v>142332</v>
      </c>
      <c r="F33">
        <v>9.7762989999999999</v>
      </c>
      <c r="G33">
        <v>149.76666666666699</v>
      </c>
      <c r="H33">
        <v>7.8372131147540998</v>
      </c>
      <c r="L33">
        <v>9.7762989999999999</v>
      </c>
      <c r="M33">
        <f>F29</f>
        <v>10.292479999999999</v>
      </c>
      <c r="N33">
        <v>7.8372131147540998</v>
      </c>
      <c r="O33">
        <f>D33/D29</f>
        <v>1.0368257261410787</v>
      </c>
      <c r="P33">
        <f>G33/G29</f>
        <v>1.0260333409454212</v>
      </c>
    </row>
    <row r="34" spans="1:16" x14ac:dyDescent="0.3">
      <c r="A34" t="s">
        <v>3</v>
      </c>
      <c r="B34">
        <v>1995.1</v>
      </c>
      <c r="C34">
        <v>0</v>
      </c>
      <c r="D34">
        <v>19.68</v>
      </c>
      <c r="E34">
        <v>142332</v>
      </c>
      <c r="F34">
        <v>9.5653810000000004</v>
      </c>
      <c r="G34">
        <v>150.86666666666699</v>
      </c>
      <c r="H34">
        <v>7.47129032258065</v>
      </c>
      <c r="L34">
        <v>9.5653810000000004</v>
      </c>
      <c r="M34">
        <f>F30</f>
        <v>10.19218</v>
      </c>
      <c r="N34">
        <v>7.47129032258065</v>
      </c>
      <c r="O34">
        <f>D34/D30</f>
        <v>1.0407191961924906</v>
      </c>
      <c r="P34">
        <f>G34/G30</f>
        <v>1.0284026357646012</v>
      </c>
    </row>
    <row r="35" spans="1:16" x14ac:dyDescent="0.3">
      <c r="A35" t="s">
        <v>3</v>
      </c>
      <c r="B35">
        <v>1995.2</v>
      </c>
      <c r="C35">
        <v>104</v>
      </c>
      <c r="D35">
        <v>19.37</v>
      </c>
      <c r="E35">
        <v>142436</v>
      </c>
      <c r="F35">
        <v>9.5483879999999992</v>
      </c>
      <c r="G35">
        <v>152.1</v>
      </c>
      <c r="H35">
        <v>6.6001587301587303</v>
      </c>
      <c r="L35">
        <v>9.5483879999999992</v>
      </c>
      <c r="M35">
        <f>F31</f>
        <v>10.15082</v>
      </c>
      <c r="N35">
        <v>6.6001587301587303</v>
      </c>
      <c r="O35">
        <f>D35/D31</f>
        <v>1.0447680690399137</v>
      </c>
      <c r="P35">
        <f>G35/G31</f>
        <v>1.0309534568459129</v>
      </c>
    </row>
    <row r="36" spans="1:16" x14ac:dyDescent="0.3">
      <c r="A36" t="s">
        <v>3</v>
      </c>
      <c r="B36">
        <v>1995.3</v>
      </c>
      <c r="C36">
        <v>80</v>
      </c>
      <c r="D36">
        <v>19.82</v>
      </c>
      <c r="E36">
        <v>142516</v>
      </c>
      <c r="F36">
        <v>9.5591200000000001</v>
      </c>
      <c r="G36">
        <v>152.86666666666699</v>
      </c>
      <c r="H36">
        <v>6.3292063492063502</v>
      </c>
      <c r="L36">
        <v>9.5591200000000001</v>
      </c>
      <c r="M36">
        <f>F32</f>
        <v>10.03411</v>
      </c>
      <c r="N36">
        <v>6.3292063492063502</v>
      </c>
      <c r="O36">
        <f>D36/D32</f>
        <v>1.0296103896103896</v>
      </c>
      <c r="P36">
        <f>G36/G32</f>
        <v>1.0266398029997783</v>
      </c>
    </row>
    <row r="37" spans="1:16" x14ac:dyDescent="0.3">
      <c r="A37" t="s">
        <v>3</v>
      </c>
      <c r="B37">
        <v>1995.4</v>
      </c>
      <c r="C37">
        <v>130</v>
      </c>
      <c r="D37">
        <v>20.27</v>
      </c>
      <c r="E37">
        <v>142646</v>
      </c>
      <c r="F37">
        <v>9.5522629999999999</v>
      </c>
      <c r="G37">
        <v>153.69999999999999</v>
      </c>
      <c r="H37">
        <v>5.8985483870967697</v>
      </c>
      <c r="L37">
        <v>9.5522629999999999</v>
      </c>
      <c r="M37">
        <f>F33</f>
        <v>9.7762989999999999</v>
      </c>
      <c r="N37">
        <v>5.8985483870967697</v>
      </c>
      <c r="O37">
        <f>D37/D33</f>
        <v>1.014007003501751</v>
      </c>
      <c r="P37">
        <f>G37/G33</f>
        <v>1.0262630758958358</v>
      </c>
    </row>
    <row r="38" spans="1:16" x14ac:dyDescent="0.3">
      <c r="A38" t="s">
        <v>3</v>
      </c>
      <c r="B38">
        <v>1996.1</v>
      </c>
      <c r="C38">
        <v>127</v>
      </c>
      <c r="D38">
        <v>20.2</v>
      </c>
      <c r="E38">
        <v>142773</v>
      </c>
      <c r="F38">
        <v>9.3986780000000003</v>
      </c>
      <c r="G38">
        <v>155.066666666667</v>
      </c>
      <c r="H38">
        <v>5.9104838709677399</v>
      </c>
      <c r="L38">
        <v>9.3986780000000003</v>
      </c>
      <c r="M38">
        <f>F34</f>
        <v>9.5653810000000004</v>
      </c>
      <c r="N38">
        <v>5.9104838709677399</v>
      </c>
      <c r="O38">
        <f>D38/D34</f>
        <v>1.0264227642276422</v>
      </c>
      <c r="P38">
        <f>G38/G34</f>
        <v>1.0278391515687142</v>
      </c>
    </row>
    <row r="39" spans="1:16" x14ac:dyDescent="0.3">
      <c r="A39" t="s">
        <v>3</v>
      </c>
      <c r="B39">
        <v>1996.2</v>
      </c>
      <c r="C39">
        <v>0</v>
      </c>
      <c r="D39">
        <v>20.13</v>
      </c>
      <c r="E39">
        <v>142773</v>
      </c>
      <c r="F39">
        <v>9.098929</v>
      </c>
      <c r="G39">
        <v>156.4</v>
      </c>
      <c r="H39">
        <v>6.7140624999999998</v>
      </c>
      <c r="L39">
        <v>9.098929</v>
      </c>
      <c r="M39">
        <f>F35</f>
        <v>9.5483879999999992</v>
      </c>
      <c r="N39">
        <v>6.7140624999999998</v>
      </c>
      <c r="O39">
        <f>D39/D35</f>
        <v>1.0392359318533815</v>
      </c>
      <c r="P39">
        <f>G39/G35</f>
        <v>1.0282708744247206</v>
      </c>
    </row>
    <row r="40" spans="1:16" x14ac:dyDescent="0.3">
      <c r="A40" t="s">
        <v>3</v>
      </c>
      <c r="B40">
        <v>1996.3</v>
      </c>
      <c r="C40">
        <v>0</v>
      </c>
      <c r="D40">
        <v>20.88</v>
      </c>
      <c r="E40">
        <v>142773</v>
      </c>
      <c r="F40">
        <v>8.5974310000000003</v>
      </c>
      <c r="G40">
        <v>157.30000000000001</v>
      </c>
      <c r="H40">
        <v>6.7759375000000004</v>
      </c>
      <c r="L40">
        <v>8.5974310000000003</v>
      </c>
      <c r="M40">
        <f>F36</f>
        <v>9.5591200000000001</v>
      </c>
      <c r="N40">
        <v>6.7759375000000004</v>
      </c>
      <c r="O40">
        <f>D40/D36</f>
        <v>1.0534813319878908</v>
      </c>
      <c r="P40">
        <f>G40/G36</f>
        <v>1.0290013083296969</v>
      </c>
    </row>
    <row r="41" spans="1:16" x14ac:dyDescent="0.3">
      <c r="A41" t="s">
        <v>3</v>
      </c>
      <c r="B41">
        <v>1996.4</v>
      </c>
      <c r="C41">
        <v>75</v>
      </c>
      <c r="D41">
        <v>21.66</v>
      </c>
      <c r="E41">
        <v>142848</v>
      </c>
      <c r="F41">
        <v>8.1464060000000007</v>
      </c>
      <c r="G41">
        <v>158.666666666667</v>
      </c>
      <c r="H41">
        <v>6.3541935483870997</v>
      </c>
      <c r="L41">
        <v>8.1464060000000007</v>
      </c>
      <c r="M41">
        <f>F37</f>
        <v>9.5522629999999999</v>
      </c>
      <c r="N41">
        <v>6.3541935483870997</v>
      </c>
      <c r="O41">
        <f>D41/D37</f>
        <v>1.0685742476566356</v>
      </c>
      <c r="P41">
        <f>G41/G37</f>
        <v>1.0323140316634158</v>
      </c>
    </row>
    <row r="42" spans="1:16" x14ac:dyDescent="0.3">
      <c r="A42" t="s">
        <v>3</v>
      </c>
      <c r="B42">
        <v>1997.1</v>
      </c>
      <c r="C42">
        <v>268</v>
      </c>
      <c r="D42">
        <v>23.01</v>
      </c>
      <c r="E42">
        <v>143116</v>
      </c>
      <c r="F42">
        <v>7.7891589999999997</v>
      </c>
      <c r="G42">
        <v>159.63333333333301</v>
      </c>
      <c r="H42">
        <v>6.5670000000000002</v>
      </c>
      <c r="L42">
        <v>7.7891589999999997</v>
      </c>
      <c r="M42">
        <f>F38</f>
        <v>9.3986780000000003</v>
      </c>
      <c r="N42">
        <v>6.5670000000000002</v>
      </c>
      <c r="O42">
        <f>D42/D38</f>
        <v>1.1391089108910892</v>
      </c>
      <c r="P42">
        <f>G42/G38</f>
        <v>1.0294496990541659</v>
      </c>
    </row>
    <row r="43" spans="1:16" x14ac:dyDescent="0.3">
      <c r="A43" t="s">
        <v>3</v>
      </c>
      <c r="B43">
        <v>1997.2</v>
      </c>
      <c r="C43">
        <v>184</v>
      </c>
      <c r="D43">
        <v>24.43</v>
      </c>
      <c r="E43">
        <v>143300</v>
      </c>
      <c r="F43">
        <v>7.5248480000000004</v>
      </c>
      <c r="G43">
        <v>160</v>
      </c>
      <c r="H43">
        <v>6.6996874999999996</v>
      </c>
      <c r="L43">
        <v>7.5248480000000004</v>
      </c>
      <c r="M43">
        <f>F39</f>
        <v>9.098929</v>
      </c>
      <c r="N43">
        <v>6.6996874999999996</v>
      </c>
      <c r="O43">
        <f>D43/D39</f>
        <v>1.213611525086935</v>
      </c>
      <c r="P43">
        <f>G43/G39</f>
        <v>1.0230179028132993</v>
      </c>
    </row>
    <row r="44" spans="1:16" x14ac:dyDescent="0.3">
      <c r="A44" t="s">
        <v>3</v>
      </c>
      <c r="B44">
        <v>1997.3</v>
      </c>
      <c r="C44">
        <v>576</v>
      </c>
      <c r="D44">
        <v>24.54</v>
      </c>
      <c r="E44">
        <v>143876</v>
      </c>
      <c r="F44">
        <v>7.5810259999999996</v>
      </c>
      <c r="G44">
        <v>160.80000000000001</v>
      </c>
      <c r="H44">
        <v>6.2421875</v>
      </c>
      <c r="L44">
        <v>7.5810259999999996</v>
      </c>
      <c r="M44">
        <f>F40</f>
        <v>8.5974310000000003</v>
      </c>
      <c r="N44">
        <v>6.2421875</v>
      </c>
      <c r="O44">
        <f>D44/D40</f>
        <v>1.1752873563218391</v>
      </c>
      <c r="P44">
        <f>G44/G40</f>
        <v>1.0222504767959313</v>
      </c>
    </row>
    <row r="45" spans="1:16" x14ac:dyDescent="0.3">
      <c r="A45" t="s">
        <v>3</v>
      </c>
      <c r="B45">
        <v>1997.4</v>
      </c>
      <c r="C45">
        <v>392</v>
      </c>
      <c r="D45">
        <v>24.65</v>
      </c>
      <c r="E45">
        <v>144268</v>
      </c>
      <c r="F45">
        <v>7.716933</v>
      </c>
      <c r="G45">
        <v>161.666666666667</v>
      </c>
      <c r="H45">
        <v>5.9062903225806496</v>
      </c>
      <c r="L45">
        <v>7.716933</v>
      </c>
      <c r="M45">
        <f>F41</f>
        <v>8.1464060000000007</v>
      </c>
      <c r="N45">
        <v>5.9062903225806496</v>
      </c>
      <c r="O45">
        <f>D45/D41</f>
        <v>1.1380424746075715</v>
      </c>
      <c r="P45">
        <f>G45/G41</f>
        <v>1.01890756302521</v>
      </c>
    </row>
    <row r="46" spans="1:16" x14ac:dyDescent="0.3">
      <c r="A46" t="s">
        <v>3</v>
      </c>
      <c r="B46">
        <v>1998.1</v>
      </c>
      <c r="C46">
        <v>530</v>
      </c>
      <c r="D46">
        <v>26.13</v>
      </c>
      <c r="E46">
        <v>144798</v>
      </c>
      <c r="F46">
        <v>7.9283530000000004</v>
      </c>
      <c r="G46">
        <v>162</v>
      </c>
      <c r="H46">
        <v>5.5909836065573799</v>
      </c>
      <c r="L46">
        <v>7.9283530000000004</v>
      </c>
      <c r="M46">
        <f>F42</f>
        <v>7.7891589999999997</v>
      </c>
      <c r="N46">
        <v>5.5909836065573799</v>
      </c>
      <c r="O46">
        <f>D46/D42</f>
        <v>1.1355932203389829</v>
      </c>
      <c r="P46">
        <f>G46/G42</f>
        <v>1.0148256420964732</v>
      </c>
    </row>
    <row r="47" spans="1:16" x14ac:dyDescent="0.3">
      <c r="A47" t="s">
        <v>3</v>
      </c>
      <c r="B47">
        <v>1998.2</v>
      </c>
      <c r="C47">
        <v>666</v>
      </c>
      <c r="D47">
        <v>27.7</v>
      </c>
      <c r="E47">
        <v>145464</v>
      </c>
      <c r="F47">
        <v>8.2524080000000009</v>
      </c>
      <c r="G47">
        <v>162.53333333333299</v>
      </c>
      <c r="H47">
        <v>5.5930158730158697</v>
      </c>
      <c r="L47">
        <v>8.2524080000000009</v>
      </c>
      <c r="M47">
        <f>F43</f>
        <v>7.5248480000000004</v>
      </c>
      <c r="N47">
        <v>5.5930158730158697</v>
      </c>
      <c r="O47">
        <f>D47/D43</f>
        <v>1.1338518215309046</v>
      </c>
      <c r="P47">
        <f>G47/G43</f>
        <v>1.0158333333333311</v>
      </c>
    </row>
    <row r="48" spans="1:16" x14ac:dyDescent="0.3">
      <c r="A48" t="s">
        <v>3</v>
      </c>
      <c r="B48">
        <v>1998.3</v>
      </c>
      <c r="C48">
        <v>796</v>
      </c>
      <c r="D48">
        <v>26.82</v>
      </c>
      <c r="E48">
        <v>146260</v>
      </c>
      <c r="F48">
        <v>8.3689420000000005</v>
      </c>
      <c r="G48">
        <v>163.36666666666699</v>
      </c>
      <c r="H48">
        <v>5.2073437499999997</v>
      </c>
      <c r="L48">
        <v>8.3689420000000005</v>
      </c>
      <c r="M48">
        <f>F44</f>
        <v>7.5810259999999996</v>
      </c>
      <c r="N48">
        <v>5.2073437499999997</v>
      </c>
      <c r="O48">
        <f>D48/D44</f>
        <v>1.0929095354523228</v>
      </c>
      <c r="P48">
        <f>G48/G44</f>
        <v>1.0159618573797697</v>
      </c>
    </row>
    <row r="49" spans="1:16" x14ac:dyDescent="0.3">
      <c r="A49" t="s">
        <v>3</v>
      </c>
      <c r="B49">
        <v>1998.4</v>
      </c>
      <c r="C49">
        <v>852</v>
      </c>
      <c r="D49">
        <v>25.97</v>
      </c>
      <c r="E49">
        <v>147112</v>
      </c>
      <c r="F49">
        <v>8.3374240000000004</v>
      </c>
      <c r="G49">
        <v>164.13333333333301</v>
      </c>
      <c r="H49">
        <v>4.6619354838709697</v>
      </c>
      <c r="L49">
        <v>8.3374240000000004</v>
      </c>
      <c r="M49">
        <f>F45</f>
        <v>7.716933</v>
      </c>
      <c r="N49">
        <v>4.6619354838709697</v>
      </c>
      <c r="O49">
        <f>D49/D45</f>
        <v>1.0535496957403652</v>
      </c>
      <c r="P49">
        <f>G49/G45</f>
        <v>1.0152577319587588</v>
      </c>
    </row>
    <row r="50" spans="1:16" x14ac:dyDescent="0.3">
      <c r="A50" t="s">
        <v>3</v>
      </c>
      <c r="B50">
        <v>1999.1</v>
      </c>
      <c r="C50">
        <v>1540</v>
      </c>
      <c r="D50">
        <v>27.26</v>
      </c>
      <c r="E50">
        <v>148652</v>
      </c>
      <c r="F50">
        <v>8.0439480000000003</v>
      </c>
      <c r="G50">
        <v>164.73333333333301</v>
      </c>
      <c r="H50">
        <v>5.0008196721311498</v>
      </c>
      <c r="L50">
        <v>8.0439480000000003</v>
      </c>
      <c r="M50">
        <f>F46</f>
        <v>7.9283530000000004</v>
      </c>
      <c r="N50">
        <v>5.0008196721311498</v>
      </c>
      <c r="O50">
        <f>D50/D46</f>
        <v>1.0432453119020284</v>
      </c>
      <c r="P50">
        <f>G50/G46</f>
        <v>1.0168724279835371</v>
      </c>
    </row>
    <row r="51" spans="1:16" x14ac:dyDescent="0.3">
      <c r="A51" t="s">
        <v>3</v>
      </c>
      <c r="B51">
        <v>1999.2</v>
      </c>
      <c r="C51">
        <v>1179</v>
      </c>
      <c r="D51">
        <v>28.61</v>
      </c>
      <c r="E51">
        <v>149831</v>
      </c>
      <c r="F51">
        <v>7.6382320000000004</v>
      </c>
      <c r="G51">
        <v>165.96666666666701</v>
      </c>
      <c r="H51">
        <v>5.5412499999999998</v>
      </c>
      <c r="L51">
        <v>7.6382320000000004</v>
      </c>
      <c r="M51">
        <f>F47</f>
        <v>8.2524080000000009</v>
      </c>
      <c r="N51">
        <v>5.5412499999999998</v>
      </c>
      <c r="O51">
        <f>D51/D47</f>
        <v>1.0328519855595668</v>
      </c>
      <c r="P51">
        <f>G51/G47</f>
        <v>1.0211238720262552</v>
      </c>
    </row>
    <row r="52" spans="1:16" x14ac:dyDescent="0.3">
      <c r="A52" t="s">
        <v>3</v>
      </c>
      <c r="B52">
        <v>1999.3</v>
      </c>
      <c r="C52">
        <v>743</v>
      </c>
      <c r="D52">
        <v>31.28</v>
      </c>
      <c r="E52">
        <v>150574</v>
      </c>
      <c r="F52">
        <v>7.2944950000000004</v>
      </c>
      <c r="G52">
        <v>167.2</v>
      </c>
      <c r="H52">
        <v>5.8829687499999999</v>
      </c>
      <c r="L52">
        <v>7.2944950000000004</v>
      </c>
      <c r="M52">
        <f>F48</f>
        <v>8.3689420000000005</v>
      </c>
      <c r="N52">
        <v>5.8829687499999999</v>
      </c>
      <c r="O52">
        <f>D52/D48</f>
        <v>1.1662938105891125</v>
      </c>
      <c r="P52">
        <f>G52/G48</f>
        <v>1.023464599061414</v>
      </c>
    </row>
    <row r="53" spans="1:16" x14ac:dyDescent="0.3">
      <c r="A53" t="s">
        <v>3</v>
      </c>
      <c r="B53">
        <v>1999.4</v>
      </c>
      <c r="C53">
        <v>1238</v>
      </c>
      <c r="D53">
        <v>34.21</v>
      </c>
      <c r="E53">
        <v>151812</v>
      </c>
      <c r="F53">
        <v>7.1387879999999999</v>
      </c>
      <c r="G53">
        <v>168.433333333333</v>
      </c>
      <c r="H53">
        <v>6.14483870967742</v>
      </c>
      <c r="L53">
        <v>7.1387879999999999</v>
      </c>
      <c r="M53">
        <f>F49</f>
        <v>8.3374240000000004</v>
      </c>
      <c r="N53">
        <v>6.14483870967742</v>
      </c>
      <c r="O53">
        <f>D53/D49</f>
        <v>1.3172891798228727</v>
      </c>
      <c r="P53">
        <f>G53/G49</f>
        <v>1.0261982128350933</v>
      </c>
    </row>
    <row r="54" spans="1:16" x14ac:dyDescent="0.3">
      <c r="A54" t="s">
        <v>3</v>
      </c>
      <c r="B54">
        <v>2000.1</v>
      </c>
      <c r="C54">
        <v>870</v>
      </c>
      <c r="D54">
        <v>36.369999999999997</v>
      </c>
      <c r="E54">
        <v>152682</v>
      </c>
      <c r="F54">
        <v>7.0859500000000004</v>
      </c>
      <c r="G54">
        <v>170.1</v>
      </c>
      <c r="H54">
        <v>6.4684126984126999</v>
      </c>
      <c r="L54">
        <v>7.0859500000000004</v>
      </c>
      <c r="M54">
        <f>F50</f>
        <v>8.0439480000000003</v>
      </c>
      <c r="N54">
        <v>6.4684126984126999</v>
      </c>
      <c r="O54">
        <f>D54/D50</f>
        <v>1.3341892883345559</v>
      </c>
      <c r="P54">
        <f>G54/G50</f>
        <v>1.0325779036827216</v>
      </c>
    </row>
    <row r="55" spans="1:16" x14ac:dyDescent="0.3">
      <c r="A55" t="s">
        <v>3</v>
      </c>
      <c r="B55">
        <v>2000.2</v>
      </c>
      <c r="C55">
        <v>1071</v>
      </c>
      <c r="D55">
        <v>38.67</v>
      </c>
      <c r="E55">
        <v>153753</v>
      </c>
      <c r="F55">
        <v>7.1649190000000003</v>
      </c>
      <c r="G55">
        <v>171.433333333333</v>
      </c>
      <c r="H55">
        <v>6.1849206349206298</v>
      </c>
      <c r="L55">
        <v>7.1649190000000003</v>
      </c>
      <c r="M55">
        <f>F51</f>
        <v>7.6382320000000004</v>
      </c>
      <c r="N55">
        <v>6.1849206349206298</v>
      </c>
      <c r="O55">
        <f>D55/D51</f>
        <v>1.3516253058371199</v>
      </c>
      <c r="P55">
        <f>G55/G51</f>
        <v>1.0329383410323316</v>
      </c>
    </row>
    <row r="56" spans="1:16" x14ac:dyDescent="0.3">
      <c r="A56" t="s">
        <v>3</v>
      </c>
      <c r="B56">
        <v>2000.3</v>
      </c>
      <c r="C56">
        <v>1336</v>
      </c>
      <c r="D56">
        <v>41.24</v>
      </c>
      <c r="E56">
        <v>155089</v>
      </c>
      <c r="F56">
        <v>7.4017470000000003</v>
      </c>
      <c r="G56">
        <v>173</v>
      </c>
      <c r="H56">
        <v>5.8898412698412699</v>
      </c>
      <c r="L56">
        <v>7.4017470000000003</v>
      </c>
      <c r="M56">
        <f>F52</f>
        <v>7.2944950000000004</v>
      </c>
      <c r="N56">
        <v>5.8898412698412699</v>
      </c>
      <c r="O56">
        <f>D56/D52</f>
        <v>1.3184143222506395</v>
      </c>
      <c r="P56">
        <f>G56/G52</f>
        <v>1.0346889952153111</v>
      </c>
    </row>
    <row r="57" spans="1:16" x14ac:dyDescent="0.3">
      <c r="A57" t="s">
        <v>3</v>
      </c>
      <c r="B57">
        <v>2000.4</v>
      </c>
      <c r="C57">
        <v>1745</v>
      </c>
      <c r="D57">
        <v>43.98</v>
      </c>
      <c r="E57">
        <v>156834</v>
      </c>
      <c r="F57">
        <v>7.4675229999999999</v>
      </c>
      <c r="G57">
        <v>174.23333333333301</v>
      </c>
      <c r="H57">
        <v>5.5706451612903196</v>
      </c>
      <c r="L57">
        <v>7.4675229999999999</v>
      </c>
      <c r="M57">
        <f>F53</f>
        <v>7.1387879999999999</v>
      </c>
      <c r="N57">
        <v>5.5706451612903196</v>
      </c>
      <c r="O57">
        <f>D57/D53</f>
        <v>1.2855890090616777</v>
      </c>
      <c r="P57">
        <f>G57/G53</f>
        <v>1.0344349891153772</v>
      </c>
    </row>
    <row r="58" spans="1:16" x14ac:dyDescent="0.3">
      <c r="A58" t="s">
        <v>3</v>
      </c>
      <c r="B58">
        <v>2001.1</v>
      </c>
      <c r="C58">
        <v>1408</v>
      </c>
      <c r="D58">
        <v>42.63</v>
      </c>
      <c r="E58">
        <v>158242</v>
      </c>
      <c r="F58">
        <v>7.5741829999999997</v>
      </c>
      <c r="G58">
        <v>175.9</v>
      </c>
      <c r="H58">
        <v>5.0441935483871001</v>
      </c>
      <c r="L58">
        <v>7.5741829999999997</v>
      </c>
      <c r="M58">
        <f>F54</f>
        <v>7.0859500000000004</v>
      </c>
      <c r="N58">
        <v>5.0441935483871001</v>
      </c>
      <c r="O58">
        <f>D58/D54</f>
        <v>1.1721198790211715</v>
      </c>
      <c r="P58">
        <f>G58/G54</f>
        <v>1.0340975896531452</v>
      </c>
    </row>
    <row r="59" spans="1:16" x14ac:dyDescent="0.3">
      <c r="A59" t="s">
        <v>3</v>
      </c>
      <c r="B59">
        <v>2001.2</v>
      </c>
      <c r="C59">
        <v>1220</v>
      </c>
      <c r="D59">
        <v>41.32</v>
      </c>
      <c r="E59">
        <v>159462</v>
      </c>
      <c r="F59">
        <v>7.7454299999999998</v>
      </c>
      <c r="G59">
        <v>177.13333333333301</v>
      </c>
      <c r="H59">
        <v>5.2761904761904797</v>
      </c>
      <c r="L59">
        <v>7.7454299999999998</v>
      </c>
      <c r="M59">
        <f>F55</f>
        <v>7.1649190000000003</v>
      </c>
      <c r="N59">
        <v>5.2761904761904797</v>
      </c>
      <c r="O59">
        <f>D59/D55</f>
        <v>1.0685285751228342</v>
      </c>
      <c r="P59">
        <f>G59/G55</f>
        <v>1.0332490764145441</v>
      </c>
    </row>
    <row r="60" spans="1:16" x14ac:dyDescent="0.3">
      <c r="A60" t="s">
        <v>3</v>
      </c>
      <c r="B60">
        <v>2001.3</v>
      </c>
      <c r="C60">
        <v>2571</v>
      </c>
      <c r="D60">
        <v>38.94</v>
      </c>
      <c r="E60">
        <v>162033</v>
      </c>
      <c r="F60">
        <v>7.7946850000000003</v>
      </c>
      <c r="G60">
        <v>177.63333333333301</v>
      </c>
      <c r="H60">
        <v>4.9957377049180298</v>
      </c>
      <c r="L60">
        <v>7.7946850000000003</v>
      </c>
      <c r="M60">
        <f>F56</f>
        <v>7.4017470000000003</v>
      </c>
      <c r="N60">
        <v>4.9957377049180298</v>
      </c>
      <c r="O60">
        <f>D60/D56</f>
        <v>0.94422890397672155</v>
      </c>
      <c r="P60">
        <f>G60/G56</f>
        <v>1.0267822736030809</v>
      </c>
    </row>
    <row r="61" spans="1:16" x14ac:dyDescent="0.3">
      <c r="A61" t="s">
        <v>3</v>
      </c>
      <c r="B61">
        <v>2001.4</v>
      </c>
      <c r="C61">
        <v>2030</v>
      </c>
      <c r="D61">
        <v>36.700000000000003</v>
      </c>
      <c r="E61">
        <v>164063</v>
      </c>
      <c r="F61">
        <v>7.9971120000000004</v>
      </c>
      <c r="G61">
        <v>177.5</v>
      </c>
      <c r="H61">
        <v>4.7620967741935498</v>
      </c>
      <c r="L61">
        <v>7.9971120000000004</v>
      </c>
      <c r="M61">
        <f>F57</f>
        <v>7.4675229999999999</v>
      </c>
      <c r="N61">
        <v>4.7620967741935498</v>
      </c>
      <c r="O61">
        <f>D61/D57</f>
        <v>0.83447021373351538</v>
      </c>
      <c r="P61">
        <f>G61/G57</f>
        <v>1.0187488042854429</v>
      </c>
    </row>
    <row r="62" spans="1:16" x14ac:dyDescent="0.3">
      <c r="A62" t="s">
        <v>3</v>
      </c>
      <c r="B62">
        <v>2002.1</v>
      </c>
      <c r="C62">
        <v>1545</v>
      </c>
      <c r="D62">
        <v>34.58</v>
      </c>
      <c r="E62">
        <v>165608</v>
      </c>
      <c r="F62">
        <v>8.3933879999999998</v>
      </c>
      <c r="G62">
        <v>178.066666666667</v>
      </c>
      <c r="H62">
        <v>5.0791666666666702</v>
      </c>
      <c r="L62">
        <v>8.3933879999999998</v>
      </c>
      <c r="M62">
        <f>F58</f>
        <v>7.5741829999999997</v>
      </c>
      <c r="N62">
        <v>5.0791666666666702</v>
      </c>
      <c r="O62">
        <f>D62/D58</f>
        <v>0.81116584564860417</v>
      </c>
      <c r="P62">
        <f>G62/G58</f>
        <v>1.0123176046996418</v>
      </c>
    </row>
    <row r="63" spans="1:16" x14ac:dyDescent="0.3">
      <c r="A63" t="s">
        <v>3</v>
      </c>
      <c r="B63">
        <v>2002.2</v>
      </c>
      <c r="C63">
        <v>961</v>
      </c>
      <c r="D63">
        <v>32.590000000000003</v>
      </c>
      <c r="E63">
        <v>166569</v>
      </c>
      <c r="F63">
        <v>8.7277909999999999</v>
      </c>
      <c r="G63">
        <v>179.46666666666701</v>
      </c>
      <c r="H63">
        <v>5.1060937500000003</v>
      </c>
      <c r="L63">
        <v>8.7277909999999999</v>
      </c>
      <c r="M63">
        <f>F59</f>
        <v>7.7454299999999998</v>
      </c>
      <c r="N63">
        <v>5.1060937500000003</v>
      </c>
      <c r="O63">
        <f>D63/D59</f>
        <v>0.78872216844143284</v>
      </c>
      <c r="P63">
        <f>G63/G59</f>
        <v>1.0131727512231878</v>
      </c>
    </row>
    <row r="64" spans="1:16" x14ac:dyDescent="0.3">
      <c r="A64" t="s">
        <v>3</v>
      </c>
      <c r="B64">
        <v>2002.3</v>
      </c>
      <c r="C64">
        <v>618</v>
      </c>
      <c r="D64">
        <v>31.67</v>
      </c>
      <c r="E64">
        <v>167187</v>
      </c>
      <c r="F64">
        <v>8.9559180000000005</v>
      </c>
      <c r="G64">
        <v>180.433333333333</v>
      </c>
      <c r="H64">
        <v>4.2723437500000001</v>
      </c>
      <c r="L64">
        <v>8.9559180000000005</v>
      </c>
      <c r="M64">
        <f>F60</f>
        <v>7.7946850000000003</v>
      </c>
      <c r="N64">
        <v>4.2723437500000001</v>
      </c>
      <c r="O64">
        <f>D64/D60</f>
        <v>0.81330251669234732</v>
      </c>
      <c r="P64">
        <f>G64/G60</f>
        <v>1.0157628072809157</v>
      </c>
    </row>
    <row r="65" spans="1:16" x14ac:dyDescent="0.3">
      <c r="A65" t="s">
        <v>3</v>
      </c>
      <c r="B65">
        <v>2002.4</v>
      </c>
      <c r="C65">
        <v>1133</v>
      </c>
      <c r="D65">
        <v>30.67</v>
      </c>
      <c r="E65">
        <v>168320</v>
      </c>
      <c r="F65">
        <v>8.9652890000000003</v>
      </c>
      <c r="G65">
        <v>181.5</v>
      </c>
      <c r="H65">
        <v>4.0048387096774203</v>
      </c>
      <c r="L65">
        <v>8.9652890000000003</v>
      </c>
      <c r="M65">
        <f>F61</f>
        <v>7.9971120000000004</v>
      </c>
      <c r="N65">
        <v>4.0048387096774203</v>
      </c>
      <c r="O65">
        <f>D65/D61</f>
        <v>0.83569482288828334</v>
      </c>
      <c r="P65">
        <f>G65/G61</f>
        <v>1.0225352112676056</v>
      </c>
    </row>
    <row r="66" spans="1:16" x14ac:dyDescent="0.3">
      <c r="A66" t="s">
        <v>3</v>
      </c>
      <c r="B66">
        <v>2003.1</v>
      </c>
      <c r="C66">
        <v>63</v>
      </c>
      <c r="D66">
        <v>29.63</v>
      </c>
      <c r="E66">
        <v>168383</v>
      </c>
      <c r="F66">
        <v>8.9388380000000005</v>
      </c>
      <c r="G66">
        <v>183.36666666666699</v>
      </c>
      <c r="H66">
        <v>3.92</v>
      </c>
      <c r="L66">
        <v>8.9388380000000005</v>
      </c>
      <c r="M66">
        <f>F62</f>
        <v>8.3933879999999998</v>
      </c>
      <c r="N66">
        <v>3.92</v>
      </c>
      <c r="O66">
        <f>D66/D62</f>
        <v>0.85685367264314638</v>
      </c>
      <c r="P66">
        <f>G66/G62</f>
        <v>1.0297641332834142</v>
      </c>
    </row>
    <row r="67" spans="1:16" x14ac:dyDescent="0.3">
      <c r="A67" t="s">
        <v>3</v>
      </c>
      <c r="B67">
        <v>2003.2</v>
      </c>
      <c r="C67">
        <v>1988</v>
      </c>
      <c r="D67">
        <v>28.97</v>
      </c>
      <c r="E67">
        <v>170371</v>
      </c>
      <c r="F67">
        <v>8.8041680000000007</v>
      </c>
      <c r="G67">
        <v>183.066666666667</v>
      </c>
      <c r="H67">
        <v>3.6206349206349202</v>
      </c>
      <c r="L67">
        <v>8.8041680000000007</v>
      </c>
      <c r="M67">
        <f>F63</f>
        <v>8.7277909999999999</v>
      </c>
      <c r="N67">
        <v>3.6206349206349202</v>
      </c>
      <c r="O67">
        <f>D67/D63</f>
        <v>0.88892298250997226</v>
      </c>
      <c r="P67">
        <f>G67/G63</f>
        <v>1.0200594353640415</v>
      </c>
    </row>
    <row r="68" spans="1:16" x14ac:dyDescent="0.3">
      <c r="A68" t="s">
        <v>3</v>
      </c>
      <c r="B68">
        <v>2003.3</v>
      </c>
      <c r="C68">
        <v>144</v>
      </c>
      <c r="D68">
        <v>27.99</v>
      </c>
      <c r="E68">
        <v>170515</v>
      </c>
      <c r="F68">
        <v>8.6783000000000001</v>
      </c>
      <c r="G68">
        <v>184.433333333333</v>
      </c>
      <c r="H68">
        <v>4.2276562499999999</v>
      </c>
      <c r="L68">
        <v>8.6783000000000001</v>
      </c>
      <c r="M68">
        <f>F64</f>
        <v>8.9559180000000005</v>
      </c>
      <c r="N68">
        <v>4.2276562499999999</v>
      </c>
      <c r="O68">
        <f>D68/D64</f>
        <v>0.88380170508367528</v>
      </c>
      <c r="P68">
        <f>G68/G64</f>
        <v>1.0221688527618695</v>
      </c>
    </row>
    <row r="69" spans="1:16" x14ac:dyDescent="0.3">
      <c r="A69" t="s">
        <v>3</v>
      </c>
      <c r="B69">
        <v>2003.4</v>
      </c>
      <c r="C69">
        <v>140</v>
      </c>
      <c r="D69">
        <v>27.2</v>
      </c>
      <c r="E69">
        <v>170655</v>
      </c>
      <c r="F69">
        <v>8.7229030000000005</v>
      </c>
      <c r="G69">
        <v>185.13333333333301</v>
      </c>
      <c r="H69">
        <v>4.2851612903225798</v>
      </c>
      <c r="L69">
        <v>8.7229030000000005</v>
      </c>
      <c r="M69">
        <f>F65</f>
        <v>8.9652890000000003</v>
      </c>
      <c r="N69">
        <v>4.2851612903225798</v>
      </c>
      <c r="O69">
        <f>D69/D65</f>
        <v>0.88686012389957602</v>
      </c>
      <c r="P69">
        <f>G69/G65</f>
        <v>1.0200183654729091</v>
      </c>
    </row>
    <row r="70" spans="1:16" x14ac:dyDescent="0.3">
      <c r="A70" t="s">
        <v>3</v>
      </c>
      <c r="B70">
        <v>2004.1</v>
      </c>
      <c r="C70">
        <v>237</v>
      </c>
      <c r="D70">
        <v>26.21</v>
      </c>
      <c r="E70">
        <v>170892</v>
      </c>
      <c r="F70">
        <v>8.3944639999999993</v>
      </c>
      <c r="G70">
        <v>186.7</v>
      </c>
      <c r="H70">
        <v>4.01</v>
      </c>
      <c r="L70">
        <v>8.3944639999999993</v>
      </c>
      <c r="M70">
        <f>F66</f>
        <v>8.9388380000000005</v>
      </c>
      <c r="N70">
        <v>4.01</v>
      </c>
      <c r="O70">
        <f>D70/D66</f>
        <v>0.88457644279446512</v>
      </c>
      <c r="P70">
        <f>G70/G66</f>
        <v>1.0181785129976348</v>
      </c>
    </row>
    <row r="71" spans="1:16" x14ac:dyDescent="0.3">
      <c r="A71" t="s">
        <v>3</v>
      </c>
      <c r="B71">
        <v>2004.2</v>
      </c>
      <c r="C71">
        <v>30</v>
      </c>
      <c r="D71">
        <v>24.89</v>
      </c>
      <c r="E71">
        <v>170922</v>
      </c>
      <c r="F71">
        <v>8.3665579999999995</v>
      </c>
      <c r="G71">
        <v>188.166666666667</v>
      </c>
      <c r="H71">
        <v>4.5970967741935498</v>
      </c>
      <c r="L71">
        <v>8.3665579999999995</v>
      </c>
      <c r="M71">
        <f>F67</f>
        <v>8.8041680000000007</v>
      </c>
      <c r="N71">
        <v>4.5970967741935498</v>
      </c>
      <c r="O71">
        <f>D71/D67</f>
        <v>0.85916465308940293</v>
      </c>
      <c r="P71">
        <f>G71/G67</f>
        <v>1.0278587035688274</v>
      </c>
    </row>
    <row r="72" spans="1:16" x14ac:dyDescent="0.3">
      <c r="A72" t="s">
        <v>3</v>
      </c>
      <c r="B72">
        <v>2004.3</v>
      </c>
      <c r="C72">
        <v>106</v>
      </c>
      <c r="D72">
        <v>24.27</v>
      </c>
      <c r="E72">
        <v>171028</v>
      </c>
      <c r="F72">
        <v>8.2623359999999995</v>
      </c>
      <c r="G72">
        <v>189.36666666666699</v>
      </c>
      <c r="H72">
        <v>4.3014062500000003</v>
      </c>
      <c r="L72">
        <v>8.2623359999999995</v>
      </c>
      <c r="M72">
        <f>F68</f>
        <v>8.6783000000000001</v>
      </c>
      <c r="N72">
        <v>4.3014062500000003</v>
      </c>
      <c r="O72">
        <f>D72/D68</f>
        <v>0.86709539121114687</v>
      </c>
      <c r="P72">
        <f>G72/G68</f>
        <v>1.0267485993132153</v>
      </c>
    </row>
    <row r="73" spans="1:16" x14ac:dyDescent="0.3">
      <c r="A73" t="s">
        <v>3</v>
      </c>
      <c r="B73">
        <v>2004.4</v>
      </c>
      <c r="C73">
        <v>134</v>
      </c>
      <c r="D73">
        <v>23.65</v>
      </c>
      <c r="E73">
        <v>171162</v>
      </c>
      <c r="F73">
        <v>7.9589619999999996</v>
      </c>
      <c r="G73">
        <v>191.4</v>
      </c>
      <c r="H73">
        <v>4.1758064516128997</v>
      </c>
      <c r="L73">
        <v>7.9589619999999996</v>
      </c>
      <c r="M73">
        <f>F69</f>
        <v>8.7229030000000005</v>
      </c>
      <c r="N73">
        <v>4.1758064516128997</v>
      </c>
      <c r="O73">
        <f>D73/D69</f>
        <v>0.86948529411764708</v>
      </c>
      <c r="P73">
        <f>G73/G69</f>
        <v>1.033849477853801</v>
      </c>
    </row>
    <row r="74" spans="1:16" x14ac:dyDescent="0.3">
      <c r="A74" t="s">
        <v>3</v>
      </c>
      <c r="B74">
        <v>2005.1</v>
      </c>
      <c r="C74">
        <v>727</v>
      </c>
      <c r="D74">
        <v>24.16</v>
      </c>
      <c r="E74">
        <v>171889</v>
      </c>
      <c r="F74">
        <v>7.8914819999999999</v>
      </c>
      <c r="G74">
        <v>192.36666666666699</v>
      </c>
      <c r="H74">
        <v>4.3036065573770497</v>
      </c>
      <c r="L74">
        <v>7.8914819999999999</v>
      </c>
      <c r="M74">
        <f>F70</f>
        <v>8.3944639999999993</v>
      </c>
      <c r="N74">
        <v>4.3036065573770497</v>
      </c>
      <c r="O74">
        <f>D74/D70</f>
        <v>0.92178557802365502</v>
      </c>
      <c r="P74">
        <f>G74/G70</f>
        <v>1.0303517229066257</v>
      </c>
    </row>
    <row r="75" spans="1:16" x14ac:dyDescent="0.3">
      <c r="A75" t="s">
        <v>3</v>
      </c>
      <c r="B75">
        <v>2005.2</v>
      </c>
      <c r="C75">
        <v>44</v>
      </c>
      <c r="D75">
        <v>24.46</v>
      </c>
      <c r="E75">
        <v>171933</v>
      </c>
      <c r="F75">
        <v>7.5119369999999996</v>
      </c>
      <c r="G75">
        <v>193.666666666667</v>
      </c>
      <c r="H75">
        <v>4.1585937499999996</v>
      </c>
      <c r="L75">
        <v>7.5119369999999996</v>
      </c>
      <c r="M75">
        <f>F71</f>
        <v>8.3665579999999995</v>
      </c>
      <c r="N75">
        <v>4.1585937499999996</v>
      </c>
      <c r="O75">
        <f>D75/D71</f>
        <v>0.98272398553635998</v>
      </c>
      <c r="P75">
        <f>G75/G71</f>
        <v>1.0292294065544729</v>
      </c>
    </row>
    <row r="76" spans="1:16" x14ac:dyDescent="0.3">
      <c r="A76" t="s">
        <v>3</v>
      </c>
      <c r="B76">
        <v>2005.3</v>
      </c>
      <c r="C76">
        <v>40</v>
      </c>
      <c r="D76">
        <v>24.84</v>
      </c>
      <c r="E76">
        <v>171973</v>
      </c>
      <c r="F76">
        <v>7.0210800000000004</v>
      </c>
      <c r="G76">
        <v>196.6</v>
      </c>
      <c r="H76">
        <v>4.2151562499999997</v>
      </c>
      <c r="L76">
        <v>7.0210800000000004</v>
      </c>
      <c r="M76">
        <f>F72</f>
        <v>8.2623359999999995</v>
      </c>
      <c r="N76">
        <v>4.2151562499999997</v>
      </c>
      <c r="O76">
        <f>D76/D72</f>
        <v>1.0234857849196539</v>
      </c>
      <c r="P76">
        <f>G76/G72</f>
        <v>1.0381975004400616</v>
      </c>
    </row>
    <row r="77" spans="1:16" x14ac:dyDescent="0.3">
      <c r="A77" t="s">
        <v>3</v>
      </c>
      <c r="B77">
        <v>2005.4</v>
      </c>
      <c r="C77">
        <v>583</v>
      </c>
      <c r="D77">
        <v>25.13</v>
      </c>
      <c r="E77">
        <v>172556</v>
      </c>
      <c r="F77">
        <v>6.6647220000000003</v>
      </c>
      <c r="G77">
        <v>198.433333333333</v>
      </c>
      <c r="H77">
        <v>4.4881967213114802</v>
      </c>
      <c r="L77">
        <v>6.6647220000000003</v>
      </c>
      <c r="M77">
        <f>F73</f>
        <v>7.9589619999999996</v>
      </c>
      <c r="N77">
        <v>4.4881967213114802</v>
      </c>
      <c r="O77">
        <f>D77/D73</f>
        <v>1.0625792811839323</v>
      </c>
      <c r="P77">
        <f>G77/G73</f>
        <v>1.0367467781260866</v>
      </c>
    </row>
    <row r="78" spans="1:16" x14ac:dyDescent="0.3">
      <c r="A78" t="s">
        <v>3</v>
      </c>
      <c r="B78">
        <v>2006.1</v>
      </c>
      <c r="C78">
        <v>66</v>
      </c>
      <c r="D78">
        <v>25.91</v>
      </c>
      <c r="E78">
        <v>172622</v>
      </c>
      <c r="F78">
        <v>6.3506489999999998</v>
      </c>
      <c r="G78">
        <v>199.46666666666701</v>
      </c>
      <c r="H78">
        <v>4.5770967741935502</v>
      </c>
      <c r="L78">
        <v>6.3506489999999998</v>
      </c>
      <c r="M78">
        <f>F74</f>
        <v>7.8914819999999999</v>
      </c>
      <c r="N78">
        <v>4.5770967741935502</v>
      </c>
      <c r="O78">
        <f>D78/D74</f>
        <v>1.072433774834437</v>
      </c>
      <c r="P78">
        <f>G78/G74</f>
        <v>1.0369086813377231</v>
      </c>
    </row>
    <row r="79" spans="1:16" x14ac:dyDescent="0.3">
      <c r="A79" t="s">
        <v>3</v>
      </c>
      <c r="B79">
        <v>2006.2</v>
      </c>
      <c r="C79">
        <v>139</v>
      </c>
      <c r="D79">
        <v>26.27</v>
      </c>
      <c r="E79">
        <v>172761</v>
      </c>
      <c r="F79">
        <v>5.9567350000000001</v>
      </c>
      <c r="G79">
        <v>201.26666666666699</v>
      </c>
      <c r="H79">
        <v>5.0726984126984096</v>
      </c>
      <c r="L79">
        <v>5.9567350000000001</v>
      </c>
      <c r="M79">
        <f>F75</f>
        <v>7.5119369999999996</v>
      </c>
      <c r="N79">
        <v>5.0726984126984096</v>
      </c>
      <c r="O79">
        <f>D79/D75</f>
        <v>1.0739983646770237</v>
      </c>
      <c r="P79">
        <f>G79/G75</f>
        <v>1.0392426850258174</v>
      </c>
    </row>
    <row r="80" spans="1:16" x14ac:dyDescent="0.3">
      <c r="A80" t="s">
        <v>3</v>
      </c>
      <c r="B80">
        <v>2006.3</v>
      </c>
      <c r="C80">
        <v>234</v>
      </c>
      <c r="D80">
        <v>26.67</v>
      </c>
      <c r="E80">
        <v>172995</v>
      </c>
      <c r="F80">
        <v>5.9069209999999996</v>
      </c>
      <c r="G80">
        <v>203.166666666667</v>
      </c>
      <c r="H80">
        <v>4.8934920634920704</v>
      </c>
      <c r="L80">
        <v>5.9069209999999996</v>
      </c>
      <c r="M80">
        <f>F76</f>
        <v>7.0210800000000004</v>
      </c>
      <c r="N80">
        <v>4.8934920634920704</v>
      </c>
      <c r="O80">
        <f>D80/D76</f>
        <v>1.0736714975845412</v>
      </c>
      <c r="P80">
        <f>G80/G76</f>
        <v>1.0334011529331995</v>
      </c>
    </row>
    <row r="81" spans="1:16" x14ac:dyDescent="0.3">
      <c r="A81" t="s">
        <v>3</v>
      </c>
      <c r="B81">
        <v>2006.4</v>
      </c>
      <c r="C81">
        <v>541</v>
      </c>
      <c r="D81">
        <v>27.12</v>
      </c>
      <c r="E81">
        <v>173536</v>
      </c>
      <c r="F81">
        <v>5.8386449999999996</v>
      </c>
      <c r="G81">
        <v>202.333333333333</v>
      </c>
      <c r="H81">
        <v>4.6306451612903201</v>
      </c>
      <c r="L81">
        <v>5.8386449999999996</v>
      </c>
      <c r="M81">
        <f>F77</f>
        <v>6.6647220000000003</v>
      </c>
      <c r="N81">
        <v>4.6306451612903201</v>
      </c>
      <c r="O81">
        <f>D81/D77</f>
        <v>1.0791882212495028</v>
      </c>
      <c r="P81">
        <f>G81/G77</f>
        <v>1.0196539559885773</v>
      </c>
    </row>
    <row r="82" spans="1:16" x14ac:dyDescent="0.3">
      <c r="A82" t="s">
        <v>3</v>
      </c>
      <c r="B82">
        <v>2007.1</v>
      </c>
      <c r="C82">
        <v>658</v>
      </c>
      <c r="D82">
        <v>28.36</v>
      </c>
      <c r="E82">
        <v>174194</v>
      </c>
      <c r="F82">
        <v>5.6546190000000003</v>
      </c>
      <c r="G82">
        <v>204.31700000000001</v>
      </c>
      <c r="H82">
        <v>4.6790322580645203</v>
      </c>
      <c r="L82">
        <v>5.6546190000000003</v>
      </c>
      <c r="M82">
        <f>F78</f>
        <v>6.3506489999999998</v>
      </c>
      <c r="N82">
        <v>4.6790322580645203</v>
      </c>
      <c r="O82">
        <f>D82/D78</f>
        <v>1.0945580856812041</v>
      </c>
      <c r="P82">
        <f>G82/G78</f>
        <v>1.0243165106951855</v>
      </c>
    </row>
    <row r="83" spans="1:16" x14ac:dyDescent="0.3">
      <c r="A83" t="s">
        <v>3</v>
      </c>
      <c r="B83">
        <v>2007.2</v>
      </c>
      <c r="C83">
        <v>132</v>
      </c>
      <c r="D83">
        <v>28.59</v>
      </c>
      <c r="E83">
        <v>174326</v>
      </c>
      <c r="F83">
        <v>5.557874</v>
      </c>
      <c r="G83">
        <v>206.631</v>
      </c>
      <c r="H83">
        <v>4.8460937499999996</v>
      </c>
      <c r="L83">
        <v>5.557874</v>
      </c>
      <c r="M83">
        <f>F79</f>
        <v>5.9567350000000001</v>
      </c>
      <c r="N83">
        <v>4.8460937499999996</v>
      </c>
      <c r="O83">
        <f>D83/D79</f>
        <v>1.0883136657784545</v>
      </c>
      <c r="P83">
        <f>G83/G79</f>
        <v>1.0266528651871465</v>
      </c>
    </row>
    <row r="84" spans="1:16" x14ac:dyDescent="0.3">
      <c r="A84" t="s">
        <v>3</v>
      </c>
      <c r="B84">
        <v>2007.3</v>
      </c>
      <c r="C84">
        <v>128</v>
      </c>
      <c r="D84">
        <v>29.33</v>
      </c>
      <c r="E84">
        <v>174454</v>
      </c>
      <c r="F84">
        <v>5.2163370000000002</v>
      </c>
      <c r="G84">
        <v>207.93899999999999</v>
      </c>
      <c r="H84">
        <v>4.7384126984127004</v>
      </c>
      <c r="L84">
        <v>5.2163370000000002</v>
      </c>
      <c r="M84">
        <f>F80</f>
        <v>5.9069209999999996</v>
      </c>
      <c r="N84">
        <v>4.7384126984127004</v>
      </c>
      <c r="O84">
        <f>D84/D80</f>
        <v>1.0997375328083989</v>
      </c>
      <c r="P84">
        <f>G84/G80</f>
        <v>1.0234897456931895</v>
      </c>
    </row>
    <row r="85" spans="1:16" x14ac:dyDescent="0.3">
      <c r="A85" t="s">
        <v>3</v>
      </c>
      <c r="B85">
        <v>2007.4</v>
      </c>
      <c r="C85">
        <v>430</v>
      </c>
      <c r="D85">
        <v>30</v>
      </c>
      <c r="E85">
        <v>174884</v>
      </c>
      <c r="F85">
        <v>4.8510470000000003</v>
      </c>
      <c r="G85">
        <v>210.48966666666701</v>
      </c>
      <c r="H85">
        <v>4.26661290322581</v>
      </c>
      <c r="L85">
        <v>4.8510470000000003</v>
      </c>
      <c r="M85">
        <f>F81</f>
        <v>5.8386449999999996</v>
      </c>
      <c r="N85">
        <v>4.26661290322581</v>
      </c>
      <c r="O85">
        <f>D85/D81</f>
        <v>1.1061946902654867</v>
      </c>
      <c r="P85">
        <f>G85/G81</f>
        <v>1.0403113673805635</v>
      </c>
    </row>
    <row r="86" spans="1:16" x14ac:dyDescent="0.3">
      <c r="A86" t="s">
        <v>3</v>
      </c>
      <c r="B86">
        <v>2008.1</v>
      </c>
      <c r="C86">
        <v>506</v>
      </c>
      <c r="D86">
        <v>31.27</v>
      </c>
      <c r="E86">
        <v>175390</v>
      </c>
      <c r="F86">
        <v>4.5425199999999997</v>
      </c>
      <c r="G86">
        <v>212.76966666666701</v>
      </c>
      <c r="H86">
        <v>3.6652459016393402</v>
      </c>
      <c r="L86">
        <v>4.5425199999999997</v>
      </c>
      <c r="M86">
        <f>F82</f>
        <v>5.6546190000000003</v>
      </c>
      <c r="N86">
        <v>3.6652459016393402</v>
      </c>
      <c r="O86">
        <f>D86/D82</f>
        <v>1.1026093088857545</v>
      </c>
      <c r="P86">
        <f>G86/G82</f>
        <v>1.0413703542371266</v>
      </c>
    </row>
    <row r="87" spans="1:16" x14ac:dyDescent="0.3">
      <c r="A87" t="s">
        <v>3</v>
      </c>
      <c r="B87">
        <v>2008.2</v>
      </c>
      <c r="C87">
        <v>961</v>
      </c>
      <c r="D87">
        <v>32.21</v>
      </c>
      <c r="E87">
        <v>176351</v>
      </c>
      <c r="F87">
        <v>4.2675869999999998</v>
      </c>
      <c r="G87">
        <v>215.53766666666701</v>
      </c>
      <c r="H87">
        <v>3.8815624999999998</v>
      </c>
      <c r="L87">
        <v>4.2675869999999998</v>
      </c>
      <c r="M87">
        <f>F83</f>
        <v>5.557874</v>
      </c>
      <c r="N87">
        <v>3.8815624999999998</v>
      </c>
      <c r="O87">
        <f>D87/D83</f>
        <v>1.1266176984959777</v>
      </c>
      <c r="P87">
        <f>G87/G83</f>
        <v>1.0431042131464641</v>
      </c>
    </row>
    <row r="88" spans="1:16" x14ac:dyDescent="0.3">
      <c r="A88" t="s">
        <v>3</v>
      </c>
      <c r="B88">
        <v>2008.3</v>
      </c>
      <c r="C88">
        <v>753</v>
      </c>
      <c r="D88">
        <v>32.56</v>
      </c>
      <c r="E88">
        <v>177104</v>
      </c>
      <c r="F88">
        <v>4.1551109999999998</v>
      </c>
      <c r="G88">
        <v>218.86099999999999</v>
      </c>
      <c r="H88">
        <v>3.8621875000000001</v>
      </c>
      <c r="L88">
        <v>4.1551109999999998</v>
      </c>
      <c r="M88">
        <f>F84</f>
        <v>5.2163370000000002</v>
      </c>
      <c r="N88">
        <v>3.8621875000000001</v>
      </c>
      <c r="O88">
        <f>D88/D84</f>
        <v>1.1101261506989433</v>
      </c>
      <c r="P88">
        <f>G88/G84</f>
        <v>1.0525250193566382</v>
      </c>
    </row>
    <row r="89" spans="1:16" x14ac:dyDescent="0.3">
      <c r="A89" t="s">
        <v>3</v>
      </c>
      <c r="B89">
        <v>2008.4</v>
      </c>
      <c r="C89">
        <v>347</v>
      </c>
      <c r="D89">
        <v>32.71</v>
      </c>
      <c r="E89">
        <v>177451</v>
      </c>
      <c r="F89">
        <v>4.3674590000000002</v>
      </c>
      <c r="G89">
        <v>213.84866666666699</v>
      </c>
      <c r="H89">
        <v>3.2346774193548402</v>
      </c>
      <c r="L89">
        <v>4.3674590000000002</v>
      </c>
      <c r="M89">
        <f>F85</f>
        <v>4.8510470000000003</v>
      </c>
      <c r="N89">
        <v>3.2346774193548402</v>
      </c>
      <c r="O89">
        <f>D89/D85</f>
        <v>1.0903333333333334</v>
      </c>
      <c r="P89">
        <f>G89/G85</f>
        <v>1.0159580280267122</v>
      </c>
    </row>
    <row r="90" spans="1:16" x14ac:dyDescent="0.3">
      <c r="A90" t="s">
        <v>3</v>
      </c>
      <c r="B90">
        <v>2009.1</v>
      </c>
      <c r="C90">
        <v>365</v>
      </c>
      <c r="D90">
        <v>31.63</v>
      </c>
      <c r="E90">
        <v>177816</v>
      </c>
      <c r="F90">
        <v>4.8126819999999997</v>
      </c>
      <c r="G90">
        <v>212.37766666666701</v>
      </c>
      <c r="H90">
        <v>2.7362295081967201</v>
      </c>
      <c r="L90">
        <v>4.8126819999999997</v>
      </c>
      <c r="M90">
        <f>F86</f>
        <v>4.5425199999999997</v>
      </c>
      <c r="N90">
        <v>2.7362295081967201</v>
      </c>
      <c r="O90">
        <f>D90/D86</f>
        <v>1.0115126319155741</v>
      </c>
      <c r="P90">
        <f>G90/G86</f>
        <v>0.99815763211861341</v>
      </c>
    </row>
    <row r="91" spans="1:16" x14ac:dyDescent="0.3">
      <c r="A91" t="s">
        <v>3</v>
      </c>
      <c r="B91">
        <v>2009.2</v>
      </c>
      <c r="C91">
        <v>435</v>
      </c>
      <c r="D91">
        <v>29.14</v>
      </c>
      <c r="E91">
        <v>178251</v>
      </c>
      <c r="F91">
        <v>5.4440010000000001</v>
      </c>
      <c r="G91">
        <v>213.50700000000001</v>
      </c>
      <c r="H91">
        <v>3.3207936507936502</v>
      </c>
      <c r="L91">
        <v>5.4440010000000001</v>
      </c>
      <c r="M91">
        <f>F87</f>
        <v>4.2675869999999998</v>
      </c>
      <c r="N91">
        <v>3.3207936507936502</v>
      </c>
      <c r="O91">
        <f>D91/D87</f>
        <v>0.90468798509779569</v>
      </c>
      <c r="P91">
        <f>G91/G87</f>
        <v>0.99057859956418914</v>
      </c>
    </row>
    <row r="92" spans="1:16" x14ac:dyDescent="0.3">
      <c r="A92" t="s">
        <v>3</v>
      </c>
      <c r="B92">
        <v>2009.3</v>
      </c>
      <c r="C92">
        <v>137</v>
      </c>
      <c r="D92">
        <v>28.16</v>
      </c>
      <c r="E92">
        <v>178388</v>
      </c>
      <c r="F92">
        <v>6.1839810000000002</v>
      </c>
      <c r="G92">
        <v>215.34399999999999</v>
      </c>
      <c r="H92">
        <v>3.5178124999999998</v>
      </c>
      <c r="L92">
        <v>6.1839810000000002</v>
      </c>
      <c r="M92">
        <f>F88</f>
        <v>4.1551109999999998</v>
      </c>
      <c r="N92">
        <v>3.5178124999999998</v>
      </c>
      <c r="O92">
        <f>D92/D88</f>
        <v>0.8648648648648648</v>
      </c>
      <c r="P92">
        <f>G92/G88</f>
        <v>0.98393043986822692</v>
      </c>
    </row>
    <row r="93" spans="1:16" x14ac:dyDescent="0.3">
      <c r="A93" t="s">
        <v>3</v>
      </c>
      <c r="B93">
        <v>2009.4</v>
      </c>
      <c r="C93">
        <v>342</v>
      </c>
      <c r="D93">
        <v>27.73</v>
      </c>
      <c r="E93">
        <v>178730</v>
      </c>
      <c r="F93">
        <v>6.6947349999999997</v>
      </c>
      <c r="G93">
        <v>217.03</v>
      </c>
      <c r="H93">
        <v>3.46403225806452</v>
      </c>
      <c r="L93">
        <v>6.6947349999999997</v>
      </c>
      <c r="M93">
        <f>F89</f>
        <v>4.3674590000000002</v>
      </c>
      <c r="N93">
        <v>3.46403225806452</v>
      </c>
      <c r="O93">
        <f>D93/D89</f>
        <v>0.84775298073983485</v>
      </c>
      <c r="P93">
        <f>G93/G89</f>
        <v>1.0148765638005677</v>
      </c>
    </row>
    <row r="94" spans="1:16" x14ac:dyDescent="0.3">
      <c r="A94" t="s">
        <v>3</v>
      </c>
      <c r="B94">
        <v>2010.1</v>
      </c>
      <c r="C94">
        <v>615</v>
      </c>
      <c r="D94">
        <v>27.27</v>
      </c>
      <c r="E94">
        <v>179345</v>
      </c>
      <c r="F94">
        <v>7.0082760000000004</v>
      </c>
      <c r="G94">
        <v>217.374</v>
      </c>
      <c r="H94">
        <v>3.71786885245902</v>
      </c>
      <c r="L94">
        <v>7.0082760000000004</v>
      </c>
      <c r="M94">
        <f>F90</f>
        <v>4.8126819999999997</v>
      </c>
      <c r="N94">
        <v>3.71786885245902</v>
      </c>
      <c r="O94">
        <f>D94/D90</f>
        <v>0.86215618084097378</v>
      </c>
      <c r="P94">
        <f>G94/G90</f>
        <v>1.0235257002854961</v>
      </c>
    </row>
    <row r="95" spans="1:16" x14ac:dyDescent="0.3">
      <c r="A95" t="s">
        <v>3</v>
      </c>
      <c r="B95">
        <v>2010.2</v>
      </c>
      <c r="C95">
        <v>389</v>
      </c>
      <c r="D95">
        <v>27.14</v>
      </c>
      <c r="E95">
        <v>179734</v>
      </c>
      <c r="F95">
        <v>7.1487879999999997</v>
      </c>
      <c r="G95">
        <v>217.297333333333</v>
      </c>
      <c r="H95">
        <v>3.4925000000000002</v>
      </c>
      <c r="L95">
        <v>7.1487879999999997</v>
      </c>
      <c r="M95">
        <f>F91</f>
        <v>5.4440010000000001</v>
      </c>
      <c r="N95">
        <v>3.4925000000000002</v>
      </c>
      <c r="O95">
        <f>D95/D91</f>
        <v>0.93136582017844882</v>
      </c>
      <c r="P95">
        <f>G95/G91</f>
        <v>1.0177527356636222</v>
      </c>
    </row>
    <row r="96" spans="1:16" x14ac:dyDescent="0.3">
      <c r="A96" t="s">
        <v>3</v>
      </c>
      <c r="B96">
        <v>2010.3</v>
      </c>
      <c r="C96">
        <v>567</v>
      </c>
      <c r="D96">
        <v>27.09</v>
      </c>
      <c r="E96">
        <v>180301</v>
      </c>
      <c r="F96">
        <v>7.090916</v>
      </c>
      <c r="G96">
        <v>217.934333333333</v>
      </c>
      <c r="H96">
        <v>2.7845312500000001</v>
      </c>
      <c r="L96">
        <v>7.090916</v>
      </c>
      <c r="M96">
        <f>F92</f>
        <v>6.1839810000000002</v>
      </c>
      <c r="N96">
        <v>2.7845312500000001</v>
      </c>
      <c r="O96">
        <f>D96/D92</f>
        <v>0.96200284090909094</v>
      </c>
      <c r="P96">
        <f>G96/G92</f>
        <v>1.0120288159100463</v>
      </c>
    </row>
    <row r="97" spans="1:16" x14ac:dyDescent="0.3">
      <c r="A97" t="s">
        <v>3</v>
      </c>
      <c r="B97">
        <v>2010.4</v>
      </c>
      <c r="C97">
        <v>212</v>
      </c>
      <c r="D97">
        <v>26.86</v>
      </c>
      <c r="E97">
        <v>180513</v>
      </c>
      <c r="F97">
        <v>6.8463289999999999</v>
      </c>
      <c r="G97">
        <v>219.69900000000001</v>
      </c>
      <c r="H97">
        <v>2.87838709677419</v>
      </c>
      <c r="L97">
        <v>6.8463289999999999</v>
      </c>
      <c r="M97">
        <f>F93</f>
        <v>6.6947349999999997</v>
      </c>
      <c r="N97">
        <v>2.87838709677419</v>
      </c>
      <c r="O97">
        <f>D97/D93</f>
        <v>0.9686260367832672</v>
      </c>
      <c r="P97">
        <f>G97/G93</f>
        <v>1.0122978390084321</v>
      </c>
    </row>
    <row r="98" spans="1:16" x14ac:dyDescent="0.3">
      <c r="A98" t="s">
        <v>3</v>
      </c>
      <c r="B98">
        <v>2011.1</v>
      </c>
      <c r="C98">
        <v>896</v>
      </c>
      <c r="D98">
        <v>26.33</v>
      </c>
      <c r="E98">
        <v>181409</v>
      </c>
      <c r="F98">
        <v>6.4971290000000002</v>
      </c>
      <c r="G98">
        <v>222.04366666666701</v>
      </c>
      <c r="H98">
        <v>3.4574193548387102</v>
      </c>
      <c r="L98">
        <v>6.4971290000000002</v>
      </c>
      <c r="M98">
        <f>F94</f>
        <v>7.0082760000000004</v>
      </c>
      <c r="N98">
        <v>3.4574193548387102</v>
      </c>
      <c r="O98">
        <f>D98/D94</f>
        <v>0.96552988632196546</v>
      </c>
      <c r="P98">
        <f>G98/G94</f>
        <v>1.0214821766479294</v>
      </c>
    </row>
    <row r="99" spans="1:16" x14ac:dyDescent="0.3">
      <c r="A99" t="s">
        <v>3</v>
      </c>
      <c r="B99">
        <v>2011.2</v>
      </c>
      <c r="C99">
        <v>0</v>
      </c>
      <c r="D99">
        <v>27.1</v>
      </c>
      <c r="E99">
        <v>181409</v>
      </c>
      <c r="F99">
        <v>6.1792319999999998</v>
      </c>
      <c r="G99">
        <v>224.56833333333299</v>
      </c>
      <c r="H99">
        <v>3.2014285714285702</v>
      </c>
      <c r="L99">
        <v>6.1792319999999998</v>
      </c>
      <c r="M99">
        <f>F95</f>
        <v>7.1487879999999997</v>
      </c>
      <c r="N99">
        <v>3.2014285714285702</v>
      </c>
      <c r="O99">
        <f>D99/D95</f>
        <v>0.99852616064848931</v>
      </c>
      <c r="P99">
        <f>G99/G95</f>
        <v>1.0334610641026427</v>
      </c>
    </row>
    <row r="100" spans="1:16" x14ac:dyDescent="0.3">
      <c r="A100" t="s">
        <v>3</v>
      </c>
      <c r="B100">
        <v>2011.3</v>
      </c>
      <c r="C100">
        <v>70</v>
      </c>
      <c r="D100">
        <v>25.54</v>
      </c>
      <c r="E100">
        <v>181479</v>
      </c>
      <c r="F100">
        <v>5.8055079999999997</v>
      </c>
      <c r="G100">
        <v>226.03266666666701</v>
      </c>
      <c r="H100">
        <v>2.4142187499999999</v>
      </c>
      <c r="L100">
        <v>5.8055079999999997</v>
      </c>
      <c r="M100">
        <f>F96</f>
        <v>7.090916</v>
      </c>
      <c r="N100">
        <v>2.4142187499999999</v>
      </c>
      <c r="O100">
        <f>D100/D96</f>
        <v>0.94278331487633815</v>
      </c>
      <c r="P100">
        <f>G100/G96</f>
        <v>1.0371595113512817</v>
      </c>
    </row>
    <row r="101" spans="1:16" x14ac:dyDescent="0.3">
      <c r="A101" t="s">
        <v>3</v>
      </c>
      <c r="B101">
        <v>2011.4</v>
      </c>
      <c r="C101">
        <v>28</v>
      </c>
      <c r="D101">
        <v>27.33</v>
      </c>
      <c r="E101">
        <v>181507</v>
      </c>
      <c r="F101">
        <v>5.6350040000000003</v>
      </c>
      <c r="G101">
        <v>227.047333333333</v>
      </c>
      <c r="H101">
        <v>2.0467213114754101</v>
      </c>
      <c r="L101">
        <v>5.6350040000000003</v>
      </c>
      <c r="M101">
        <f>F97</f>
        <v>6.8463289999999999</v>
      </c>
      <c r="N101">
        <v>2.0467213114754101</v>
      </c>
      <c r="O101">
        <f>D101/D97</f>
        <v>1.0174981384959048</v>
      </c>
      <c r="P101">
        <f>G101/G97</f>
        <v>1.0334472771079204</v>
      </c>
    </row>
    <row r="102" spans="1:16" x14ac:dyDescent="0.3">
      <c r="A102" t="s">
        <v>3</v>
      </c>
      <c r="B102">
        <v>2012.1</v>
      </c>
      <c r="C102">
        <v>0</v>
      </c>
      <c r="D102">
        <v>27.29</v>
      </c>
      <c r="E102">
        <v>181507</v>
      </c>
      <c r="F102">
        <v>5.5189380000000003</v>
      </c>
      <c r="G102">
        <v>228.32599999999999</v>
      </c>
      <c r="H102">
        <v>2.04</v>
      </c>
      <c r="L102">
        <v>5.5189380000000003</v>
      </c>
      <c r="M102">
        <f>F98</f>
        <v>6.4971290000000002</v>
      </c>
      <c r="N102">
        <v>2.04</v>
      </c>
      <c r="O102">
        <f>D102/D98</f>
        <v>1.0364603114318269</v>
      </c>
      <c r="P102">
        <f>G102/G98</f>
        <v>1.0282932336132067</v>
      </c>
    </row>
    <row r="103" spans="1:16" x14ac:dyDescent="0.3">
      <c r="A103" t="s">
        <v>3</v>
      </c>
      <c r="B103">
        <v>2012.2</v>
      </c>
      <c r="C103">
        <v>10</v>
      </c>
      <c r="D103">
        <v>27.53</v>
      </c>
      <c r="E103">
        <v>181517</v>
      </c>
      <c r="F103">
        <v>5.3845169999999998</v>
      </c>
      <c r="G103">
        <v>228.80799999999999</v>
      </c>
      <c r="H103">
        <v>1.8257812499999999</v>
      </c>
      <c r="L103">
        <v>5.3845169999999998</v>
      </c>
      <c r="M103">
        <f>F99</f>
        <v>6.1792319999999998</v>
      </c>
      <c r="N103">
        <v>1.8257812499999999</v>
      </c>
      <c r="O103">
        <f>D103/D99</f>
        <v>1.0158671586715866</v>
      </c>
      <c r="P103">
        <f>G103/G99</f>
        <v>1.0188791830252129</v>
      </c>
    </row>
    <row r="104" spans="1:16" x14ac:dyDescent="0.3">
      <c r="A104" t="s">
        <v>3</v>
      </c>
      <c r="B104">
        <v>2012.3</v>
      </c>
      <c r="C104">
        <v>140</v>
      </c>
      <c r="D104">
        <v>27.7</v>
      </c>
      <c r="E104">
        <v>181657</v>
      </c>
      <c r="F104">
        <v>5.4154590000000002</v>
      </c>
      <c r="G104">
        <v>229.84100000000001</v>
      </c>
      <c r="H104">
        <v>1.6412698412698401</v>
      </c>
      <c r="L104">
        <v>5.4154590000000002</v>
      </c>
      <c r="M104">
        <f>F100</f>
        <v>5.8055079999999997</v>
      </c>
      <c r="N104">
        <v>1.6412698412698401</v>
      </c>
      <c r="O104">
        <f>D104/D100</f>
        <v>1.0845732184808143</v>
      </c>
      <c r="P104">
        <f>G104/G100</f>
        <v>1.0168485971054315</v>
      </c>
    </row>
    <row r="105" spans="1:16" x14ac:dyDescent="0.3">
      <c r="A105" t="s">
        <v>3</v>
      </c>
      <c r="B105">
        <v>2012.4</v>
      </c>
      <c r="C105">
        <v>397</v>
      </c>
      <c r="D105">
        <v>28.24</v>
      </c>
      <c r="E105">
        <v>182054</v>
      </c>
      <c r="F105">
        <v>5.3442720000000001</v>
      </c>
      <c r="G105">
        <v>231.369333333333</v>
      </c>
      <c r="H105">
        <v>1.70704918032787</v>
      </c>
      <c r="L105">
        <v>5.3442720000000001</v>
      </c>
      <c r="M105">
        <f>F101</f>
        <v>5.6350040000000003</v>
      </c>
      <c r="N105">
        <v>1.70704918032787</v>
      </c>
      <c r="O105">
        <f>D105/D101</f>
        <v>1.0332967435053055</v>
      </c>
      <c r="P105">
        <f>G105/G101</f>
        <v>1.0190356783167094</v>
      </c>
    </row>
    <row r="106" spans="1:16" x14ac:dyDescent="0.3">
      <c r="A106" t="s">
        <v>3</v>
      </c>
      <c r="B106">
        <v>2013.1</v>
      </c>
      <c r="C106">
        <v>233</v>
      </c>
      <c r="D106">
        <v>29.9</v>
      </c>
      <c r="E106">
        <v>182287</v>
      </c>
      <c r="F106">
        <v>5.2652720000000004</v>
      </c>
      <c r="G106">
        <v>232.29933333333301</v>
      </c>
      <c r="H106">
        <v>1.9510000000000001</v>
      </c>
      <c r="L106">
        <v>5.2652720000000004</v>
      </c>
      <c r="M106">
        <f>F102</f>
        <v>5.5189380000000003</v>
      </c>
      <c r="N106">
        <v>1.9510000000000001</v>
      </c>
      <c r="O106">
        <f>D106/D102</f>
        <v>1.0956394283620374</v>
      </c>
      <c r="P106">
        <f>G106/G102</f>
        <v>1.0174020187509658</v>
      </c>
    </row>
    <row r="107" spans="1:16" x14ac:dyDescent="0.3">
      <c r="A107" t="s">
        <v>3</v>
      </c>
      <c r="B107">
        <v>2013.2</v>
      </c>
      <c r="C107">
        <v>189</v>
      </c>
      <c r="D107">
        <v>30.03</v>
      </c>
      <c r="E107">
        <v>182476</v>
      </c>
      <c r="F107">
        <v>5.1582929999999996</v>
      </c>
      <c r="G107">
        <v>232.04499999999999</v>
      </c>
      <c r="H107">
        <v>1.9862500000000001</v>
      </c>
      <c r="L107">
        <v>5.1582929999999996</v>
      </c>
      <c r="M107">
        <f>F103</f>
        <v>5.3845169999999998</v>
      </c>
      <c r="N107">
        <v>1.9862500000000001</v>
      </c>
      <c r="O107">
        <f>D107/D103</f>
        <v>1.0908100254268072</v>
      </c>
      <c r="P107">
        <f>G107/G103</f>
        <v>1.0141472326142442</v>
      </c>
    </row>
    <row r="108" spans="1:16" x14ac:dyDescent="0.3">
      <c r="A108" t="s">
        <v>3</v>
      </c>
      <c r="B108">
        <v>2013.3</v>
      </c>
      <c r="C108">
        <v>51</v>
      </c>
      <c r="D108">
        <v>30.2</v>
      </c>
      <c r="E108">
        <v>182527</v>
      </c>
      <c r="F108">
        <v>5.0011609999999997</v>
      </c>
      <c r="G108">
        <v>233.3</v>
      </c>
      <c r="H108">
        <v>2.7065625</v>
      </c>
      <c r="L108">
        <v>5.0011609999999997</v>
      </c>
      <c r="M108">
        <f>F104</f>
        <v>5.4154590000000002</v>
      </c>
      <c r="N108">
        <v>2.7065625</v>
      </c>
      <c r="O108">
        <f>D108/D104</f>
        <v>1.0902527075812274</v>
      </c>
      <c r="P108">
        <f>G108/G104</f>
        <v>1.0150495342432377</v>
      </c>
    </row>
    <row r="109" spans="1:16" x14ac:dyDescent="0.3">
      <c r="A109" t="s">
        <v>3</v>
      </c>
      <c r="B109">
        <v>2013.4</v>
      </c>
      <c r="C109">
        <v>41</v>
      </c>
      <c r="D109">
        <v>30.54</v>
      </c>
      <c r="E109">
        <v>182568</v>
      </c>
      <c r="F109">
        <v>4.9926579999999996</v>
      </c>
      <c r="G109">
        <v>234.16266666666701</v>
      </c>
      <c r="H109">
        <v>2.7441935483870998</v>
      </c>
      <c r="L109">
        <v>4.9926579999999996</v>
      </c>
      <c r="M109">
        <f>F105</f>
        <v>5.3442720000000001</v>
      </c>
      <c r="N109">
        <v>2.7441935483870998</v>
      </c>
      <c r="O109">
        <f>D109/D105</f>
        <v>1.0814447592067988</v>
      </c>
      <c r="P109">
        <f>G109/G105</f>
        <v>1.0120730491508556</v>
      </c>
    </row>
    <row r="110" spans="1:16" x14ac:dyDescent="0.3">
      <c r="A110" t="s">
        <v>3</v>
      </c>
      <c r="B110">
        <v>2014.1</v>
      </c>
      <c r="C110">
        <v>280</v>
      </c>
      <c r="D110">
        <v>30.61</v>
      </c>
      <c r="E110">
        <v>182848</v>
      </c>
      <c r="F110">
        <v>4.9403180000000004</v>
      </c>
      <c r="G110">
        <v>235.62100000000001</v>
      </c>
      <c r="H110">
        <v>2.7654098360655701</v>
      </c>
      <c r="L110">
        <v>4.9403180000000004</v>
      </c>
      <c r="M110">
        <f>F106</f>
        <v>5.2652720000000004</v>
      </c>
      <c r="N110">
        <v>2.7654098360655701</v>
      </c>
      <c r="O110">
        <f>D110/D106</f>
        <v>1.0237458193979934</v>
      </c>
      <c r="P110">
        <f>G110/G106</f>
        <v>1.0142990796357587</v>
      </c>
    </row>
    <row r="111" spans="1:16" x14ac:dyDescent="0.3">
      <c r="A111" t="s">
        <v>3</v>
      </c>
      <c r="B111">
        <v>2014.2</v>
      </c>
      <c r="C111">
        <v>102</v>
      </c>
      <c r="D111">
        <v>30.89</v>
      </c>
      <c r="E111">
        <v>182950</v>
      </c>
      <c r="F111">
        <v>4.9028739999999997</v>
      </c>
      <c r="G111">
        <v>236.87233333333299</v>
      </c>
      <c r="H111">
        <v>2.6209523809523798</v>
      </c>
      <c r="L111">
        <v>4.9028739999999997</v>
      </c>
      <c r="M111">
        <f>F107</f>
        <v>5.1582929999999996</v>
      </c>
      <c r="N111">
        <v>2.6209523809523798</v>
      </c>
      <c r="O111">
        <f>D111/D107</f>
        <v>1.0286380286380286</v>
      </c>
      <c r="P111">
        <f>G111/G107</f>
        <v>1.0208034361151199</v>
      </c>
    </row>
    <row r="112" spans="1:16" x14ac:dyDescent="0.3">
      <c r="A112" t="s">
        <v>3</v>
      </c>
      <c r="B112">
        <v>2014.3</v>
      </c>
      <c r="C112">
        <v>38</v>
      </c>
      <c r="D112">
        <v>31.37</v>
      </c>
      <c r="E112">
        <v>182988</v>
      </c>
      <c r="F112">
        <v>4.9061909999999997</v>
      </c>
      <c r="G112">
        <v>237.47833333333301</v>
      </c>
      <c r="H112">
        <v>2.49953125</v>
      </c>
      <c r="L112">
        <v>4.9061909999999997</v>
      </c>
      <c r="M112">
        <f>F108</f>
        <v>5.0011609999999997</v>
      </c>
      <c r="N112">
        <v>2.49953125</v>
      </c>
      <c r="O112">
        <f>D112/D108</f>
        <v>1.0387417218543047</v>
      </c>
      <c r="P112">
        <f>G112/G108</f>
        <v>1.0179097013859109</v>
      </c>
    </row>
    <row r="113" spans="1:16" x14ac:dyDescent="0.3">
      <c r="A113" t="s">
        <v>3</v>
      </c>
      <c r="B113">
        <v>2014.4</v>
      </c>
      <c r="C113">
        <v>262</v>
      </c>
      <c r="D113">
        <v>31.2</v>
      </c>
      <c r="E113">
        <v>183250</v>
      </c>
      <c r="F113">
        <v>4.8044969999999996</v>
      </c>
      <c r="G113">
        <v>236.88833333333301</v>
      </c>
      <c r="H113">
        <v>2.2759677419354798</v>
      </c>
      <c r="L113">
        <v>4.8044969999999996</v>
      </c>
      <c r="M113">
        <f>F109</f>
        <v>4.9926579999999996</v>
      </c>
      <c r="N113">
        <v>2.2759677419354798</v>
      </c>
      <c r="O113">
        <f>D113/D109</f>
        <v>1.0216110019646365</v>
      </c>
      <c r="P113">
        <f>G113/G109</f>
        <v>1.0116400564849477</v>
      </c>
    </row>
    <row r="114" spans="1:16" x14ac:dyDescent="0.3">
      <c r="A114" t="s">
        <v>3</v>
      </c>
      <c r="B114">
        <v>2015.1</v>
      </c>
      <c r="C114">
        <v>0</v>
      </c>
      <c r="D114">
        <v>31.63</v>
      </c>
      <c r="E114">
        <v>183250</v>
      </c>
      <c r="F114">
        <v>4.7086300000000003</v>
      </c>
      <c r="G114">
        <v>235.35499999999999</v>
      </c>
      <c r="H114">
        <v>1.9688524590163901</v>
      </c>
      <c r="L114">
        <v>4.7086300000000003</v>
      </c>
      <c r="M114">
        <f>F110</f>
        <v>4.9403180000000004</v>
      </c>
      <c r="N114">
        <v>1.9688524590163901</v>
      </c>
      <c r="O114">
        <f>D114/D110</f>
        <v>1.0333224436458675</v>
      </c>
      <c r="P114">
        <f>G114/G110</f>
        <v>0.99887106836826933</v>
      </c>
    </row>
    <row r="115" spans="1:16" x14ac:dyDescent="0.3">
      <c r="A115" t="s">
        <v>3</v>
      </c>
      <c r="B115">
        <v>2015.2</v>
      </c>
      <c r="C115">
        <v>1000</v>
      </c>
      <c r="D115">
        <v>33.11</v>
      </c>
      <c r="E115">
        <v>184250</v>
      </c>
      <c r="F115">
        <v>4.6471770000000001</v>
      </c>
      <c r="G115">
        <v>236.96</v>
      </c>
      <c r="H115">
        <v>2.1643750000000002</v>
      </c>
      <c r="L115">
        <v>4.6471770000000001</v>
      </c>
      <c r="M115">
        <f>F111</f>
        <v>4.9028739999999997</v>
      </c>
      <c r="N115">
        <v>2.1643750000000002</v>
      </c>
      <c r="O115">
        <f>D115/D111</f>
        <v>1.0718679184202007</v>
      </c>
      <c r="P115">
        <f>G115/G111</f>
        <v>1.0003701009123074</v>
      </c>
    </row>
    <row r="116" spans="1:16" x14ac:dyDescent="0.3">
      <c r="A116" t="s">
        <v>3</v>
      </c>
      <c r="B116">
        <v>2015.3</v>
      </c>
      <c r="C116">
        <v>738</v>
      </c>
      <c r="D116">
        <v>33.31</v>
      </c>
      <c r="E116">
        <v>184988</v>
      </c>
      <c r="F116">
        <v>4.5179799999999997</v>
      </c>
      <c r="G116">
        <v>237.85499999999999</v>
      </c>
      <c r="H116">
        <v>2.223125</v>
      </c>
      <c r="L116">
        <v>4.5179799999999997</v>
      </c>
      <c r="M116">
        <f>F112</f>
        <v>4.9061909999999997</v>
      </c>
      <c r="N116">
        <v>2.223125</v>
      </c>
      <c r="O116">
        <f>D116/D112</f>
        <v>1.0618425247051324</v>
      </c>
      <c r="P116">
        <f>G116/G112</f>
        <v>1.0015861096100007</v>
      </c>
    </row>
    <row r="117" spans="1:16" x14ac:dyDescent="0.3">
      <c r="A117" t="s">
        <v>3</v>
      </c>
      <c r="B117">
        <v>2015.4</v>
      </c>
      <c r="C117">
        <v>471</v>
      </c>
      <c r="D117">
        <v>33.51</v>
      </c>
      <c r="E117">
        <v>185459</v>
      </c>
      <c r="F117">
        <v>4.3784609999999997</v>
      </c>
      <c r="G117">
        <v>237.83699999999999</v>
      </c>
      <c r="H117">
        <v>2.1904838709677401</v>
      </c>
      <c r="L117">
        <v>4.3784609999999997</v>
      </c>
      <c r="M117">
        <f>F113</f>
        <v>4.8044969999999996</v>
      </c>
      <c r="N117">
        <v>2.1904838709677401</v>
      </c>
      <c r="O117">
        <f>D117/D113</f>
        <v>1.0740384615384615</v>
      </c>
      <c r="P117">
        <f>G117/G113</f>
        <v>1.0040046998234062</v>
      </c>
    </row>
    <row r="118" spans="1:16" x14ac:dyDescent="0.3">
      <c r="A118" t="s">
        <v>3</v>
      </c>
      <c r="B118">
        <v>2016.1</v>
      </c>
      <c r="C118">
        <v>1052</v>
      </c>
      <c r="D118">
        <v>33.79</v>
      </c>
      <c r="E118">
        <v>186511</v>
      </c>
      <c r="F118">
        <v>4.2363920000000004</v>
      </c>
      <c r="G118">
        <v>237.689333333333</v>
      </c>
      <c r="H118">
        <v>1.9142619999999999</v>
      </c>
      <c r="L118">
        <v>4.2363920000000004</v>
      </c>
      <c r="M118">
        <f>F114</f>
        <v>4.7086300000000003</v>
      </c>
      <c r="N118">
        <v>1.9142619999999999</v>
      </c>
      <c r="O118">
        <f>D118/D114</f>
        <v>1.0682895984824534</v>
      </c>
      <c r="P118">
        <f>G118/G114</f>
        <v>1.0099183502935267</v>
      </c>
    </row>
    <row r="119" spans="1:16" x14ac:dyDescent="0.3">
      <c r="A119" t="s">
        <v>3</v>
      </c>
      <c r="B119">
        <v>2016.2</v>
      </c>
      <c r="C119">
        <v>83</v>
      </c>
      <c r="D119">
        <v>34.35</v>
      </c>
      <c r="E119">
        <v>186594</v>
      </c>
      <c r="F119">
        <v>4.0612849999999998</v>
      </c>
      <c r="G119">
        <v>239.59033333333301</v>
      </c>
      <c r="H119">
        <v>1.750156</v>
      </c>
      <c r="L119">
        <v>4.0612849999999998</v>
      </c>
      <c r="M119">
        <f>F115</f>
        <v>4.6471770000000001</v>
      </c>
      <c r="N119">
        <v>1.750156</v>
      </c>
      <c r="O119">
        <f>D119/D115</f>
        <v>1.0374509211718514</v>
      </c>
      <c r="P119">
        <f>G119/G115</f>
        <v>1.0111003263560643</v>
      </c>
    </row>
    <row r="120" spans="1:16" x14ac:dyDescent="0.3">
      <c r="A120" t="s">
        <v>3</v>
      </c>
      <c r="B120">
        <v>2016.3</v>
      </c>
      <c r="C120">
        <v>1323</v>
      </c>
      <c r="D120">
        <v>34.81</v>
      </c>
      <c r="E120">
        <v>187917</v>
      </c>
      <c r="F120">
        <v>3.9117540000000002</v>
      </c>
      <c r="G120">
        <v>240.607333333333</v>
      </c>
      <c r="H120">
        <v>1.5643750000000001</v>
      </c>
      <c r="L120">
        <v>3.9117540000000002</v>
      </c>
      <c r="M120">
        <f>F116</f>
        <v>4.5179799999999997</v>
      </c>
      <c r="N120">
        <v>1.5643750000000001</v>
      </c>
      <c r="O120">
        <f>D120/D116</f>
        <v>1.0450315220654458</v>
      </c>
      <c r="P120">
        <f>G120/G116</f>
        <v>1.011571475618898</v>
      </c>
    </row>
    <row r="121" spans="1:16" x14ac:dyDescent="0.3">
      <c r="A121" t="s">
        <v>3</v>
      </c>
      <c r="B121">
        <v>2016.4</v>
      </c>
      <c r="C121">
        <v>84</v>
      </c>
      <c r="D121">
        <v>35.909999999999997</v>
      </c>
      <c r="E121">
        <v>188001</v>
      </c>
      <c r="F121">
        <v>3.8556910000000002</v>
      </c>
      <c r="G121">
        <v>242.13466666666699</v>
      </c>
      <c r="H121">
        <v>2.1386889999999998</v>
      </c>
      <c r="L121">
        <v>3.8556910000000002</v>
      </c>
      <c r="M121">
        <f>F117</f>
        <v>4.3784609999999997</v>
      </c>
      <c r="N121">
        <v>2.1386889999999998</v>
      </c>
      <c r="O121">
        <f>D121/D117</f>
        <v>1.071620411817368</v>
      </c>
      <c r="P121">
        <f>G121/G117</f>
        <v>1.0180697985034581</v>
      </c>
    </row>
    <row r="122" spans="1:16" x14ac:dyDescent="0.3">
      <c r="A122" t="s">
        <v>3</v>
      </c>
      <c r="B122">
        <v>2017.1</v>
      </c>
      <c r="C122">
        <v>52</v>
      </c>
      <c r="D122">
        <v>36.24</v>
      </c>
      <c r="E122">
        <v>188053</v>
      </c>
      <c r="F122">
        <v>3.8685040000000002</v>
      </c>
      <c r="G122">
        <v>243.838666666667</v>
      </c>
      <c r="H122">
        <v>2.4466130000000001</v>
      </c>
      <c r="L122">
        <v>3.8685040000000002</v>
      </c>
      <c r="M122">
        <f>F118</f>
        <v>4.2363920000000004</v>
      </c>
      <c r="N122">
        <v>2.4466130000000001</v>
      </c>
      <c r="O122">
        <f>D122/D118</f>
        <v>1.0725066587747856</v>
      </c>
      <c r="P122">
        <f>G122/G118</f>
        <v>1.0258713054014512</v>
      </c>
    </row>
    <row r="123" spans="1:16" x14ac:dyDescent="0.3">
      <c r="A123" t="s">
        <v>3</v>
      </c>
      <c r="B123">
        <v>2017.2</v>
      </c>
      <c r="C123">
        <v>709</v>
      </c>
      <c r="D123">
        <v>36.11</v>
      </c>
      <c r="E123">
        <v>188762</v>
      </c>
      <c r="F123">
        <v>3.8479570000000001</v>
      </c>
      <c r="G123">
        <v>244.12</v>
      </c>
      <c r="H123">
        <v>2.2609520000000001</v>
      </c>
      <c r="L123">
        <v>3.8479570000000001</v>
      </c>
      <c r="M123">
        <f>F119</f>
        <v>4.0612849999999998</v>
      </c>
      <c r="N123">
        <v>2.2609520000000001</v>
      </c>
      <c r="O123">
        <f>D123/D119</f>
        <v>1.0512372634643377</v>
      </c>
      <c r="P123">
        <f>G123/G119</f>
        <v>1.018905882402046</v>
      </c>
    </row>
    <row r="124" spans="1:16" x14ac:dyDescent="0.3">
      <c r="A124" t="s">
        <v>3</v>
      </c>
      <c r="B124">
        <v>2017.3</v>
      </c>
      <c r="C124">
        <v>636</v>
      </c>
      <c r="D124">
        <v>36.19</v>
      </c>
      <c r="E124">
        <v>189398</v>
      </c>
      <c r="F124">
        <v>3.8791310000000001</v>
      </c>
      <c r="G124">
        <v>245.28700000000001</v>
      </c>
      <c r="H124">
        <v>2.2414290000000001</v>
      </c>
      <c r="L124">
        <v>3.8791310000000001</v>
      </c>
      <c r="M124">
        <f>F120</f>
        <v>3.9117540000000002</v>
      </c>
      <c r="N124">
        <v>2.2414290000000001</v>
      </c>
      <c r="O124">
        <f>D124/D120</f>
        <v>1.0396437805228382</v>
      </c>
      <c r="P124">
        <f>G124/G120</f>
        <v>1.019449393340742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2688-B941-40B9-91BD-D3F29C0E21E8}">
  <dimension ref="A1:I145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0.83077199722089823</v>
      </c>
    </row>
    <row r="5" spans="1:9" x14ac:dyDescent="0.3">
      <c r="A5" s="2" t="s">
        <v>21</v>
      </c>
      <c r="B5" s="2">
        <v>0.69018211136640006</v>
      </c>
    </row>
    <row r="6" spans="1:9" x14ac:dyDescent="0.3">
      <c r="A6" s="2" t="s">
        <v>22</v>
      </c>
      <c r="B6" s="2">
        <v>0.68209990557595834</v>
      </c>
    </row>
    <row r="7" spans="1:9" x14ac:dyDescent="0.3">
      <c r="A7" s="2" t="s">
        <v>23</v>
      </c>
      <c r="B7" s="2">
        <v>0.70102626831119752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125.89939199419207</v>
      </c>
      <c r="D12" s="2">
        <v>41.966463998064022</v>
      </c>
      <c r="E12" s="2">
        <v>85.39526575562212</v>
      </c>
      <c r="F12" s="2">
        <v>3.9342949804492749E-29</v>
      </c>
    </row>
    <row r="13" spans="1:9" x14ac:dyDescent="0.3">
      <c r="A13" s="2" t="s">
        <v>27</v>
      </c>
      <c r="B13" s="2">
        <v>115</v>
      </c>
      <c r="C13" s="2">
        <v>56.515350319167155</v>
      </c>
      <c r="D13" s="2">
        <v>0.49143782886232307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182.41474231335923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4.4476366989957663</v>
      </c>
      <c r="C17" s="2">
        <v>1.383353151518216</v>
      </c>
      <c r="D17" s="2">
        <v>3.2151129985242961</v>
      </c>
      <c r="E17" s="2">
        <v>1.6929447151501603E-3</v>
      </c>
      <c r="F17" s="2">
        <v>1.7074803444586242</v>
      </c>
      <c r="G17" s="2">
        <v>7.1877930535329089</v>
      </c>
      <c r="H17" s="2">
        <v>1.7074803444586242</v>
      </c>
      <c r="I17" s="2">
        <v>7.1877930535329089</v>
      </c>
    </row>
    <row r="18" spans="1:9" x14ac:dyDescent="0.3">
      <c r="A18" s="2" t="s">
        <v>42</v>
      </c>
      <c r="B18" s="2">
        <v>0.81966887624713458</v>
      </c>
      <c r="C18" s="2">
        <v>5.7880738103049605E-2</v>
      </c>
      <c r="D18" s="2">
        <v>14.161341114686788</v>
      </c>
      <c r="E18" s="2">
        <v>5.7700801632357078E-27</v>
      </c>
      <c r="F18" s="2">
        <v>0.70501827372795345</v>
      </c>
      <c r="G18" s="2">
        <v>0.93431947876631571</v>
      </c>
      <c r="H18" s="2">
        <v>0.70501827372795345</v>
      </c>
      <c r="I18" s="2">
        <v>0.93431947876631571</v>
      </c>
    </row>
    <row r="19" spans="1:9" x14ac:dyDescent="0.3">
      <c r="A19" s="2" t="s">
        <v>43</v>
      </c>
      <c r="B19" s="2">
        <v>8.3104673470897936E-2</v>
      </c>
      <c r="C19" s="2">
        <v>3.2887715073456211E-2</v>
      </c>
      <c r="D19" s="2">
        <v>2.5269214746381699</v>
      </c>
      <c r="E19" s="2">
        <v>1.2865417457723264E-2</v>
      </c>
      <c r="F19" s="2">
        <v>1.7960439443719139E-2</v>
      </c>
      <c r="G19" s="2">
        <v>0.14824890749807673</v>
      </c>
      <c r="H19" s="2">
        <v>1.7960439443719139E-2</v>
      </c>
      <c r="I19" s="2">
        <v>0.14824890749807673</v>
      </c>
    </row>
    <row r="20" spans="1:9" ht="15" thickBot="1" x14ac:dyDescent="0.35">
      <c r="A20" s="3" t="s">
        <v>44</v>
      </c>
      <c r="B20" s="3">
        <v>-3.6133749877689834</v>
      </c>
      <c r="C20" s="3">
        <v>1.3825636184179557</v>
      </c>
      <c r="D20" s="3">
        <v>-2.6135325272797991</v>
      </c>
      <c r="E20" s="3">
        <v>1.0159341204832797E-2</v>
      </c>
      <c r="F20" s="3">
        <v>-6.3519674291871784</v>
      </c>
      <c r="G20" s="3">
        <v>-0.87478254635078789</v>
      </c>
      <c r="H20" s="3">
        <v>-6.3519674291871784</v>
      </c>
      <c r="I20" s="3">
        <v>-0.87478254635078789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7.2964367747685479</v>
      </c>
      <c r="C27" s="2">
        <v>-0.42736977476854765</v>
      </c>
    </row>
    <row r="28" spans="1:9" x14ac:dyDescent="0.3">
      <c r="A28" s="2">
        <v>2</v>
      </c>
      <c r="B28" s="2">
        <v>7.319081934873104</v>
      </c>
      <c r="C28" s="2">
        <v>-0.98297593487310397</v>
      </c>
    </row>
    <row r="29" spans="1:9" x14ac:dyDescent="0.3">
      <c r="A29" s="2">
        <v>3</v>
      </c>
      <c r="B29" s="2">
        <v>7.4425861001637621</v>
      </c>
      <c r="C29" s="2">
        <v>-1.8157851001637617</v>
      </c>
    </row>
    <row r="30" spans="1:9" x14ac:dyDescent="0.3">
      <c r="A30" s="2">
        <v>4</v>
      </c>
      <c r="B30" s="2">
        <v>7.5120234847149083</v>
      </c>
      <c r="C30" s="2">
        <v>-2.3719714847149085</v>
      </c>
    </row>
    <row r="31" spans="1:9" x14ac:dyDescent="0.3">
      <c r="A31" s="2">
        <v>5</v>
      </c>
      <c r="B31" s="2">
        <v>7.0966819304427471</v>
      </c>
      <c r="C31" s="2">
        <v>-1.652629930442747</v>
      </c>
    </row>
    <row r="32" spans="1:9" x14ac:dyDescent="0.3">
      <c r="A32" s="2">
        <v>6</v>
      </c>
      <c r="B32" s="2">
        <v>6.7180766629346174</v>
      </c>
      <c r="C32" s="2">
        <v>-1.0430696629346174</v>
      </c>
    </row>
    <row r="33" spans="1:3" x14ac:dyDescent="0.3">
      <c r="A33" s="2">
        <v>7</v>
      </c>
      <c r="B33" s="2">
        <v>6.1220183358528324</v>
      </c>
      <c r="C33" s="2">
        <v>-0.14466933585283215</v>
      </c>
    </row>
    <row r="34" spans="1:3" x14ac:dyDescent="0.3">
      <c r="A34" s="2">
        <v>8</v>
      </c>
      <c r="B34" s="2">
        <v>5.7476023218278485</v>
      </c>
      <c r="C34" s="2">
        <v>0.64544767817215121</v>
      </c>
    </row>
    <row r="35" spans="1:3" x14ac:dyDescent="0.3">
      <c r="A35" s="2">
        <v>9</v>
      </c>
      <c r="B35" s="2">
        <v>6.0227610304188586</v>
      </c>
      <c r="C35" s="2">
        <v>0.36441596958114175</v>
      </c>
    </row>
    <row r="36" spans="1:3" x14ac:dyDescent="0.3">
      <c r="A36" s="2">
        <v>10</v>
      </c>
      <c r="B36" s="2">
        <v>6.2141760989892756</v>
      </c>
      <c r="C36" s="2">
        <v>-3.8972098989275672E-2</v>
      </c>
    </row>
    <row r="37" spans="1:3" x14ac:dyDescent="0.3">
      <c r="A37" s="2">
        <v>11</v>
      </c>
      <c r="B37" s="2">
        <v>6.4737097677840065</v>
      </c>
      <c r="C37" s="2">
        <v>-0.18186876778400674</v>
      </c>
    </row>
    <row r="38" spans="1:3" x14ac:dyDescent="0.3">
      <c r="A38" s="2">
        <v>12</v>
      </c>
      <c r="B38" s="2">
        <v>6.7976662897883351</v>
      </c>
      <c r="C38" s="2">
        <v>-0.34567628978833476</v>
      </c>
    </row>
    <row r="39" spans="1:3" x14ac:dyDescent="0.3">
      <c r="A39" s="2">
        <v>13</v>
      </c>
      <c r="B39" s="2">
        <v>6.8077976971284029</v>
      </c>
      <c r="C39" s="2">
        <v>-0.19823969712840306</v>
      </c>
    </row>
    <row r="40" spans="1:3" x14ac:dyDescent="0.3">
      <c r="A40" s="2">
        <v>14</v>
      </c>
      <c r="B40" s="2">
        <v>6.6920906670252123</v>
      </c>
      <c r="C40" s="2">
        <v>-0.11723566702521193</v>
      </c>
    </row>
    <row r="41" spans="1:3" x14ac:dyDescent="0.3">
      <c r="A41" s="2">
        <v>15</v>
      </c>
      <c r="B41" s="2">
        <v>6.7049476240909947</v>
      </c>
      <c r="C41" s="2">
        <v>-2.1696240909943043E-3</v>
      </c>
    </row>
    <row r="42" spans="1:3" x14ac:dyDescent="0.3">
      <c r="A42" s="2">
        <v>16</v>
      </c>
      <c r="B42" s="2">
        <v>6.7178904606267711</v>
      </c>
      <c r="C42" s="2">
        <v>6.9076539373228663E-2</v>
      </c>
    </row>
    <row r="43" spans="1:3" x14ac:dyDescent="0.3">
      <c r="A43" s="2">
        <v>17</v>
      </c>
      <c r="B43" s="2">
        <v>6.9243261105034462</v>
      </c>
      <c r="C43" s="2">
        <v>0.18712988949655429</v>
      </c>
    </row>
    <row r="44" spans="1:3" x14ac:dyDescent="0.3">
      <c r="A44" s="2">
        <v>18</v>
      </c>
      <c r="B44" s="2">
        <v>6.980829423447684</v>
      </c>
      <c r="C44" s="2">
        <v>0.58408657655231622</v>
      </c>
    </row>
    <row r="45" spans="1:3" x14ac:dyDescent="0.3">
      <c r="A45" s="2">
        <v>19</v>
      </c>
      <c r="B45" s="2">
        <v>7.0677414998670134</v>
      </c>
      <c r="C45" s="2">
        <v>0.88399250013298669</v>
      </c>
    </row>
    <row r="46" spans="1:3" x14ac:dyDescent="0.3">
      <c r="A46" s="2">
        <v>20</v>
      </c>
      <c r="B46" s="2">
        <v>7.1912750682171342</v>
      </c>
      <c r="C46" s="2">
        <v>0.69051093178286571</v>
      </c>
    </row>
    <row r="47" spans="1:3" x14ac:dyDescent="0.3">
      <c r="A47" s="2">
        <v>21</v>
      </c>
      <c r="B47" s="2">
        <v>7.3571249759931305</v>
      </c>
      <c r="C47" s="2">
        <v>0.44118202400686979</v>
      </c>
    </row>
    <row r="48" spans="1:3" x14ac:dyDescent="0.3">
      <c r="A48" s="2">
        <v>22</v>
      </c>
      <c r="B48" s="2">
        <v>7.6449179498974713</v>
      </c>
      <c r="C48" s="2">
        <v>0.16598405010252826</v>
      </c>
    </row>
    <row r="49" spans="1:3" x14ac:dyDescent="0.3">
      <c r="A49" s="2">
        <v>23</v>
      </c>
      <c r="B49" s="2">
        <v>7.92569749293434</v>
      </c>
      <c r="C49" s="2">
        <v>-0.26859149293434026</v>
      </c>
    </row>
    <row r="50" spans="1:3" x14ac:dyDescent="0.3">
      <c r="A50" s="2">
        <v>24</v>
      </c>
      <c r="B50" s="2">
        <v>7.863043019931097</v>
      </c>
      <c r="C50" s="2">
        <v>-8.7823019931096979E-2</v>
      </c>
    </row>
    <row r="51" spans="1:3" x14ac:dyDescent="0.3">
      <c r="A51" s="2">
        <v>25</v>
      </c>
      <c r="B51" s="2">
        <v>7.6975632146998176</v>
      </c>
      <c r="C51" s="2">
        <v>0.25892178530018217</v>
      </c>
    </row>
    <row r="52" spans="1:3" x14ac:dyDescent="0.3">
      <c r="A52" s="2">
        <v>26</v>
      </c>
      <c r="B52" s="2">
        <v>7.6478085204632666</v>
      </c>
      <c r="C52" s="2">
        <v>0.9911434795367331</v>
      </c>
    </row>
    <row r="53" spans="1:3" x14ac:dyDescent="0.3">
      <c r="A53" s="2">
        <v>27</v>
      </c>
      <c r="B53" s="2">
        <v>7.4927955904667058</v>
      </c>
      <c r="C53" s="2">
        <v>1.745289409533294</v>
      </c>
    </row>
    <row r="54" spans="1:3" x14ac:dyDescent="0.3">
      <c r="A54" s="2">
        <v>28</v>
      </c>
      <c r="B54" s="2">
        <v>7.5805638140816409</v>
      </c>
      <c r="C54" s="2">
        <v>1.9664491859183588</v>
      </c>
    </row>
    <row r="55" spans="1:3" x14ac:dyDescent="0.3">
      <c r="A55" s="2">
        <v>29</v>
      </c>
      <c r="B55" s="2">
        <v>7.7676378885473119</v>
      </c>
      <c r="C55" s="2">
        <v>2.1755751114526882</v>
      </c>
    </row>
    <row r="56" spans="1:3" x14ac:dyDescent="0.3">
      <c r="A56" s="2">
        <v>30</v>
      </c>
      <c r="B56" s="2">
        <v>8.3238078207070103</v>
      </c>
      <c r="C56" s="2">
        <v>1.2869711792929905</v>
      </c>
    </row>
    <row r="57" spans="1:3" x14ac:dyDescent="0.3">
      <c r="A57" s="2">
        <v>31</v>
      </c>
      <c r="B57" s="2">
        <v>8.6897005089395449</v>
      </c>
      <c r="C57" s="2">
        <v>0.42838649106045423</v>
      </c>
    </row>
    <row r="58" spans="1:3" x14ac:dyDescent="0.3">
      <c r="A58" s="2">
        <v>32</v>
      </c>
      <c r="B58" s="2">
        <v>8.8042377771188249</v>
      </c>
      <c r="C58" s="2">
        <v>2.0231222881175626E-2</v>
      </c>
    </row>
    <row r="59" spans="1:3" x14ac:dyDescent="0.3">
      <c r="A59" s="2">
        <v>33</v>
      </c>
      <c r="B59" s="2">
        <v>9.1703182619062034</v>
      </c>
      <c r="C59" s="2">
        <v>-0.59284426190620287</v>
      </c>
    </row>
    <row r="60" spans="1:3" x14ac:dyDescent="0.3">
      <c r="A60" s="2">
        <v>34</v>
      </c>
      <c r="B60" s="2">
        <v>9.0040591523591456</v>
      </c>
      <c r="C60" s="2">
        <v>-0.33720815235914614</v>
      </c>
    </row>
    <row r="61" spans="1:3" x14ac:dyDescent="0.3">
      <c r="A61" s="2">
        <v>35</v>
      </c>
      <c r="B61" s="2">
        <v>8.6896000597979501</v>
      </c>
      <c r="C61" s="2">
        <v>-4.8952059797949588E-2</v>
      </c>
    </row>
    <row r="62" spans="1:3" x14ac:dyDescent="0.3">
      <c r="A62" s="2">
        <v>36</v>
      </c>
      <c r="B62" s="2">
        <v>8.4980002782141426</v>
      </c>
      <c r="C62" s="2">
        <v>-0.17452927821414299</v>
      </c>
    </row>
    <row r="63" spans="1:3" x14ac:dyDescent="0.3">
      <c r="A63" s="2">
        <v>37</v>
      </c>
      <c r="B63" s="2">
        <v>8.1929400642824515</v>
      </c>
      <c r="C63" s="2">
        <v>-0.21739106428245147</v>
      </c>
    </row>
    <row r="64" spans="1:3" x14ac:dyDescent="0.3">
      <c r="A64" s="2">
        <v>38</v>
      </c>
      <c r="B64" s="2">
        <v>8.1536334466895788</v>
      </c>
      <c r="C64" s="2">
        <v>-0.5602104466895792</v>
      </c>
    </row>
    <row r="65" spans="1:3" x14ac:dyDescent="0.3">
      <c r="A65" s="2">
        <v>39</v>
      </c>
      <c r="B65" s="2">
        <v>8.1647894034900599</v>
      </c>
      <c r="C65" s="2">
        <v>-0.29235640349005987</v>
      </c>
    </row>
    <row r="66" spans="1:3" x14ac:dyDescent="0.3">
      <c r="A66" s="2">
        <v>40</v>
      </c>
      <c r="B66" s="2">
        <v>7.9422475460815738</v>
      </c>
      <c r="C66" s="2">
        <v>0.12507845391842576</v>
      </c>
    </row>
    <row r="67" spans="1:3" x14ac:dyDescent="0.3">
      <c r="A67" s="2">
        <v>41</v>
      </c>
      <c r="B67" s="2">
        <v>7.6324963356295221</v>
      </c>
      <c r="C67" s="2">
        <v>0.64976966437047778</v>
      </c>
    </row>
    <row r="68" spans="1:3" x14ac:dyDescent="0.3">
      <c r="A68" s="2">
        <v>42</v>
      </c>
      <c r="B68" s="2">
        <v>7.3195440233903106</v>
      </c>
      <c r="C68" s="2">
        <v>0.9173289766096886</v>
      </c>
    </row>
    <row r="69" spans="1:3" x14ac:dyDescent="0.3">
      <c r="A69" s="2">
        <v>43</v>
      </c>
      <c r="B69" s="2">
        <v>7.3997349867059565</v>
      </c>
      <c r="C69" s="2">
        <v>0.81533801329404376</v>
      </c>
    </row>
    <row r="70" spans="1:3" x14ac:dyDescent="0.3">
      <c r="A70" s="2">
        <v>44</v>
      </c>
      <c r="B70" s="2">
        <v>7.3933717664599454</v>
      </c>
      <c r="C70" s="2">
        <v>0.91178523354005403</v>
      </c>
    </row>
    <row r="71" spans="1:3" x14ac:dyDescent="0.3">
      <c r="A71" s="2">
        <v>45</v>
      </c>
      <c r="B71" s="2">
        <v>7.6908249875774963</v>
      </c>
      <c r="C71" s="2">
        <v>0.51712501242250397</v>
      </c>
    </row>
    <row r="72" spans="1:3" x14ac:dyDescent="0.3">
      <c r="A72" s="2">
        <v>46</v>
      </c>
      <c r="B72" s="2">
        <v>7.7892684158573742</v>
      </c>
      <c r="C72" s="2">
        <v>0.67415358414262538</v>
      </c>
    </row>
    <row r="73" spans="1:3" x14ac:dyDescent="0.3">
      <c r="A73" s="2">
        <v>47</v>
      </c>
      <c r="B73" s="2">
        <v>7.8448666569135073</v>
      </c>
      <c r="C73" s="2">
        <v>0.3322523430864921</v>
      </c>
    </row>
    <row r="74" spans="1:3" x14ac:dyDescent="0.3">
      <c r="A74" s="2">
        <v>48</v>
      </c>
      <c r="B74" s="2">
        <v>7.9879624707552503</v>
      </c>
      <c r="C74" s="2">
        <v>0.25138452924475008</v>
      </c>
    </row>
    <row r="75" spans="1:3" x14ac:dyDescent="0.3">
      <c r="A75" s="2">
        <v>49</v>
      </c>
      <c r="B75" s="2">
        <v>7.9323590117893445</v>
      </c>
      <c r="C75" s="2">
        <v>0.12672498821065581</v>
      </c>
    </row>
    <row r="76" spans="1:3" x14ac:dyDescent="0.3">
      <c r="A76" s="2">
        <v>50</v>
      </c>
      <c r="B76" s="2">
        <v>8.1169321689818457</v>
      </c>
      <c r="C76" s="2">
        <v>-0.35308116898184583</v>
      </c>
    </row>
    <row r="77" spans="1:3" x14ac:dyDescent="0.3">
      <c r="A77" s="2">
        <v>51</v>
      </c>
      <c r="B77" s="2">
        <v>7.8528568247477946</v>
      </c>
      <c r="C77" s="2">
        <v>9.5439175252205466E-2</v>
      </c>
    </row>
    <row r="78" spans="1:3" x14ac:dyDescent="0.3">
      <c r="A78" s="2">
        <v>52</v>
      </c>
      <c r="B78" s="2">
        <v>7.872581327284097</v>
      </c>
      <c r="C78" s="2">
        <v>-0.10671632728409719</v>
      </c>
    </row>
    <row r="79" spans="1:3" x14ac:dyDescent="0.3">
      <c r="A79" s="2">
        <v>53</v>
      </c>
      <c r="B79" s="2">
        <v>7.6263394018938797</v>
      </c>
      <c r="C79" s="2">
        <v>0.3139515981061205</v>
      </c>
    </row>
    <row r="80" spans="1:3" x14ac:dyDescent="0.3">
      <c r="A80" s="2">
        <v>54</v>
      </c>
      <c r="B80" s="2">
        <v>7.3486010601981251</v>
      </c>
      <c r="C80" s="2">
        <v>0.94011093980187521</v>
      </c>
    </row>
    <row r="81" spans="1:3" x14ac:dyDescent="0.3">
      <c r="A81" s="2">
        <v>55</v>
      </c>
      <c r="B81" s="2">
        <v>7.6029702162369848</v>
      </c>
      <c r="C81" s="2">
        <v>0.72832378376301499</v>
      </c>
    </row>
    <row r="82" spans="1:3" x14ac:dyDescent="0.3">
      <c r="A82" s="2">
        <v>56</v>
      </c>
      <c r="B82" s="2">
        <v>7.5516776797279928</v>
      </c>
      <c r="C82" s="2">
        <v>1.0580983202720073</v>
      </c>
    </row>
    <row r="83" spans="1:3" x14ac:dyDescent="0.3">
      <c r="A83" s="2">
        <v>57</v>
      </c>
      <c r="B83" s="2">
        <v>8.0237040895966505</v>
      </c>
      <c r="C83" s="2">
        <v>0.78105691040334868</v>
      </c>
    </row>
    <row r="84" spans="1:3" x14ac:dyDescent="0.3">
      <c r="A84" s="2">
        <v>58</v>
      </c>
      <c r="B84" s="2">
        <v>8.458300191150208</v>
      </c>
      <c r="C84" s="2">
        <v>0.41555080884979212</v>
      </c>
    </row>
    <row r="85" spans="1:3" x14ac:dyDescent="0.3">
      <c r="A85" s="2">
        <v>59</v>
      </c>
      <c r="B85" s="2">
        <v>8.4315776913087213</v>
      </c>
      <c r="C85" s="2">
        <v>0.52418430869127874</v>
      </c>
    </row>
    <row r="86" spans="1:3" x14ac:dyDescent="0.3">
      <c r="A86" s="2">
        <v>60</v>
      </c>
      <c r="B86" s="2">
        <v>8.6475776932662765</v>
      </c>
      <c r="C86" s="2">
        <v>-6.0106693266275713E-2</v>
      </c>
    </row>
    <row r="87" spans="1:3" x14ac:dyDescent="0.3">
      <c r="A87" s="2">
        <v>61</v>
      </c>
      <c r="B87" s="2">
        <v>8.6894080798454976</v>
      </c>
      <c r="C87" s="2">
        <v>-0.30214307984549826</v>
      </c>
    </row>
    <row r="88" spans="1:3" x14ac:dyDescent="0.3">
      <c r="A88" s="2">
        <v>62</v>
      </c>
      <c r="B88" s="2">
        <v>8.7234126948180464</v>
      </c>
      <c r="C88" s="2">
        <v>-0.51344069481804588</v>
      </c>
    </row>
    <row r="89" spans="1:3" x14ac:dyDescent="0.3">
      <c r="A89" s="2">
        <v>63</v>
      </c>
      <c r="B89" s="2">
        <v>8.8055413707245869</v>
      </c>
      <c r="C89" s="2">
        <v>-0.92160637072458673</v>
      </c>
    </row>
    <row r="90" spans="1:3" x14ac:dyDescent="0.3">
      <c r="A90" s="2">
        <v>64</v>
      </c>
      <c r="B90" s="2">
        <v>8.4370972115863072</v>
      </c>
      <c r="C90" s="2">
        <v>-0.5454562115863073</v>
      </c>
    </row>
    <row r="91" spans="1:3" x14ac:dyDescent="0.3">
      <c r="A91" s="2">
        <v>65</v>
      </c>
      <c r="B91" s="2">
        <v>8.1644165815780863</v>
      </c>
      <c r="C91" s="2">
        <v>-0.52945158157808603</v>
      </c>
    </row>
    <row r="92" spans="1:3" x14ac:dyDescent="0.3">
      <c r="A92" s="2">
        <v>66</v>
      </c>
      <c r="B92" s="2">
        <v>8.0486878450212789</v>
      </c>
      <c r="C92" s="2">
        <v>-0.84823384502127919</v>
      </c>
    </row>
    <row r="93" spans="1:3" x14ac:dyDescent="0.3">
      <c r="A93" s="2">
        <v>67</v>
      </c>
      <c r="B93" s="2">
        <v>7.7437670453522607</v>
      </c>
      <c r="C93" s="2">
        <v>-0.55415404535226109</v>
      </c>
    </row>
    <row r="94" spans="1:3" x14ac:dyDescent="0.3">
      <c r="A94" s="2">
        <v>68</v>
      </c>
      <c r="B94" s="2">
        <v>7.7585080282149725</v>
      </c>
      <c r="C94" s="2">
        <v>-0.7582740282149727</v>
      </c>
    </row>
    <row r="95" spans="1:3" x14ac:dyDescent="0.3">
      <c r="A95" s="2">
        <v>69</v>
      </c>
      <c r="B95" s="2">
        <v>7.5274728892358711</v>
      </c>
      <c r="C95" s="2">
        <v>-0.49600488923587083</v>
      </c>
    </row>
    <row r="96" spans="1:3" x14ac:dyDescent="0.3">
      <c r="A96" s="2">
        <v>70</v>
      </c>
      <c r="B96" s="2">
        <v>7.0834535565708423</v>
      </c>
      <c r="C96" s="2">
        <v>-0.16525255657084248</v>
      </c>
    </row>
    <row r="97" spans="1:3" x14ac:dyDescent="0.3">
      <c r="A97" s="2">
        <v>71</v>
      </c>
      <c r="B97" s="2">
        <v>7.0307989165018565</v>
      </c>
      <c r="C97" s="2">
        <v>-0.35776891650185672</v>
      </c>
    </row>
    <row r="98" spans="1:3" x14ac:dyDescent="0.3">
      <c r="A98" s="2">
        <v>72</v>
      </c>
      <c r="B98" s="2">
        <v>6.8574303775099263</v>
      </c>
      <c r="C98" s="2">
        <v>-0.33411837750992657</v>
      </c>
    </row>
    <row r="99" spans="1:3" x14ac:dyDescent="0.3">
      <c r="A99" s="2">
        <v>73</v>
      </c>
      <c r="B99" s="2">
        <v>6.8909293263565399</v>
      </c>
      <c r="C99" s="2">
        <v>-0.81201232635654019</v>
      </c>
    </row>
    <row r="100" spans="1:3" x14ac:dyDescent="0.3">
      <c r="A100" s="2">
        <v>74</v>
      </c>
      <c r="B100" s="2">
        <v>6.8044089183875878</v>
      </c>
      <c r="C100" s="2">
        <v>-0.83040091838758734</v>
      </c>
    </row>
    <row r="101" spans="1:3" x14ac:dyDescent="0.3">
      <c r="A101" s="2">
        <v>75</v>
      </c>
      <c r="B101" s="2">
        <v>6.5686262675209761</v>
      </c>
      <c r="C101" s="2">
        <v>-0.73886426752097645</v>
      </c>
    </row>
    <row r="102" spans="1:3" x14ac:dyDescent="0.3">
      <c r="A102" s="2">
        <v>76</v>
      </c>
      <c r="B102" s="2">
        <v>6.3995673378351761</v>
      </c>
      <c r="C102" s="2">
        <v>-0.48159633783517641</v>
      </c>
    </row>
    <row r="103" spans="1:3" x14ac:dyDescent="0.3">
      <c r="A103" s="2">
        <v>77</v>
      </c>
      <c r="B103" s="2">
        <v>6.0245108695390774</v>
      </c>
      <c r="C103" s="2">
        <v>-9.1348695390776058E-3</v>
      </c>
    </row>
    <row r="104" spans="1:3" x14ac:dyDescent="0.3">
      <c r="A104" s="2">
        <v>78</v>
      </c>
      <c r="B104" s="2">
        <v>6.0436018200300383</v>
      </c>
      <c r="C104" s="2">
        <v>8.9251799699621159E-3</v>
      </c>
    </row>
    <row r="105" spans="1:3" x14ac:dyDescent="0.3">
      <c r="A105" s="2">
        <v>79</v>
      </c>
      <c r="B105" s="2">
        <v>5.9589356163241547</v>
      </c>
      <c r="C105" s="2">
        <v>0.13876938367584568</v>
      </c>
    </row>
    <row r="106" spans="1:3" x14ac:dyDescent="0.3">
      <c r="A106" s="2">
        <v>80</v>
      </c>
      <c r="B106" s="2">
        <v>6.0411295000369716</v>
      </c>
      <c r="C106" s="2">
        <v>-0.17499550003697184</v>
      </c>
    </row>
    <row r="107" spans="1:3" x14ac:dyDescent="0.3">
      <c r="A107" s="2">
        <v>81</v>
      </c>
      <c r="B107" s="2">
        <v>6.0364509837849543</v>
      </c>
      <c r="C107" s="2">
        <v>-0.25539098378495417</v>
      </c>
    </row>
    <row r="108" spans="1:3" x14ac:dyDescent="0.3">
      <c r="A108" s="2">
        <v>82</v>
      </c>
      <c r="B108" s="2">
        <v>6.0163553122319913</v>
      </c>
      <c r="C108" s="2">
        <v>-0.49737531223199127</v>
      </c>
    </row>
    <row r="109" spans="1:3" x14ac:dyDescent="0.3">
      <c r="A109" s="2">
        <v>83</v>
      </c>
      <c r="B109" s="2">
        <v>6.0184878161344368</v>
      </c>
      <c r="C109" s="2">
        <v>-0.76145881613443667</v>
      </c>
    </row>
    <row r="110" spans="1:3" x14ac:dyDescent="0.3">
      <c r="A110" s="2">
        <v>84</v>
      </c>
      <c r="B110" s="2">
        <v>5.7400225640641018</v>
      </c>
      <c r="C110" s="2">
        <v>-0.49468556406410169</v>
      </c>
    </row>
    <row r="111" spans="1:3" x14ac:dyDescent="0.3">
      <c r="A111" s="2">
        <v>85</v>
      </c>
      <c r="B111" s="2">
        <v>5.7094666606826898</v>
      </c>
      <c r="C111" s="2">
        <v>-0.4287446606826899</v>
      </c>
    </row>
    <row r="112" spans="1:3" x14ac:dyDescent="0.3">
      <c r="A112" s="2">
        <v>86</v>
      </c>
      <c r="B112" s="2">
        <v>5.7666533859649629</v>
      </c>
      <c r="C112" s="2">
        <v>5.8314614035037238E-2</v>
      </c>
    </row>
    <row r="113" spans="1:3" x14ac:dyDescent="0.3">
      <c r="A113" s="2">
        <v>87</v>
      </c>
      <c r="B113" s="2">
        <v>5.5773037650807238</v>
      </c>
      <c r="C113" s="2">
        <v>0.85342823491927611</v>
      </c>
    </row>
    <row r="114" spans="1:3" x14ac:dyDescent="0.3">
      <c r="A114" s="2">
        <v>88</v>
      </c>
      <c r="B114" s="2">
        <v>5.5924030840662056</v>
      </c>
      <c r="C114" s="2">
        <v>1.0522259159337946</v>
      </c>
    </row>
    <row r="115" spans="1:3" x14ac:dyDescent="0.3">
      <c r="A115" s="2">
        <v>89</v>
      </c>
      <c r="B115" s="2">
        <v>5.6719367924030681</v>
      </c>
      <c r="C115" s="2">
        <v>1.3321222075969317</v>
      </c>
    </row>
    <row r="116" spans="1:3" x14ac:dyDescent="0.3">
      <c r="A116" s="2">
        <v>90</v>
      </c>
      <c r="B116" s="2">
        <v>5.9587370196108695</v>
      </c>
      <c r="C116" s="2">
        <v>1.1108629803891308</v>
      </c>
    </row>
    <row r="117" spans="1:3" x14ac:dyDescent="0.3">
      <c r="A117" s="2">
        <v>91</v>
      </c>
      <c r="B117" s="2">
        <v>6.4401097265727589</v>
      </c>
      <c r="C117" s="2">
        <v>0.47851327342724126</v>
      </c>
    </row>
    <row r="118" spans="1:3" x14ac:dyDescent="0.3">
      <c r="A118" s="2">
        <v>92</v>
      </c>
      <c r="B118" s="2">
        <v>6.6581393691379258</v>
      </c>
      <c r="C118" s="2">
        <v>1.5199630862074542E-2</v>
      </c>
    </row>
    <row r="119" spans="1:3" x14ac:dyDescent="0.3">
      <c r="A119" s="2">
        <v>93</v>
      </c>
      <c r="B119" s="2">
        <v>6.993183993056638</v>
      </c>
      <c r="C119" s="2">
        <v>-0.57109899305663792</v>
      </c>
    </row>
    <row r="120" spans="1:3" x14ac:dyDescent="0.3">
      <c r="A120" s="2">
        <v>94</v>
      </c>
      <c r="B120" s="2">
        <v>6.8748165545536732</v>
      </c>
      <c r="C120" s="2">
        <v>-0.69692855455367297</v>
      </c>
    </row>
    <row r="121" spans="1:3" x14ac:dyDescent="0.3">
      <c r="A121" s="2">
        <v>95</v>
      </c>
      <c r="B121" s="2">
        <v>6.7340428745527579</v>
      </c>
      <c r="C121" s="2">
        <v>-0.82853087455275798</v>
      </c>
    </row>
    <row r="122" spans="1:3" x14ac:dyDescent="0.3">
      <c r="A122" s="2">
        <v>96</v>
      </c>
      <c r="B122" s="2">
        <v>6.5659199404764248</v>
      </c>
      <c r="C122" s="2">
        <v>-0.49201894047642458</v>
      </c>
    </row>
    <row r="123" spans="1:3" x14ac:dyDescent="0.3">
      <c r="A123" s="2">
        <v>97</v>
      </c>
      <c r="B123" s="2">
        <v>6.2932808662484767</v>
      </c>
      <c r="C123" s="2">
        <v>-0.13530986624847685</v>
      </c>
    </row>
    <row r="124" spans="1:3" x14ac:dyDescent="0.3">
      <c r="A124" s="2">
        <v>98</v>
      </c>
      <c r="B124" s="2">
        <v>6.06683750366083</v>
      </c>
      <c r="C124" s="2">
        <v>0.26058949633917017</v>
      </c>
    </row>
    <row r="125" spans="1:3" x14ac:dyDescent="0.3">
      <c r="A125" s="2">
        <v>99</v>
      </c>
      <c r="B125" s="2">
        <v>5.9295136105873114</v>
      </c>
      <c r="C125" s="2">
        <v>0.60730038941268827</v>
      </c>
    </row>
    <row r="126" spans="1:3" x14ac:dyDescent="0.3">
      <c r="A126" s="2">
        <v>100</v>
      </c>
      <c r="B126" s="2">
        <v>5.9028387001071847</v>
      </c>
      <c r="C126" s="2">
        <v>0.79585829989281542</v>
      </c>
    </row>
    <row r="127" spans="1:3" x14ac:dyDescent="0.3">
      <c r="A127" s="2">
        <v>101</v>
      </c>
      <c r="B127" s="2">
        <v>6.0166071716498273</v>
      </c>
      <c r="C127" s="2">
        <v>0.59201982835017297</v>
      </c>
    </row>
    <row r="128" spans="1:3" x14ac:dyDescent="0.3">
      <c r="A128" s="2">
        <v>102</v>
      </c>
      <c r="B128" s="2">
        <v>6.2261483689119244</v>
      </c>
      <c r="C128" s="2">
        <v>0.21571763108807573</v>
      </c>
    </row>
    <row r="129" spans="1:3" x14ac:dyDescent="0.3">
      <c r="A129" s="2">
        <v>103</v>
      </c>
      <c r="B129" s="2">
        <v>6.2508930827966545</v>
      </c>
      <c r="C129" s="2">
        <v>3.8300917203345719E-2</v>
      </c>
    </row>
    <row r="130" spans="1:3" x14ac:dyDescent="0.3">
      <c r="A130" s="2">
        <v>104</v>
      </c>
      <c r="B130" s="2">
        <v>6.4235818227723565</v>
      </c>
      <c r="C130" s="2">
        <v>-0.26668982277235642</v>
      </c>
    </row>
    <row r="131" spans="1:3" x14ac:dyDescent="0.3">
      <c r="A131" s="2">
        <v>105</v>
      </c>
      <c r="B131" s="2">
        <v>6.3359849641044326</v>
      </c>
      <c r="C131" s="2">
        <v>-0.27443396410443288</v>
      </c>
    </row>
    <row r="132" spans="1:3" x14ac:dyDescent="0.3">
      <c r="A132" s="2">
        <v>106</v>
      </c>
      <c r="B132" s="2">
        <v>6.2913897705844484</v>
      </c>
      <c r="C132" s="2">
        <v>-0.34484377058444871</v>
      </c>
    </row>
    <row r="133" spans="1:3" x14ac:dyDescent="0.3">
      <c r="A133" s="2">
        <v>107</v>
      </c>
      <c r="B133" s="2">
        <v>6.176776188542676</v>
      </c>
      <c r="C133" s="2">
        <v>-0.3910481885426762</v>
      </c>
    </row>
    <row r="134" spans="1:3" x14ac:dyDescent="0.3">
      <c r="A134" s="2">
        <v>108</v>
      </c>
      <c r="B134" s="2">
        <v>5.9496750383841412</v>
      </c>
      <c r="C134" s="2">
        <v>-0.38337603838414136</v>
      </c>
    </row>
    <row r="135" spans="1:3" x14ac:dyDescent="0.3">
      <c r="A135" s="2">
        <v>109</v>
      </c>
      <c r="B135" s="2">
        <v>5.81164149439706</v>
      </c>
      <c r="C135" s="2">
        <v>-0.37879149439705984</v>
      </c>
    </row>
    <row r="136" spans="1:3" x14ac:dyDescent="0.3">
      <c r="A136" s="2">
        <v>110</v>
      </c>
      <c r="B136" s="2">
        <v>5.6737664912370356</v>
      </c>
      <c r="C136" s="2">
        <v>-0.38004049123703521</v>
      </c>
    </row>
    <row r="137" spans="1:3" x14ac:dyDescent="0.3">
      <c r="A137" s="2">
        <v>111</v>
      </c>
      <c r="B137" s="2">
        <v>5.5319743223242899</v>
      </c>
      <c r="C137" s="2">
        <v>-0.27991532232428984</v>
      </c>
    </row>
    <row r="138" spans="1:3" x14ac:dyDescent="0.3">
      <c r="A138" s="2">
        <v>112</v>
      </c>
      <c r="B138" s="2">
        <v>5.4698247025552096</v>
      </c>
      <c r="C138" s="2">
        <v>-0.35923670255520967</v>
      </c>
    </row>
    <row r="139" spans="1:3" x14ac:dyDescent="0.3">
      <c r="A139" s="2">
        <v>113</v>
      </c>
      <c r="B139" s="2">
        <v>5.3686347480784287</v>
      </c>
      <c r="C139" s="2">
        <v>-0.18914974807842899</v>
      </c>
    </row>
    <row r="140" spans="1:3" x14ac:dyDescent="0.3">
      <c r="A140" s="2">
        <v>114</v>
      </c>
      <c r="B140" s="2">
        <v>5.2366214251516414</v>
      </c>
      <c r="C140" s="2">
        <v>-0.10853842515164125</v>
      </c>
    </row>
    <row r="141" spans="1:3" x14ac:dyDescent="0.3">
      <c r="A141" s="2">
        <v>115</v>
      </c>
      <c r="B141" s="2">
        <v>5.2444387889924435</v>
      </c>
      <c r="C141" s="2">
        <v>-0.1686377889924433</v>
      </c>
    </row>
    <row r="142" spans="1:3" x14ac:dyDescent="0.3">
      <c r="A142" s="2">
        <v>116</v>
      </c>
      <c r="B142" s="2">
        <v>5.1676502933652051</v>
      </c>
      <c r="C142" s="2">
        <v>-9.0810293365205297E-2</v>
      </c>
    </row>
    <row r="143" spans="1:3" x14ac:dyDescent="0.3">
      <c r="A143" s="2">
        <v>117</v>
      </c>
      <c r="B143" s="2">
        <v>5.2571676201963573</v>
      </c>
      <c r="C143" s="2">
        <v>-0.17583962019635724</v>
      </c>
    </row>
    <row r="144" spans="1:3" x14ac:dyDescent="0.3">
      <c r="A144" s="2">
        <v>118</v>
      </c>
      <c r="B144" s="2">
        <v>5.2025271329686866</v>
      </c>
      <c r="C144" s="2">
        <v>-4.4377132968686617E-2</v>
      </c>
    </row>
    <row r="145" spans="1:3" ht="15" thickBot="1" x14ac:dyDescent="0.35">
      <c r="A145" s="3">
        <v>119</v>
      </c>
      <c r="B145" s="3">
        <v>5.0999417274810437</v>
      </c>
      <c r="C145" s="3">
        <v>0.15202527251895592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68B3-73BB-4221-9D01-8DD464FF43CB}">
  <dimension ref="A1:I146"/>
  <sheetViews>
    <sheetView workbookViewId="0">
      <selection activeCell="L34" sqref="L34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0.85431953179082032</v>
      </c>
    </row>
    <row r="5" spans="1:9" x14ac:dyDescent="0.3">
      <c r="A5" s="2" t="s">
        <v>21</v>
      </c>
      <c r="B5" s="2">
        <v>0.72986186239928641</v>
      </c>
    </row>
    <row r="6" spans="1:9" x14ac:dyDescent="0.3">
      <c r="A6" s="2" t="s">
        <v>22</v>
      </c>
      <c r="B6" s="2">
        <v>0.72038333125540166</v>
      </c>
    </row>
    <row r="7" spans="1:9" x14ac:dyDescent="0.3">
      <c r="A7" s="2" t="s">
        <v>23</v>
      </c>
      <c r="B7" s="2">
        <v>0.65746175100169824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133.13756355391428</v>
      </c>
      <c r="D12" s="2">
        <v>33.284390888478569</v>
      </c>
      <c r="E12" s="2">
        <v>77.001578759402491</v>
      </c>
      <c r="F12" s="2">
        <v>1.6975698535277784E-31</v>
      </c>
    </row>
    <row r="13" spans="1:9" x14ac:dyDescent="0.3">
      <c r="A13" s="2" t="s">
        <v>27</v>
      </c>
      <c r="B13" s="2">
        <v>114</v>
      </c>
      <c r="C13" s="2">
        <v>49.277178759444965</v>
      </c>
      <c r="D13" s="2">
        <v>0.43225595403021899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182.41474231335923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30.595862977567506</v>
      </c>
      <c r="C17" s="2">
        <v>6.5203395634978838</v>
      </c>
      <c r="D17" s="2">
        <v>4.6923726409662834</v>
      </c>
      <c r="E17" s="2">
        <v>7.5656024814253673E-6</v>
      </c>
      <c r="F17" s="2">
        <v>17.679120522090919</v>
      </c>
      <c r="G17" s="2">
        <v>43.512605433044094</v>
      </c>
      <c r="H17" s="2">
        <v>17.679120522090919</v>
      </c>
      <c r="I17" s="2">
        <v>43.512605433044094</v>
      </c>
    </row>
    <row r="18" spans="1:9" x14ac:dyDescent="0.3">
      <c r="A18" s="2" t="s">
        <v>42</v>
      </c>
      <c r="B18" s="2">
        <v>0.78059757278383324</v>
      </c>
      <c r="C18" s="2">
        <v>5.5117113088877172E-2</v>
      </c>
      <c r="D18" s="2">
        <v>14.162526464786135</v>
      </c>
      <c r="E18" s="2">
        <v>6.938767660935101E-27</v>
      </c>
      <c r="F18" s="2">
        <v>0.67141099626810308</v>
      </c>
      <c r="G18" s="2">
        <v>0.8897841492995634</v>
      </c>
      <c r="H18" s="2">
        <v>0.67141099626810308</v>
      </c>
      <c r="I18" s="2">
        <v>0.8897841492995634</v>
      </c>
    </row>
    <row r="19" spans="1:9" x14ac:dyDescent="0.3">
      <c r="A19" s="2" t="s">
        <v>43</v>
      </c>
      <c r="B19" s="2">
        <v>0.19734729177248991</v>
      </c>
      <c r="C19" s="2">
        <v>4.1602442597173397E-2</v>
      </c>
      <c r="D19" s="2">
        <v>4.7436467537100411</v>
      </c>
      <c r="E19" s="2">
        <v>6.12835981122575E-6</v>
      </c>
      <c r="F19" s="2">
        <v>0.1149331734105066</v>
      </c>
      <c r="G19" s="2">
        <v>0.2797614101344732</v>
      </c>
      <c r="H19" s="2">
        <v>0.1149331734105066</v>
      </c>
      <c r="I19" s="2">
        <v>0.2797614101344732</v>
      </c>
    </row>
    <row r="20" spans="1:9" x14ac:dyDescent="0.3">
      <c r="A20" s="2" t="s">
        <v>44</v>
      </c>
      <c r="B20" s="2">
        <v>-4.1674381680829802</v>
      </c>
      <c r="C20" s="2">
        <v>1.303695882887054</v>
      </c>
      <c r="D20" s="2">
        <v>-3.1966336802829556</v>
      </c>
      <c r="E20" s="2">
        <v>1.7994548064478562E-3</v>
      </c>
      <c r="F20" s="2">
        <v>-6.7500496709850726</v>
      </c>
      <c r="G20" s="2">
        <v>-1.5848266651808878</v>
      </c>
      <c r="H20" s="2">
        <v>-6.7500496709850726</v>
      </c>
      <c r="I20" s="2">
        <v>-1.5848266651808878</v>
      </c>
    </row>
    <row r="21" spans="1:9" ht="15" thickBot="1" x14ac:dyDescent="0.35">
      <c r="A21" s="3" t="s">
        <v>61</v>
      </c>
      <c r="B21" s="3">
        <v>-25.21782712843827</v>
      </c>
      <c r="C21" s="3">
        <v>6.1625963022479917</v>
      </c>
      <c r="D21" s="3">
        <v>-4.0920783857348093</v>
      </c>
      <c r="E21" s="3">
        <v>8.0086589028345893E-5</v>
      </c>
      <c r="F21" s="3">
        <v>-37.425882938726055</v>
      </c>
      <c r="G21" s="3">
        <v>-13.009771318150486</v>
      </c>
      <c r="H21" s="3">
        <v>-37.425882938726055</v>
      </c>
      <c r="I21" s="3">
        <v>-13.009771318150486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7.3393925734637051</v>
      </c>
      <c r="C28" s="2">
        <v>-0.47032557346370485</v>
      </c>
    </row>
    <row r="29" spans="1:9" x14ac:dyDescent="0.3">
      <c r="A29" s="2">
        <v>2</v>
      </c>
      <c r="B29" s="2">
        <v>7.397663356856178</v>
      </c>
      <c r="C29" s="2">
        <v>-1.061557356856178</v>
      </c>
    </row>
    <row r="30" spans="1:9" x14ac:dyDescent="0.3">
      <c r="A30" s="2">
        <v>3</v>
      </c>
      <c r="B30" s="2">
        <v>7.4926902836054303</v>
      </c>
      <c r="C30" s="2">
        <v>-1.8658892836054299</v>
      </c>
    </row>
    <row r="31" spans="1:9" x14ac:dyDescent="0.3">
      <c r="A31" s="2">
        <v>4</v>
      </c>
      <c r="B31" s="2">
        <v>7.4955143016396661</v>
      </c>
      <c r="C31" s="2">
        <v>-2.3554623016396663</v>
      </c>
    </row>
    <row r="32" spans="1:9" x14ac:dyDescent="0.3">
      <c r="A32" s="2">
        <v>5</v>
      </c>
      <c r="B32" s="2">
        <v>7.0577216983246629</v>
      </c>
      <c r="C32" s="2">
        <v>-1.6136696983246628</v>
      </c>
    </row>
    <row r="33" spans="1:3" x14ac:dyDescent="0.3">
      <c r="A33" s="2">
        <v>6</v>
      </c>
      <c r="B33" s="2">
        <v>6.5403439823209624</v>
      </c>
      <c r="C33" s="2">
        <v>-0.86533698232096246</v>
      </c>
    </row>
    <row r="34" spans="1:3" x14ac:dyDescent="0.3">
      <c r="A34" s="2">
        <v>7</v>
      </c>
      <c r="B34" s="2">
        <v>6.0182916003843481</v>
      </c>
      <c r="C34" s="2">
        <v>-4.0942600384347827E-2</v>
      </c>
    </row>
    <row r="35" spans="1:3" x14ac:dyDescent="0.3">
      <c r="A35" s="2">
        <v>8</v>
      </c>
      <c r="B35" s="2">
        <v>5.6661337407632608</v>
      </c>
      <c r="C35" s="2">
        <v>0.72691625923673886</v>
      </c>
    </row>
    <row r="36" spans="1:3" x14ac:dyDescent="0.3">
      <c r="A36" s="2">
        <v>9</v>
      </c>
      <c r="B36" s="2">
        <v>5.8331426516513645</v>
      </c>
      <c r="C36" s="2">
        <v>0.55403434834863585</v>
      </c>
    </row>
    <row r="37" spans="1:3" x14ac:dyDescent="0.3">
      <c r="A37" s="2">
        <v>10</v>
      </c>
      <c r="B37" s="2">
        <v>6.2050305960510919</v>
      </c>
      <c r="C37" s="2">
        <v>-2.9826596051091947E-2</v>
      </c>
    </row>
    <row r="38" spans="1:3" x14ac:dyDescent="0.3">
      <c r="A38" s="2">
        <v>11</v>
      </c>
      <c r="B38" s="2">
        <v>6.2099086736593456</v>
      </c>
      <c r="C38" s="2">
        <v>8.1932326340654171E-2</v>
      </c>
    </row>
    <row r="39" spans="1:3" x14ac:dyDescent="0.3">
      <c r="A39" s="2">
        <v>12</v>
      </c>
      <c r="B39" s="2">
        <v>6.3055236065302473</v>
      </c>
      <c r="C39" s="2">
        <v>0.14646639346975299</v>
      </c>
    </row>
    <row r="40" spans="1:3" x14ac:dyDescent="0.3">
      <c r="A40" s="2">
        <v>13</v>
      </c>
      <c r="B40" s="2">
        <v>6.5358972174512218</v>
      </c>
      <c r="C40" s="2">
        <v>7.3660782548778059E-2</v>
      </c>
    </row>
    <row r="41" spans="1:3" x14ac:dyDescent="0.3">
      <c r="A41" s="2">
        <v>14</v>
      </c>
      <c r="B41" s="2">
        <v>6.5517633274330862</v>
      </c>
      <c r="C41" s="2">
        <v>2.3091672566914134E-2</v>
      </c>
    </row>
    <row r="42" spans="1:3" x14ac:dyDescent="0.3">
      <c r="A42" s="2">
        <v>15</v>
      </c>
      <c r="B42" s="2">
        <v>6.7803835010497089</v>
      </c>
      <c r="C42" s="2">
        <v>-7.7605501049708536E-2</v>
      </c>
    </row>
    <row r="43" spans="1:3" x14ac:dyDescent="0.3">
      <c r="A43" s="2">
        <v>16</v>
      </c>
      <c r="B43" s="2">
        <v>6.9311092713215636</v>
      </c>
      <c r="C43" s="2">
        <v>-0.14414227132156388</v>
      </c>
    </row>
    <row r="44" spans="1:3" x14ac:dyDescent="0.3">
      <c r="A44" s="2">
        <v>17</v>
      </c>
      <c r="B44" s="2">
        <v>7.1573988401527195</v>
      </c>
      <c r="C44" s="2">
        <v>-4.59428401527191E-2</v>
      </c>
    </row>
    <row r="45" spans="1:3" x14ac:dyDescent="0.3">
      <c r="A45" s="2">
        <v>18</v>
      </c>
      <c r="B45" s="2">
        <v>7.1899987318069734</v>
      </c>
      <c r="C45" s="2">
        <v>0.37491726819302684</v>
      </c>
    </row>
    <row r="46" spans="1:3" x14ac:dyDescent="0.3">
      <c r="A46" s="2">
        <v>19</v>
      </c>
      <c r="B46" s="2">
        <v>7.1920071378562582</v>
      </c>
      <c r="C46" s="2">
        <v>0.75972686214374185</v>
      </c>
    </row>
    <row r="47" spans="1:3" x14ac:dyDescent="0.3">
      <c r="A47" s="2">
        <v>20</v>
      </c>
      <c r="B47" s="2">
        <v>7.3210227073207363</v>
      </c>
      <c r="C47" s="2">
        <v>0.56076329267926361</v>
      </c>
    </row>
    <row r="48" spans="1:3" x14ac:dyDescent="0.3">
      <c r="A48" s="2">
        <v>21</v>
      </c>
      <c r="B48" s="2">
        <v>7.3970193476360357</v>
      </c>
      <c r="C48" s="2">
        <v>0.40128765236396458</v>
      </c>
    </row>
    <row r="49" spans="1:3" x14ac:dyDescent="0.3">
      <c r="A49" s="2">
        <v>22</v>
      </c>
      <c r="B49" s="2">
        <v>7.6389397615033943</v>
      </c>
      <c r="C49" s="2">
        <v>0.1719622384966053</v>
      </c>
    </row>
    <row r="50" spans="1:3" x14ac:dyDescent="0.3">
      <c r="A50" s="2">
        <v>23</v>
      </c>
      <c r="B50" s="2">
        <v>7.9388166619262854</v>
      </c>
      <c r="C50" s="2">
        <v>-0.28171066192628569</v>
      </c>
    </row>
    <row r="51" spans="1:3" x14ac:dyDescent="0.3">
      <c r="A51" s="2">
        <v>24</v>
      </c>
      <c r="B51" s="2">
        <v>7.8902332372685713</v>
      </c>
      <c r="C51" s="2">
        <v>-0.11501323726857127</v>
      </c>
    </row>
    <row r="52" spans="1:3" x14ac:dyDescent="0.3">
      <c r="A52" s="2">
        <v>25</v>
      </c>
      <c r="B52" s="2">
        <v>7.8192037911824741</v>
      </c>
      <c r="C52" s="2">
        <v>0.1372812088175257</v>
      </c>
    </row>
    <row r="53" spans="1:3" x14ac:dyDescent="0.3">
      <c r="A53" s="2">
        <v>26</v>
      </c>
      <c r="B53" s="2">
        <v>7.9007554991872446</v>
      </c>
      <c r="C53" s="2">
        <v>0.73819650081275512</v>
      </c>
    </row>
    <row r="54" spans="1:3" x14ac:dyDescent="0.3">
      <c r="A54" s="2">
        <v>27</v>
      </c>
      <c r="B54" s="2">
        <v>7.6523446410752385</v>
      </c>
      <c r="C54" s="2">
        <v>1.5857403589247614</v>
      </c>
    </row>
    <row r="55" spans="1:3" x14ac:dyDescent="0.3">
      <c r="A55" s="2">
        <v>28</v>
      </c>
      <c r="B55" s="2">
        <v>7.849306349533979</v>
      </c>
      <c r="C55" s="2">
        <v>1.6977066504660208</v>
      </c>
    </row>
    <row r="56" spans="1:3" x14ac:dyDescent="0.3">
      <c r="A56" s="2">
        <v>29</v>
      </c>
      <c r="B56" s="2">
        <v>7.9383116470599653</v>
      </c>
      <c r="C56" s="2">
        <v>2.0049013529400348</v>
      </c>
    </row>
    <row r="57" spans="1:3" x14ac:dyDescent="0.3">
      <c r="A57" s="2">
        <v>30</v>
      </c>
      <c r="B57" s="2">
        <v>8.3145761935017255</v>
      </c>
      <c r="C57" s="2">
        <v>1.2962028064982754</v>
      </c>
    </row>
    <row r="58" spans="1:3" x14ac:dyDescent="0.3">
      <c r="A58" s="2">
        <v>31</v>
      </c>
      <c r="B58" s="2">
        <v>8.719141936206956</v>
      </c>
      <c r="C58" s="2">
        <v>0.39894506379304318</v>
      </c>
    </row>
    <row r="59" spans="1:3" x14ac:dyDescent="0.3">
      <c r="A59" s="2">
        <v>32</v>
      </c>
      <c r="B59" s="2">
        <v>8.7661326501821542</v>
      </c>
      <c r="C59" s="2">
        <v>5.8336349817846411E-2</v>
      </c>
    </row>
    <row r="60" spans="1:3" x14ac:dyDescent="0.3">
      <c r="A60" s="2">
        <v>33</v>
      </c>
      <c r="B60" s="2">
        <v>9.0845363792890375</v>
      </c>
      <c r="C60" s="2">
        <v>-0.50706237928903697</v>
      </c>
    </row>
    <row r="61" spans="1:3" x14ac:dyDescent="0.3">
      <c r="A61" s="2">
        <v>34</v>
      </c>
      <c r="B61" s="2">
        <v>9.0182301667790554</v>
      </c>
      <c r="C61" s="2">
        <v>-0.35137916677905601</v>
      </c>
    </row>
    <row r="62" spans="1:3" x14ac:dyDescent="0.3">
      <c r="A62" s="2">
        <v>35</v>
      </c>
      <c r="B62" s="2">
        <v>8.7245875627383782</v>
      </c>
      <c r="C62" s="2">
        <v>-8.393956273837766E-2</v>
      </c>
    </row>
    <row r="63" spans="1:3" x14ac:dyDescent="0.3">
      <c r="A63" s="2">
        <v>36</v>
      </c>
      <c r="B63" s="2">
        <v>8.4256374816540003</v>
      </c>
      <c r="C63" s="2">
        <v>-0.10216648165400066</v>
      </c>
    </row>
    <row r="64" spans="1:3" x14ac:dyDescent="0.3">
      <c r="A64" s="2">
        <v>37</v>
      </c>
      <c r="B64" s="2">
        <v>8.2083264164103404</v>
      </c>
      <c r="C64" s="2">
        <v>-0.23277741641034044</v>
      </c>
    </row>
    <row r="65" spans="1:3" x14ac:dyDescent="0.3">
      <c r="A65" s="2">
        <v>38</v>
      </c>
      <c r="B65" s="2">
        <v>8.3239308495237552</v>
      </c>
      <c r="C65" s="2">
        <v>-0.73050784952375558</v>
      </c>
    </row>
    <row r="66" spans="1:3" x14ac:dyDescent="0.3">
      <c r="A66" s="2">
        <v>39</v>
      </c>
      <c r="B66" s="2">
        <v>8.314031284952371</v>
      </c>
      <c r="C66" s="2">
        <v>-0.44159828495237097</v>
      </c>
    </row>
    <row r="67" spans="1:3" x14ac:dyDescent="0.3">
      <c r="A67" s="2">
        <v>40</v>
      </c>
      <c r="B67" s="2">
        <v>8.1598301936490891</v>
      </c>
      <c r="C67" s="2">
        <v>-9.2504193649089572E-2</v>
      </c>
    </row>
    <row r="68" spans="1:3" x14ac:dyDescent="0.3">
      <c r="A68" s="2">
        <v>41</v>
      </c>
      <c r="B68" s="2">
        <v>7.9308388728661399</v>
      </c>
      <c r="C68" s="2">
        <v>0.35142712713386004</v>
      </c>
    </row>
    <row r="69" spans="1:3" x14ac:dyDescent="0.3">
      <c r="A69" s="2">
        <v>42</v>
      </c>
      <c r="B69" s="2">
        <v>7.6076517664007248</v>
      </c>
      <c r="C69" s="2">
        <v>0.6292212335992744</v>
      </c>
    </row>
    <row r="70" spans="1:3" x14ac:dyDescent="0.3">
      <c r="A70" s="2">
        <v>43</v>
      </c>
      <c r="B70" s="2">
        <v>7.6117835239482474</v>
      </c>
      <c r="C70" s="2">
        <v>0.60328947605175287</v>
      </c>
    </row>
    <row r="71" spans="1:3" x14ac:dyDescent="0.3">
      <c r="A71" s="2">
        <v>44</v>
      </c>
      <c r="B71" s="2">
        <v>7.5347324499758344</v>
      </c>
      <c r="C71" s="2">
        <v>0.7704245500241651</v>
      </c>
    </row>
    <row r="72" spans="1:3" x14ac:dyDescent="0.3">
      <c r="A72" s="2">
        <v>45</v>
      </c>
      <c r="B72" s="2">
        <v>7.8360608741539615</v>
      </c>
      <c r="C72" s="2">
        <v>0.37188912584603884</v>
      </c>
    </row>
    <row r="73" spans="1:3" x14ac:dyDescent="0.3">
      <c r="A73" s="2">
        <v>46</v>
      </c>
      <c r="B73" s="2">
        <v>7.9047193879498892</v>
      </c>
      <c r="C73" s="2">
        <v>0.5587026120501104</v>
      </c>
    </row>
    <row r="74" spans="1:3" x14ac:dyDescent="0.3">
      <c r="A74" s="2">
        <v>47</v>
      </c>
      <c r="B74" s="2">
        <v>7.9480908507117114</v>
      </c>
      <c r="C74" s="2">
        <v>0.22902814928828796</v>
      </c>
    </row>
    <row r="75" spans="1:3" x14ac:dyDescent="0.3">
      <c r="A75" s="2">
        <v>48</v>
      </c>
      <c r="B75" s="2">
        <v>8.0559304734460966</v>
      </c>
      <c r="C75" s="2">
        <v>0.18341652655390384</v>
      </c>
    </row>
    <row r="76" spans="1:3" x14ac:dyDescent="0.3">
      <c r="A76" s="2">
        <v>49</v>
      </c>
      <c r="B76" s="2">
        <v>7.8797771571739545</v>
      </c>
      <c r="C76" s="2">
        <v>0.17930684282604581</v>
      </c>
    </row>
    <row r="77" spans="1:3" x14ac:dyDescent="0.3">
      <c r="A77" s="2">
        <v>50</v>
      </c>
      <c r="B77" s="2">
        <v>8.0126976648436461</v>
      </c>
      <c r="C77" s="2">
        <v>-0.24884666484364626</v>
      </c>
    </row>
    <row r="78" spans="1:3" x14ac:dyDescent="0.3">
      <c r="A78" s="2">
        <v>51</v>
      </c>
      <c r="B78" s="2">
        <v>7.6812020557184901</v>
      </c>
      <c r="C78" s="2">
        <v>0.2670939442815099</v>
      </c>
    </row>
    <row r="79" spans="1:3" x14ac:dyDescent="0.3">
      <c r="A79" s="2">
        <v>52</v>
      </c>
      <c r="B79" s="2">
        <v>7.6677057705225948</v>
      </c>
      <c r="C79" s="2">
        <v>9.8159229477404963E-2</v>
      </c>
    </row>
    <row r="80" spans="1:3" x14ac:dyDescent="0.3">
      <c r="A80" s="2">
        <v>53</v>
      </c>
      <c r="B80" s="2">
        <v>7.3684792830705916</v>
      </c>
      <c r="C80" s="2">
        <v>0.57181171692940858</v>
      </c>
    </row>
    <row r="81" spans="1:3" x14ac:dyDescent="0.3">
      <c r="A81" s="2">
        <v>54</v>
      </c>
      <c r="B81" s="2">
        <v>7.1417403108066999</v>
      </c>
      <c r="C81" s="2">
        <v>1.1469716891933004</v>
      </c>
    </row>
    <row r="82" spans="1:3" x14ac:dyDescent="0.3">
      <c r="A82" s="2">
        <v>55</v>
      </c>
      <c r="B82" s="2">
        <v>7.5393379298519534</v>
      </c>
      <c r="C82" s="2">
        <v>0.79195607014804636</v>
      </c>
    </row>
    <row r="83" spans="1:3" x14ac:dyDescent="0.3">
      <c r="A83" s="2">
        <v>56</v>
      </c>
      <c r="B83" s="2">
        <v>7.6891092610868803</v>
      </c>
      <c r="C83" s="2">
        <v>0.92066673891311979</v>
      </c>
    </row>
    <row r="84" spans="1:3" x14ac:dyDescent="0.3">
      <c r="A84" s="2">
        <v>57</v>
      </c>
      <c r="B84" s="2">
        <v>8.3991401730431967</v>
      </c>
      <c r="C84" s="2">
        <v>0.40562082695680246</v>
      </c>
    </row>
    <row r="85" spans="1:3" x14ac:dyDescent="0.3">
      <c r="A85" s="2">
        <v>58</v>
      </c>
      <c r="B85" s="2">
        <v>8.824139297981386</v>
      </c>
      <c r="C85" s="2">
        <v>4.971170201861419E-2</v>
      </c>
    </row>
    <row r="86" spans="1:3" x14ac:dyDescent="0.3">
      <c r="A86" s="2">
        <v>59</v>
      </c>
      <c r="B86" s="2">
        <v>8.636362696333407</v>
      </c>
      <c r="C86" s="2">
        <v>0.31939930366659297</v>
      </c>
    </row>
    <row r="87" spans="1:3" x14ac:dyDescent="0.3">
      <c r="A87" s="2">
        <v>60</v>
      </c>
      <c r="B87" s="2">
        <v>8.6416646986884729</v>
      </c>
      <c r="C87" s="2">
        <v>-5.4193698688472125E-2</v>
      </c>
    </row>
    <row r="88" spans="1:3" x14ac:dyDescent="0.3">
      <c r="A88" s="2">
        <v>61</v>
      </c>
      <c r="B88" s="2">
        <v>8.4668753400471921</v>
      </c>
      <c r="C88" s="2">
        <v>-7.9610340047192807E-2</v>
      </c>
    </row>
    <row r="89" spans="1:3" x14ac:dyDescent="0.3">
      <c r="A89" s="2">
        <v>62</v>
      </c>
      <c r="B89" s="2">
        <v>8.7090570275178436</v>
      </c>
      <c r="C89" s="2">
        <v>-0.49908502751784312</v>
      </c>
    </row>
    <row r="90" spans="1:3" x14ac:dyDescent="0.3">
      <c r="A90" s="2">
        <v>63</v>
      </c>
      <c r="B90" s="2">
        <v>8.7987011740736349</v>
      </c>
      <c r="C90" s="2">
        <v>-0.91476617407363481</v>
      </c>
    </row>
    <row r="91" spans="1:3" x14ac:dyDescent="0.3">
      <c r="A91" s="2">
        <v>64</v>
      </c>
      <c r="B91" s="2">
        <v>8.4945067381793145</v>
      </c>
      <c r="C91" s="2">
        <v>-0.60286573817931455</v>
      </c>
    </row>
    <row r="92" spans="1:3" x14ac:dyDescent="0.3">
      <c r="A92" s="2">
        <v>65</v>
      </c>
      <c r="B92" s="2">
        <v>8.2314677352531262</v>
      </c>
      <c r="C92" s="2">
        <v>-0.59650273525312603</v>
      </c>
    </row>
    <row r="93" spans="1:3" x14ac:dyDescent="0.3">
      <c r="A93" s="2">
        <v>66</v>
      </c>
      <c r="B93" s="2">
        <v>7.9426804595214051</v>
      </c>
      <c r="C93" s="2">
        <v>-0.74222645952140542</v>
      </c>
    </row>
    <row r="94" spans="1:3" x14ac:dyDescent="0.3">
      <c r="A94" s="2">
        <v>67</v>
      </c>
      <c r="B94" s="2">
        <v>7.6427028062376046</v>
      </c>
      <c r="C94" s="2">
        <v>-0.45308980623760498</v>
      </c>
    </row>
    <row r="95" spans="1:3" x14ac:dyDescent="0.3">
      <c r="A95" s="2">
        <v>68</v>
      </c>
      <c r="B95" s="2">
        <v>7.4666174496363347</v>
      </c>
      <c r="C95" s="2">
        <v>-0.46638344963633482</v>
      </c>
    </row>
    <row r="96" spans="1:3" x14ac:dyDescent="0.3">
      <c r="A96" s="2">
        <v>69</v>
      </c>
      <c r="B96" s="2">
        <v>7.34362265651502</v>
      </c>
      <c r="C96" s="2">
        <v>-0.31215465651501972</v>
      </c>
    </row>
    <row r="97" spans="1:3" x14ac:dyDescent="0.3">
      <c r="A97" s="2">
        <v>70</v>
      </c>
      <c r="B97" s="2">
        <v>6.9166910608842755</v>
      </c>
      <c r="C97" s="2">
        <v>1.5099391157242792E-3</v>
      </c>
    </row>
    <row r="98" spans="1:3" x14ac:dyDescent="0.3">
      <c r="A98" s="2">
        <v>71</v>
      </c>
      <c r="B98" s="2">
        <v>6.6373338872491168</v>
      </c>
      <c r="C98" s="2">
        <v>3.5696112750883024E-2</v>
      </c>
    </row>
    <row r="99" spans="1:3" x14ac:dyDescent="0.3">
      <c r="A99" s="2">
        <v>72</v>
      </c>
      <c r="B99" s="2">
        <v>6.5328806003624464</v>
      </c>
      <c r="C99" s="2">
        <v>-9.5686003624466665E-3</v>
      </c>
    </row>
    <row r="100" spans="1:3" x14ac:dyDescent="0.3">
      <c r="A100" s="2">
        <v>73</v>
      </c>
      <c r="B100" s="2">
        <v>6.5713106336626623</v>
      </c>
      <c r="C100" s="2">
        <v>-0.49239363366266264</v>
      </c>
    </row>
    <row r="101" spans="1:3" x14ac:dyDescent="0.3">
      <c r="A101" s="2">
        <v>74</v>
      </c>
      <c r="B101" s="2">
        <v>6.4816298360206268</v>
      </c>
      <c r="C101" s="2">
        <v>-0.50762183602062638</v>
      </c>
    </row>
    <row r="102" spans="1:3" x14ac:dyDescent="0.3">
      <c r="A102" s="2">
        <v>75</v>
      </c>
      <c r="B102" s="2">
        <v>6.3792079665986705</v>
      </c>
      <c r="C102" s="2">
        <v>-0.54944596659867084</v>
      </c>
    </row>
    <row r="103" spans="1:3" x14ac:dyDescent="0.3">
      <c r="A103" s="2">
        <v>76</v>
      </c>
      <c r="B103" s="2">
        <v>6.528888704375639</v>
      </c>
      <c r="C103" s="2">
        <v>-0.6109177043756393</v>
      </c>
    </row>
    <row r="104" spans="1:3" x14ac:dyDescent="0.3">
      <c r="A104" s="2">
        <v>77</v>
      </c>
      <c r="B104" s="2">
        <v>6.0568711075636195</v>
      </c>
      <c r="C104" s="2">
        <v>-4.1495107563619626E-2</v>
      </c>
    </row>
    <row r="105" spans="1:3" x14ac:dyDescent="0.3">
      <c r="A105" s="2">
        <v>78</v>
      </c>
      <c r="B105" s="2">
        <v>6.0542127532930365</v>
      </c>
      <c r="C105" s="2">
        <v>-1.6857532930361074E-3</v>
      </c>
    </row>
    <row r="106" spans="1:3" x14ac:dyDescent="0.3">
      <c r="A106" s="2">
        <v>79</v>
      </c>
      <c r="B106" s="2">
        <v>6.049167014025052</v>
      </c>
      <c r="C106" s="2">
        <v>4.8537985974948405E-2</v>
      </c>
    </row>
    <row r="107" spans="1:3" x14ac:dyDescent="0.3">
      <c r="A107" s="2">
        <v>80</v>
      </c>
      <c r="B107" s="2">
        <v>5.6573389735104236</v>
      </c>
      <c r="C107" s="2">
        <v>0.20879502648957615</v>
      </c>
    </row>
    <row r="108" spans="1:3" x14ac:dyDescent="0.3">
      <c r="A108" s="2">
        <v>81</v>
      </c>
      <c r="B108" s="2">
        <v>5.5481510775190799</v>
      </c>
      <c r="C108" s="2">
        <v>0.23290892248092021</v>
      </c>
    </row>
    <row r="109" spans="1:3" x14ac:dyDescent="0.3">
      <c r="A109" s="2">
        <v>82</v>
      </c>
      <c r="B109" s="2">
        <v>5.4970850238873048</v>
      </c>
      <c r="C109" s="2">
        <v>2.1894976112695197E-2</v>
      </c>
    </row>
    <row r="110" spans="1:3" x14ac:dyDescent="0.3">
      <c r="A110" s="2">
        <v>83</v>
      </c>
      <c r="B110" s="2">
        <v>5.2525623248531765</v>
      </c>
      <c r="C110" s="2">
        <v>4.4666751468236399E-3</v>
      </c>
    </row>
    <row r="111" spans="1:3" x14ac:dyDescent="0.3">
      <c r="A111" s="2">
        <v>84</v>
      </c>
      <c r="B111" s="2">
        <v>5.8279990143246678</v>
      </c>
      <c r="C111" s="2">
        <v>-0.58266201432466769</v>
      </c>
    </row>
    <row r="112" spans="1:3" x14ac:dyDescent="0.3">
      <c r="A112" s="2">
        <v>85</v>
      </c>
      <c r="B112" s="2">
        <v>6.2050693109875681</v>
      </c>
      <c r="C112" s="2">
        <v>-0.92434731098756817</v>
      </c>
    </row>
    <row r="113" spans="1:3" x14ac:dyDescent="0.3">
      <c r="A113" s="2">
        <v>86</v>
      </c>
      <c r="B113" s="2">
        <v>6.5646640596214141</v>
      </c>
      <c r="C113" s="2">
        <v>-0.73969605962141394</v>
      </c>
    </row>
    <row r="114" spans="1:3" x14ac:dyDescent="0.3">
      <c r="A114" s="2">
        <v>87</v>
      </c>
      <c r="B114" s="2">
        <v>6.577087836245731</v>
      </c>
      <c r="C114" s="2">
        <v>-0.14635583624573112</v>
      </c>
    </row>
    <row r="115" spans="1:3" x14ac:dyDescent="0.3">
      <c r="A115" s="2">
        <v>88</v>
      </c>
      <c r="B115" s="2">
        <v>5.8105760930640074</v>
      </c>
      <c r="C115" s="2">
        <v>0.83405290693599277</v>
      </c>
    </row>
    <row r="116" spans="1:3" x14ac:dyDescent="0.3">
      <c r="A116" s="2">
        <v>89</v>
      </c>
      <c r="B116" s="2">
        <v>5.7041272158043697</v>
      </c>
      <c r="C116" s="2">
        <v>1.2999317841956302</v>
      </c>
    </row>
    <row r="117" spans="1:3" x14ac:dyDescent="0.3">
      <c r="A117" s="2">
        <v>90</v>
      </c>
      <c r="B117" s="2">
        <v>6.0679430731894151</v>
      </c>
      <c r="C117" s="2">
        <v>1.0016569268105853</v>
      </c>
    </row>
    <row r="118" spans="1:3" x14ac:dyDescent="0.3">
      <c r="A118" s="2">
        <v>91</v>
      </c>
      <c r="B118" s="2">
        <v>6.5958105115130792</v>
      </c>
      <c r="C118" s="2">
        <v>0.32281248848692101</v>
      </c>
    </row>
    <row r="119" spans="1:3" x14ac:dyDescent="0.3">
      <c r="A119" s="2">
        <v>92</v>
      </c>
      <c r="B119" s="2">
        <v>6.814773309108535</v>
      </c>
      <c r="C119" s="2">
        <v>-0.14143430910853461</v>
      </c>
    </row>
    <row r="120" spans="1:3" x14ac:dyDescent="0.3">
      <c r="A120" s="2">
        <v>93</v>
      </c>
      <c r="B120" s="2">
        <v>6.9691366126311287</v>
      </c>
      <c r="C120" s="2">
        <v>-0.54705161263112867</v>
      </c>
    </row>
    <row r="121" spans="1:3" x14ac:dyDescent="0.3">
      <c r="A121" s="2">
        <v>94</v>
      </c>
      <c r="B121" s="2">
        <v>6.4937562993975497</v>
      </c>
      <c r="C121" s="2">
        <v>-0.31586829939754946</v>
      </c>
    </row>
    <row r="122" spans="1:3" x14ac:dyDescent="0.3">
      <c r="A122" s="2">
        <v>95</v>
      </c>
      <c r="B122" s="2">
        <v>6.1831030085441405</v>
      </c>
      <c r="C122" s="2">
        <v>-0.27759100854414065</v>
      </c>
    </row>
    <row r="123" spans="1:3" x14ac:dyDescent="0.3">
      <c r="A123" s="2">
        <v>96</v>
      </c>
      <c r="B123" s="2">
        <v>6.0859264559057884</v>
      </c>
      <c r="C123" s="2">
        <v>-1.2025455905788185E-2</v>
      </c>
    </row>
    <row r="124" spans="1:3" x14ac:dyDescent="0.3">
      <c r="A124" s="2">
        <v>97</v>
      </c>
      <c r="B124" s="2">
        <v>5.9421691304851798</v>
      </c>
      <c r="C124" s="2">
        <v>0.21580186951482005</v>
      </c>
    </row>
    <row r="125" spans="1:3" x14ac:dyDescent="0.3">
      <c r="A125" s="2">
        <v>98</v>
      </c>
      <c r="B125" s="2">
        <v>5.936895541004521</v>
      </c>
      <c r="C125" s="2">
        <v>0.39053145899547914</v>
      </c>
    </row>
    <row r="126" spans="1:3" x14ac:dyDescent="0.3">
      <c r="A126" s="2">
        <v>99</v>
      </c>
      <c r="B126" s="2">
        <v>5.8558697371863246</v>
      </c>
      <c r="C126" s="2">
        <v>0.68094426281367504</v>
      </c>
    </row>
    <row r="127" spans="1:3" x14ac:dyDescent="0.3">
      <c r="A127" s="2">
        <v>100</v>
      </c>
      <c r="B127" s="2">
        <v>5.7488845142804621</v>
      </c>
      <c r="C127" s="2">
        <v>0.94981248571953802</v>
      </c>
    </row>
    <row r="128" spans="1:3" x14ac:dyDescent="0.3">
      <c r="A128" s="2">
        <v>101</v>
      </c>
      <c r="B128" s="2">
        <v>5.9322050401599427</v>
      </c>
      <c r="C128" s="2">
        <v>0.6764219598400576</v>
      </c>
    </row>
    <row r="129" spans="1:3" x14ac:dyDescent="0.3">
      <c r="A129" s="2">
        <v>102</v>
      </c>
      <c r="B129" s="2">
        <v>6.2316140938943185</v>
      </c>
      <c r="C129" s="2">
        <v>0.21025190610568156</v>
      </c>
    </row>
    <row r="130" spans="1:3" x14ac:dyDescent="0.3">
      <c r="A130" s="2">
        <v>103</v>
      </c>
      <c r="B130" s="2">
        <v>6.2760125347072453</v>
      </c>
      <c r="C130" s="2">
        <v>1.3181465292754879E-2</v>
      </c>
    </row>
    <row r="131" spans="1:3" x14ac:dyDescent="0.3">
      <c r="A131" s="2">
        <v>104</v>
      </c>
      <c r="B131" s="2">
        <v>6.5273895251980179</v>
      </c>
      <c r="C131" s="2">
        <v>-0.37049752519801782</v>
      </c>
    </row>
    <row r="132" spans="1:3" x14ac:dyDescent="0.3">
      <c r="A132" s="2">
        <v>105</v>
      </c>
      <c r="B132" s="2">
        <v>6.3872182748555879</v>
      </c>
      <c r="C132" s="2">
        <v>-0.32566727485558822</v>
      </c>
    </row>
    <row r="133" spans="1:3" x14ac:dyDescent="0.3">
      <c r="A133" s="2">
        <v>106</v>
      </c>
      <c r="B133" s="2">
        <v>6.1845718718474529</v>
      </c>
      <c r="C133" s="2">
        <v>-0.23802587184745327</v>
      </c>
    </row>
    <row r="134" spans="1:3" x14ac:dyDescent="0.3">
      <c r="A134" s="2">
        <v>107</v>
      </c>
      <c r="B134" s="2">
        <v>6.1381870489868646</v>
      </c>
      <c r="C134" s="2">
        <v>-0.35245904898686486</v>
      </c>
    </row>
    <row r="135" spans="1:3" x14ac:dyDescent="0.3">
      <c r="A135" s="2">
        <v>108</v>
      </c>
      <c r="B135" s="2">
        <v>6.0334757934053371</v>
      </c>
      <c r="C135" s="2">
        <v>-0.46717679340533724</v>
      </c>
    </row>
    <row r="136" spans="1:3" x14ac:dyDescent="0.3">
      <c r="A136" s="2">
        <v>109</v>
      </c>
      <c r="B136" s="2">
        <v>6.1808187506686423</v>
      </c>
      <c r="C136" s="2">
        <v>-0.7479687506686421</v>
      </c>
    </row>
    <row r="137" spans="1:3" x14ac:dyDescent="0.3">
      <c r="A137" s="2">
        <v>110</v>
      </c>
      <c r="B137" s="2">
        <v>6.0227934024446768</v>
      </c>
      <c r="C137" s="2">
        <v>-0.72906740244467638</v>
      </c>
    </row>
    <row r="138" spans="1:3" x14ac:dyDescent="0.3">
      <c r="A138" s="2">
        <v>111</v>
      </c>
      <c r="B138" s="2">
        <v>5.861053125936504</v>
      </c>
      <c r="C138" s="2">
        <v>-0.60899412593650393</v>
      </c>
    </row>
    <row r="139" spans="1:3" x14ac:dyDescent="0.3">
      <c r="A139" s="2">
        <v>112</v>
      </c>
      <c r="B139" s="2">
        <v>5.7612214237966448</v>
      </c>
      <c r="C139" s="2">
        <v>-0.65063342379664491</v>
      </c>
    </row>
    <row r="140" spans="1:3" x14ac:dyDescent="0.3">
      <c r="A140" s="2">
        <v>113</v>
      </c>
      <c r="B140" s="2">
        <v>5.4893361132114897</v>
      </c>
      <c r="C140" s="2">
        <v>-0.30985111321149006</v>
      </c>
    </row>
    <row r="141" spans="1:3" x14ac:dyDescent="0.3">
      <c r="A141" s="2">
        <v>114</v>
      </c>
      <c r="B141" s="2">
        <v>5.3135383383638626</v>
      </c>
      <c r="C141" s="2">
        <v>-0.18545533836386241</v>
      </c>
    </row>
    <row r="142" spans="1:3" x14ac:dyDescent="0.3">
      <c r="A142" s="2">
        <v>115</v>
      </c>
      <c r="B142" s="2">
        <v>5.2986812462320465</v>
      </c>
      <c r="C142" s="2">
        <v>-0.22288024623204628</v>
      </c>
    </row>
    <row r="143" spans="1:3" x14ac:dyDescent="0.3">
      <c r="A143" s="2">
        <v>116</v>
      </c>
      <c r="B143" s="2">
        <v>5.1278456107455739</v>
      </c>
      <c r="C143" s="2">
        <v>-5.1005610745574081E-2</v>
      </c>
    </row>
    <row r="144" spans="1:3" x14ac:dyDescent="0.3">
      <c r="A144" s="2">
        <v>117</v>
      </c>
      <c r="B144" s="2">
        <v>5.0542551096028738</v>
      </c>
      <c r="C144" s="2">
        <v>2.7072890397126237E-2</v>
      </c>
    </row>
    <row r="145" spans="1:3" x14ac:dyDescent="0.3">
      <c r="A145" s="2">
        <v>118</v>
      </c>
      <c r="B145" s="2">
        <v>5.1565133622855548</v>
      </c>
      <c r="C145" s="2">
        <v>1.6366377144452215E-3</v>
      </c>
    </row>
    <row r="146" spans="1:3" ht="15" thickBot="1" x14ac:dyDescent="0.35">
      <c r="A146" s="3">
        <v>119</v>
      </c>
      <c r="B146" s="3">
        <v>5.0311239101009448</v>
      </c>
      <c r="C146" s="3">
        <v>0.22084308989905477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F8D4-24C3-4173-B8D0-C16D410CA66C}">
  <dimension ref="A1:P124"/>
  <sheetViews>
    <sheetView topLeftCell="A6" workbookViewId="0">
      <selection activeCell="P6" sqref="P6:P124"/>
    </sheetView>
  </sheetViews>
  <sheetFormatPr defaultRowHeight="14.4" x14ac:dyDescent="0.3"/>
  <cols>
    <col min="1" max="1" width="7.6640625" bestFit="1" customWidth="1"/>
    <col min="2" max="2" width="7" bestFit="1" customWidth="1"/>
    <col min="3" max="3" width="6.33203125" bestFit="1" customWidth="1"/>
    <col min="4" max="4" width="6" bestFit="1" customWidth="1"/>
    <col min="5" max="5" width="7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2</v>
      </c>
      <c r="B2">
        <v>1987.1</v>
      </c>
      <c r="C2">
        <v>908</v>
      </c>
      <c r="D2">
        <v>18.190000000000001</v>
      </c>
      <c r="E2">
        <v>152934</v>
      </c>
      <c r="F2">
        <v>7.149864</v>
      </c>
      <c r="G2">
        <v>111.8</v>
      </c>
      <c r="H2">
        <v>7.1954098360655703</v>
      </c>
      <c r="L2">
        <v>7.149864</v>
      </c>
      <c r="N2">
        <v>7.1954098360655703</v>
      </c>
    </row>
    <row r="3" spans="1:16" x14ac:dyDescent="0.3">
      <c r="A3" t="s">
        <v>2</v>
      </c>
      <c r="B3">
        <v>1987.2</v>
      </c>
      <c r="C3">
        <v>353</v>
      </c>
      <c r="D3">
        <v>18.29</v>
      </c>
      <c r="E3">
        <v>153287</v>
      </c>
      <c r="F3">
        <v>7.2416479999999996</v>
      </c>
      <c r="G3">
        <v>113.066666666667</v>
      </c>
      <c r="H3">
        <v>8.3426984126984092</v>
      </c>
      <c r="L3">
        <v>7.2416479999999996</v>
      </c>
      <c r="N3">
        <v>8.3426984126984092</v>
      </c>
    </row>
    <row r="4" spans="1:16" x14ac:dyDescent="0.3">
      <c r="A4" t="s">
        <v>2</v>
      </c>
      <c r="B4">
        <v>1987.3</v>
      </c>
      <c r="C4">
        <v>533</v>
      </c>
      <c r="D4">
        <v>18.2</v>
      </c>
      <c r="E4">
        <v>153820</v>
      </c>
      <c r="F4">
        <v>7.3983629999999998</v>
      </c>
      <c r="G4">
        <v>114.26666666666701</v>
      </c>
      <c r="H4">
        <v>8.8696874999999995</v>
      </c>
      <c r="L4">
        <v>7.3983629999999998</v>
      </c>
      <c r="N4">
        <v>8.8696874999999995</v>
      </c>
    </row>
    <row r="5" spans="1:16" x14ac:dyDescent="0.3">
      <c r="A5" t="s">
        <v>2</v>
      </c>
      <c r="B5">
        <v>1987.4</v>
      </c>
      <c r="C5">
        <v>6390</v>
      </c>
      <c r="D5">
        <v>18.11</v>
      </c>
      <c r="E5">
        <v>160210</v>
      </c>
      <c r="F5">
        <v>7.5259989999999997</v>
      </c>
      <c r="G5">
        <v>115.333333333333</v>
      </c>
      <c r="H5">
        <v>9.1290322580645196</v>
      </c>
      <c r="L5">
        <v>7.5259989999999997</v>
      </c>
      <c r="N5">
        <v>9.1290322580645196</v>
      </c>
    </row>
    <row r="6" spans="1:16" x14ac:dyDescent="0.3">
      <c r="A6" t="s">
        <v>2</v>
      </c>
      <c r="B6">
        <v>1988.1</v>
      </c>
      <c r="C6">
        <v>1085</v>
      </c>
      <c r="D6">
        <v>18.68</v>
      </c>
      <c r="E6">
        <v>161295</v>
      </c>
      <c r="F6">
        <v>6.8690670000000003</v>
      </c>
      <c r="G6">
        <v>116.23333333333299</v>
      </c>
      <c r="H6">
        <v>8.4109677419354902</v>
      </c>
      <c r="L6">
        <v>6.8690670000000003</v>
      </c>
      <c r="M6">
        <f>F2</f>
        <v>7.149864</v>
      </c>
      <c r="N6">
        <v>8.4109677419354902</v>
      </c>
      <c r="O6">
        <f>D6/D2</f>
        <v>1.0269378779549203</v>
      </c>
      <c r="P6">
        <f>G6/G2</f>
        <v>1.039654144305304</v>
      </c>
    </row>
    <row r="7" spans="1:16" x14ac:dyDescent="0.3">
      <c r="A7" t="s">
        <v>2</v>
      </c>
      <c r="B7">
        <v>1988.2</v>
      </c>
      <c r="C7">
        <v>478</v>
      </c>
      <c r="D7">
        <v>19.260000000000002</v>
      </c>
      <c r="E7">
        <v>161773</v>
      </c>
      <c r="F7">
        <v>6.336106</v>
      </c>
      <c r="G7">
        <v>117.566666666667</v>
      </c>
      <c r="H7">
        <v>8.9128571428571401</v>
      </c>
      <c r="L7">
        <v>6.336106</v>
      </c>
      <c r="M7">
        <f>F3</f>
        <v>7.2416479999999996</v>
      </c>
      <c r="N7">
        <v>8.9128571428571401</v>
      </c>
      <c r="O7">
        <f>D7/D3</f>
        <v>1.0530344450519411</v>
      </c>
      <c r="P7">
        <f>G7/G3</f>
        <v>1.0397995283018866</v>
      </c>
    </row>
    <row r="8" spans="1:16" x14ac:dyDescent="0.3">
      <c r="A8" t="s">
        <v>2</v>
      </c>
      <c r="B8">
        <v>1988.3</v>
      </c>
      <c r="C8">
        <v>282</v>
      </c>
      <c r="D8">
        <v>19.27</v>
      </c>
      <c r="E8">
        <v>162055</v>
      </c>
      <c r="F8">
        <v>5.6268010000000004</v>
      </c>
      <c r="G8">
        <v>119</v>
      </c>
      <c r="H8">
        <v>9.1035937499999999</v>
      </c>
      <c r="L8">
        <v>5.6268010000000004</v>
      </c>
      <c r="M8">
        <f>F4</f>
        <v>7.3983629999999998</v>
      </c>
      <c r="N8">
        <v>9.1035937499999999</v>
      </c>
      <c r="O8">
        <f>D8/D4</f>
        <v>1.0587912087912088</v>
      </c>
      <c r="P8">
        <f>G8/G4</f>
        <v>1.041423570595096</v>
      </c>
    </row>
    <row r="9" spans="1:16" x14ac:dyDescent="0.3">
      <c r="A9" t="s">
        <v>2</v>
      </c>
      <c r="B9">
        <v>1988.4</v>
      </c>
      <c r="C9">
        <v>1054</v>
      </c>
      <c r="D9">
        <v>19.29</v>
      </c>
      <c r="E9">
        <v>163109</v>
      </c>
      <c r="F9">
        <v>5.1400519999999998</v>
      </c>
      <c r="G9">
        <v>120.3</v>
      </c>
      <c r="H9">
        <v>8.9570491803278696</v>
      </c>
      <c r="L9">
        <v>5.1400519999999998</v>
      </c>
      <c r="M9">
        <f>F5</f>
        <v>7.5259989999999997</v>
      </c>
      <c r="N9">
        <v>8.9570491803278696</v>
      </c>
      <c r="O9">
        <f>D9/D5</f>
        <v>1.0651573716178906</v>
      </c>
      <c r="P9">
        <f>G9/G5</f>
        <v>1.0430635838150319</v>
      </c>
    </row>
    <row r="10" spans="1:16" x14ac:dyDescent="0.3">
      <c r="A10" t="s">
        <v>2</v>
      </c>
      <c r="B10">
        <v>1989.1</v>
      </c>
      <c r="C10">
        <v>915</v>
      </c>
      <c r="D10">
        <v>19.37</v>
      </c>
      <c r="E10">
        <v>164024</v>
      </c>
      <c r="F10">
        <v>5.4440520000000001</v>
      </c>
      <c r="G10">
        <v>121.666666666667</v>
      </c>
      <c r="H10">
        <v>9.2116393442623004</v>
      </c>
      <c r="L10">
        <v>5.4440520000000001</v>
      </c>
      <c r="M10">
        <f>F6</f>
        <v>6.8690670000000003</v>
      </c>
      <c r="N10">
        <v>9.2116393442623004</v>
      </c>
      <c r="O10">
        <f>D10/D6</f>
        <v>1.0369379014989295</v>
      </c>
      <c r="P10">
        <f>G10/G6</f>
        <v>1.0467450530542073</v>
      </c>
    </row>
    <row r="11" spans="1:16" x14ac:dyDescent="0.3">
      <c r="A11" t="s">
        <v>2</v>
      </c>
      <c r="B11">
        <v>1989.2</v>
      </c>
      <c r="C11">
        <v>6702</v>
      </c>
      <c r="D11">
        <v>19.46</v>
      </c>
      <c r="E11">
        <v>170726</v>
      </c>
      <c r="F11">
        <v>5.6750069999999999</v>
      </c>
      <c r="G11">
        <v>123.633333333333</v>
      </c>
      <c r="H11">
        <v>8.7579687499999999</v>
      </c>
      <c r="L11">
        <v>5.6750069999999999</v>
      </c>
      <c r="M11">
        <f>F7</f>
        <v>6.336106</v>
      </c>
      <c r="N11">
        <v>8.7579687499999999</v>
      </c>
      <c r="O11">
        <f>D11/D7</f>
        <v>1.0103842159916925</v>
      </c>
      <c r="P11">
        <f>G11/G7</f>
        <v>1.0516019279841167</v>
      </c>
    </row>
    <row r="12" spans="1:16" x14ac:dyDescent="0.3">
      <c r="A12" t="s">
        <v>2</v>
      </c>
      <c r="B12">
        <v>1989.3</v>
      </c>
      <c r="C12">
        <v>290</v>
      </c>
      <c r="D12">
        <v>19.260000000000002</v>
      </c>
      <c r="E12">
        <v>171016</v>
      </c>
      <c r="F12">
        <v>5.9773490000000002</v>
      </c>
      <c r="G12">
        <v>124.6</v>
      </c>
      <c r="H12">
        <v>8.1074603174603208</v>
      </c>
      <c r="L12">
        <v>5.9773490000000002</v>
      </c>
      <c r="M12">
        <f>F8</f>
        <v>5.6268010000000004</v>
      </c>
      <c r="N12">
        <v>8.1074603174603208</v>
      </c>
      <c r="O12">
        <f>D12/D8</f>
        <v>0.99948105864037373</v>
      </c>
      <c r="P12">
        <f>G12/G8</f>
        <v>1.0470588235294118</v>
      </c>
    </row>
    <row r="13" spans="1:16" x14ac:dyDescent="0.3">
      <c r="A13" t="s">
        <v>2</v>
      </c>
      <c r="B13">
        <v>1989.4</v>
      </c>
      <c r="C13">
        <v>1166</v>
      </c>
      <c r="D13">
        <v>19.059999999999999</v>
      </c>
      <c r="E13">
        <v>172182</v>
      </c>
      <c r="F13">
        <v>6.3930499999999997</v>
      </c>
      <c r="G13">
        <v>125.866666666667</v>
      </c>
      <c r="H13">
        <v>7.9070967741935503</v>
      </c>
      <c r="L13">
        <v>6.3930499999999997</v>
      </c>
      <c r="M13">
        <f>F9</f>
        <v>5.1400519999999998</v>
      </c>
      <c r="N13">
        <v>7.9070967741935503</v>
      </c>
      <c r="O13">
        <f>D13/D9</f>
        <v>0.98807672369103161</v>
      </c>
      <c r="P13">
        <f>G13/G9</f>
        <v>1.0462732058742061</v>
      </c>
    </row>
    <row r="14" spans="1:16" x14ac:dyDescent="0.3">
      <c r="A14" t="s">
        <v>2</v>
      </c>
      <c r="B14">
        <v>1990.1</v>
      </c>
      <c r="C14">
        <v>2800</v>
      </c>
      <c r="D14">
        <v>19.23</v>
      </c>
      <c r="E14">
        <v>174982</v>
      </c>
      <c r="F14">
        <v>6.3871770000000003</v>
      </c>
      <c r="G14">
        <v>128.03333333333299</v>
      </c>
      <c r="H14">
        <v>8.4238709677419301</v>
      </c>
      <c r="L14">
        <v>6.3871770000000003</v>
      </c>
      <c r="M14">
        <f>F10</f>
        <v>5.4440520000000001</v>
      </c>
      <c r="N14">
        <v>8.4238709677419301</v>
      </c>
      <c r="O14">
        <f>D14/D10</f>
        <v>0.99277232834279816</v>
      </c>
      <c r="P14">
        <f>G14/G10</f>
        <v>1.0523287671232819</v>
      </c>
    </row>
    <row r="15" spans="1:16" x14ac:dyDescent="0.3">
      <c r="A15" t="s">
        <v>2</v>
      </c>
      <c r="B15">
        <v>1990.2</v>
      </c>
      <c r="C15">
        <v>3390</v>
      </c>
      <c r="D15">
        <v>19.420000000000002</v>
      </c>
      <c r="E15">
        <v>178372</v>
      </c>
      <c r="F15">
        <v>6.1752039999999999</v>
      </c>
      <c r="G15">
        <v>129.30000000000001</v>
      </c>
      <c r="H15">
        <v>8.6741269841269801</v>
      </c>
      <c r="L15">
        <v>6.1752039999999999</v>
      </c>
      <c r="M15">
        <f>F11</f>
        <v>5.6750069999999999</v>
      </c>
      <c r="N15">
        <v>8.6741269841269801</v>
      </c>
      <c r="O15">
        <f>D15/D11</f>
        <v>0.99794450154162384</v>
      </c>
      <c r="P15">
        <f>G15/G11</f>
        <v>1.0458344567268836</v>
      </c>
    </row>
    <row r="16" spans="1:16" x14ac:dyDescent="0.3">
      <c r="A16" t="s">
        <v>2</v>
      </c>
      <c r="B16">
        <v>1990.3</v>
      </c>
      <c r="C16">
        <v>2001</v>
      </c>
      <c r="D16">
        <v>19.170000000000002</v>
      </c>
      <c r="E16">
        <v>180373</v>
      </c>
      <c r="F16">
        <v>6.2918409999999998</v>
      </c>
      <c r="G16">
        <v>131.53333333333299</v>
      </c>
      <c r="H16">
        <v>8.7012698412698395</v>
      </c>
      <c r="L16">
        <v>6.2918409999999998</v>
      </c>
      <c r="M16">
        <f>F12</f>
        <v>5.9773490000000002</v>
      </c>
      <c r="N16">
        <v>8.7012698412698395</v>
      </c>
      <c r="O16">
        <f>D16/D12</f>
        <v>0.99532710280373837</v>
      </c>
      <c r="P16">
        <f>G16/G12</f>
        <v>1.0556447298020304</v>
      </c>
    </row>
    <row r="17" spans="1:16" x14ac:dyDescent="0.3">
      <c r="A17" t="s">
        <v>2</v>
      </c>
      <c r="B17">
        <v>1990.4</v>
      </c>
      <c r="C17">
        <v>552</v>
      </c>
      <c r="D17">
        <v>18.93</v>
      </c>
      <c r="E17">
        <v>180925</v>
      </c>
      <c r="F17">
        <v>6.4519900000000003</v>
      </c>
      <c r="G17">
        <v>133.76666666666699</v>
      </c>
      <c r="H17">
        <v>8.4059677419354895</v>
      </c>
      <c r="L17">
        <v>6.4519900000000003</v>
      </c>
      <c r="M17">
        <f>F13</f>
        <v>6.3930499999999997</v>
      </c>
      <c r="N17">
        <v>8.4059677419354895</v>
      </c>
      <c r="O17">
        <f>D17/D13</f>
        <v>0.9931794333683106</v>
      </c>
      <c r="P17">
        <f>G17/G13</f>
        <v>1.0627648305084743</v>
      </c>
    </row>
    <row r="18" spans="1:16" x14ac:dyDescent="0.3">
      <c r="A18" t="s">
        <v>2</v>
      </c>
      <c r="B18">
        <v>1991.1</v>
      </c>
      <c r="C18">
        <v>1203</v>
      </c>
      <c r="D18">
        <v>18.850000000000001</v>
      </c>
      <c r="E18">
        <v>182128</v>
      </c>
      <c r="F18">
        <v>6.6095579999999998</v>
      </c>
      <c r="G18">
        <v>134.76666666666699</v>
      </c>
      <c r="H18">
        <v>8.0231666666666595</v>
      </c>
      <c r="L18">
        <v>6.6095579999999998</v>
      </c>
      <c r="M18">
        <f>F14</f>
        <v>6.3871770000000003</v>
      </c>
      <c r="N18">
        <v>8.0231666666666595</v>
      </c>
      <c r="O18">
        <f>D18/D14</f>
        <v>0.98023920956838284</v>
      </c>
      <c r="P18">
        <f>G18/G14</f>
        <v>1.0525904712314555</v>
      </c>
    </row>
    <row r="19" spans="1:16" x14ac:dyDescent="0.3">
      <c r="A19" t="s">
        <v>2</v>
      </c>
      <c r="B19">
        <v>1991.2</v>
      </c>
      <c r="C19">
        <v>98</v>
      </c>
      <c r="D19">
        <v>18.77</v>
      </c>
      <c r="E19">
        <v>182226</v>
      </c>
      <c r="F19">
        <v>6.5748550000000003</v>
      </c>
      <c r="G19">
        <v>135.566666666667</v>
      </c>
      <c r="H19">
        <v>8.1254687499999996</v>
      </c>
      <c r="L19">
        <v>6.5748550000000003</v>
      </c>
      <c r="M19">
        <f>F15</f>
        <v>6.1752039999999999</v>
      </c>
      <c r="N19">
        <v>8.1254687499999996</v>
      </c>
      <c r="O19">
        <f>D19/D15</f>
        <v>0.96652935118434591</v>
      </c>
      <c r="P19">
        <f>G19/G15</f>
        <v>1.0484660995101855</v>
      </c>
    </row>
    <row r="20" spans="1:16" x14ac:dyDescent="0.3">
      <c r="A20" t="s">
        <v>2</v>
      </c>
      <c r="B20">
        <v>1991.3</v>
      </c>
      <c r="C20">
        <v>705</v>
      </c>
      <c r="D20">
        <v>18.89</v>
      </c>
      <c r="E20">
        <v>182931</v>
      </c>
      <c r="F20">
        <v>6.7027780000000003</v>
      </c>
      <c r="G20">
        <v>136.6</v>
      </c>
      <c r="H20">
        <v>7.95</v>
      </c>
      <c r="L20">
        <v>6.7027780000000003</v>
      </c>
      <c r="M20">
        <f>F16</f>
        <v>6.2918409999999998</v>
      </c>
      <c r="N20">
        <v>7.95</v>
      </c>
      <c r="O20">
        <f>D20/D16</f>
        <v>0.9853938445487741</v>
      </c>
      <c r="P20">
        <f>G20/G16</f>
        <v>1.0385200202736975</v>
      </c>
    </row>
    <row r="21" spans="1:16" x14ac:dyDescent="0.3">
      <c r="A21" t="s">
        <v>2</v>
      </c>
      <c r="B21">
        <v>1991.4</v>
      </c>
      <c r="C21">
        <v>1128</v>
      </c>
      <c r="D21">
        <v>19.010000000000002</v>
      </c>
      <c r="E21">
        <v>184059</v>
      </c>
      <c r="F21">
        <v>6.7869669999999998</v>
      </c>
      <c r="G21">
        <v>137.73333333333301</v>
      </c>
      <c r="H21">
        <v>7.3449999999999998</v>
      </c>
      <c r="L21">
        <v>6.7869669999999998</v>
      </c>
      <c r="M21">
        <f>F17</f>
        <v>6.4519900000000003</v>
      </c>
      <c r="N21">
        <v>7.3449999999999998</v>
      </c>
      <c r="O21">
        <f>D21/D17</f>
        <v>1.0042260961436873</v>
      </c>
      <c r="P21">
        <f>G21/G17</f>
        <v>1.0296536257164166</v>
      </c>
    </row>
    <row r="22" spans="1:16" x14ac:dyDescent="0.3">
      <c r="A22" t="s">
        <v>2</v>
      </c>
      <c r="B22">
        <v>1992.1</v>
      </c>
      <c r="C22">
        <v>14</v>
      </c>
      <c r="D22">
        <v>18.510000000000002</v>
      </c>
      <c r="E22">
        <v>184073</v>
      </c>
      <c r="F22">
        <v>7.1114560000000004</v>
      </c>
      <c r="G22">
        <v>138.666666666667</v>
      </c>
      <c r="H22">
        <v>7.3069354838709701</v>
      </c>
      <c r="L22">
        <v>7.1114560000000004</v>
      </c>
      <c r="M22">
        <f>F18</f>
        <v>6.6095579999999998</v>
      </c>
      <c r="N22">
        <v>7.3069354838709701</v>
      </c>
      <c r="O22">
        <f>D22/D18</f>
        <v>0.98196286472148542</v>
      </c>
      <c r="P22">
        <f>G22/G18</f>
        <v>1.0289389067524115</v>
      </c>
    </row>
    <row r="23" spans="1:16" x14ac:dyDescent="0.3">
      <c r="A23" t="s">
        <v>2</v>
      </c>
      <c r="B23">
        <v>1992.2</v>
      </c>
      <c r="C23">
        <v>1283</v>
      </c>
      <c r="D23">
        <v>18.02</v>
      </c>
      <c r="E23">
        <v>185356</v>
      </c>
      <c r="F23">
        <v>7.5649160000000002</v>
      </c>
      <c r="G23">
        <v>139.73333333333301</v>
      </c>
      <c r="H23">
        <v>7.3760317460317504</v>
      </c>
      <c r="L23">
        <v>7.5649160000000002</v>
      </c>
      <c r="M23">
        <f>F19</f>
        <v>6.5748550000000003</v>
      </c>
      <c r="N23">
        <v>7.3760317460317504</v>
      </c>
      <c r="O23">
        <f>D23/D19</f>
        <v>0.96004262120404904</v>
      </c>
      <c r="P23">
        <f>G23/G19</f>
        <v>1.0307351856405162</v>
      </c>
    </row>
    <row r="24" spans="1:16" x14ac:dyDescent="0.3">
      <c r="A24" t="s">
        <v>2</v>
      </c>
      <c r="B24">
        <v>1992.3</v>
      </c>
      <c r="C24">
        <v>1553</v>
      </c>
      <c r="D24">
        <v>17.899999999999999</v>
      </c>
      <c r="E24">
        <v>186909</v>
      </c>
      <c r="F24">
        <v>7.9517340000000001</v>
      </c>
      <c r="G24">
        <v>140.80000000000001</v>
      </c>
      <c r="H24">
        <v>6.6187500000000004</v>
      </c>
      <c r="L24">
        <v>7.9517340000000001</v>
      </c>
      <c r="M24">
        <f>F20</f>
        <v>6.7027780000000003</v>
      </c>
      <c r="N24">
        <v>6.6187500000000004</v>
      </c>
      <c r="O24">
        <f>D24/D20</f>
        <v>0.94759131815775532</v>
      </c>
      <c r="P24">
        <f>G24/G20</f>
        <v>1.0307467057101025</v>
      </c>
    </row>
    <row r="25" spans="1:16" x14ac:dyDescent="0.3">
      <c r="A25" t="s">
        <v>2</v>
      </c>
      <c r="B25">
        <v>1992.4</v>
      </c>
      <c r="C25">
        <v>1130</v>
      </c>
      <c r="D25">
        <v>17.78</v>
      </c>
      <c r="E25">
        <v>188039</v>
      </c>
      <c r="F25">
        <v>7.881786</v>
      </c>
      <c r="G25">
        <v>142.03333333333299</v>
      </c>
      <c r="H25">
        <v>6.7403225806451603</v>
      </c>
      <c r="L25">
        <v>7.881786</v>
      </c>
      <c r="M25">
        <f>F21</f>
        <v>6.7869669999999998</v>
      </c>
      <c r="N25">
        <v>6.7403225806451603</v>
      </c>
      <c r="O25">
        <f>D25/D21</f>
        <v>0.93529721199368754</v>
      </c>
      <c r="P25">
        <f>G25/G21</f>
        <v>1.0312197483059051</v>
      </c>
    </row>
    <row r="26" spans="1:16" x14ac:dyDescent="0.3">
      <c r="A26" t="s">
        <v>2</v>
      </c>
      <c r="B26">
        <v>1993.1</v>
      </c>
      <c r="C26">
        <v>300</v>
      </c>
      <c r="D26">
        <v>17.62</v>
      </c>
      <c r="E26">
        <v>188339</v>
      </c>
      <c r="F26">
        <v>7.7983070000000003</v>
      </c>
      <c r="G26">
        <v>143.066666666667</v>
      </c>
      <c r="H26">
        <v>6.25819672131147</v>
      </c>
      <c r="L26">
        <v>7.7983070000000003</v>
      </c>
      <c r="M26">
        <f>F22</f>
        <v>7.1114560000000004</v>
      </c>
      <c r="N26">
        <v>6.25819672131147</v>
      </c>
      <c r="O26">
        <f>D26/D22</f>
        <v>0.95191788222582385</v>
      </c>
      <c r="P26">
        <f>G26/G22</f>
        <v>1.0317307692307691</v>
      </c>
    </row>
    <row r="27" spans="1:16" x14ac:dyDescent="0.3">
      <c r="A27" t="s">
        <v>2</v>
      </c>
      <c r="B27">
        <v>1993.2</v>
      </c>
      <c r="C27">
        <v>68</v>
      </c>
      <c r="D27">
        <v>17.46</v>
      </c>
      <c r="E27">
        <v>188407</v>
      </c>
      <c r="F27">
        <v>7.8109019999999996</v>
      </c>
      <c r="G27">
        <v>144.1</v>
      </c>
      <c r="H27">
        <v>5.9880952380952399</v>
      </c>
      <c r="L27">
        <v>7.8109019999999996</v>
      </c>
      <c r="M27">
        <f>F23</f>
        <v>7.5649160000000002</v>
      </c>
      <c r="N27">
        <v>5.9880952380952399</v>
      </c>
      <c r="O27">
        <f>D27/D23</f>
        <v>0.96892341842397345</v>
      </c>
      <c r="P27">
        <f>G27/G23</f>
        <v>1.0312500000000024</v>
      </c>
    </row>
    <row r="28" spans="1:16" x14ac:dyDescent="0.3">
      <c r="A28" t="s">
        <v>2</v>
      </c>
      <c r="B28">
        <v>1993.3</v>
      </c>
      <c r="C28">
        <v>88</v>
      </c>
      <c r="D28">
        <v>17.37</v>
      </c>
      <c r="E28">
        <v>188495</v>
      </c>
      <c r="F28">
        <v>7.6571059999999997</v>
      </c>
      <c r="G28">
        <v>144.76666666666699</v>
      </c>
      <c r="H28">
        <v>5.6153124999999999</v>
      </c>
      <c r="L28">
        <v>7.6571059999999997</v>
      </c>
      <c r="M28">
        <f>F24</f>
        <v>7.9517340000000001</v>
      </c>
      <c r="N28">
        <v>5.6153124999999999</v>
      </c>
      <c r="O28">
        <f>D28/D24</f>
        <v>0.97039106145251408</v>
      </c>
      <c r="P28">
        <f>G28/G24</f>
        <v>1.0281723484848506</v>
      </c>
    </row>
    <row r="29" spans="1:16" x14ac:dyDescent="0.3">
      <c r="A29" t="s">
        <v>2</v>
      </c>
      <c r="B29">
        <v>1993.4</v>
      </c>
      <c r="C29">
        <v>189</v>
      </c>
      <c r="D29">
        <v>17.28</v>
      </c>
      <c r="E29">
        <v>188684</v>
      </c>
      <c r="F29">
        <v>7.77522</v>
      </c>
      <c r="G29">
        <v>145.96666666666701</v>
      </c>
      <c r="H29">
        <v>5.6159677419354797</v>
      </c>
      <c r="L29">
        <v>7.77522</v>
      </c>
      <c r="M29">
        <f>F25</f>
        <v>7.881786</v>
      </c>
      <c r="N29">
        <v>5.6159677419354797</v>
      </c>
      <c r="O29">
        <f>D29/D25</f>
        <v>0.97187851518560175</v>
      </c>
      <c r="P29">
        <f>G29/G25</f>
        <v>1.0276930298052149</v>
      </c>
    </row>
    <row r="30" spans="1:16" x14ac:dyDescent="0.3">
      <c r="A30" t="s">
        <v>2</v>
      </c>
      <c r="B30">
        <v>1994.1</v>
      </c>
      <c r="C30">
        <v>78</v>
      </c>
      <c r="D30">
        <v>17.79</v>
      </c>
      <c r="E30">
        <v>188762</v>
      </c>
      <c r="F30">
        <v>7.9564849999999998</v>
      </c>
      <c r="G30">
        <v>146.69999999999999</v>
      </c>
      <c r="H30">
        <v>6.09032258064516</v>
      </c>
      <c r="L30">
        <v>7.9564849999999998</v>
      </c>
      <c r="M30">
        <f>F26</f>
        <v>7.7983070000000003</v>
      </c>
      <c r="N30">
        <v>6.09032258064516</v>
      </c>
      <c r="O30">
        <f>D30/D26</f>
        <v>1.0096481271282631</v>
      </c>
      <c r="P30">
        <f>G30/G26</f>
        <v>1.0253960857409108</v>
      </c>
    </row>
    <row r="31" spans="1:16" x14ac:dyDescent="0.3">
      <c r="A31" t="s">
        <v>2</v>
      </c>
      <c r="B31">
        <v>1994.2</v>
      </c>
      <c r="C31">
        <v>12</v>
      </c>
      <c r="D31">
        <v>18.32</v>
      </c>
      <c r="E31">
        <v>188774</v>
      </c>
      <c r="F31">
        <v>8.6389519999999997</v>
      </c>
      <c r="G31">
        <v>147.53333333333299</v>
      </c>
      <c r="H31">
        <v>7.0895161290322601</v>
      </c>
      <c r="L31">
        <v>8.6389519999999997</v>
      </c>
      <c r="M31">
        <f>F27</f>
        <v>7.8109019999999996</v>
      </c>
      <c r="N31">
        <v>7.0895161290322601</v>
      </c>
      <c r="O31">
        <f>D31/D27</f>
        <v>1.0492554410080184</v>
      </c>
      <c r="P31">
        <f>G31/G27</f>
        <v>1.0238260467268077</v>
      </c>
    </row>
    <row r="32" spans="1:16" x14ac:dyDescent="0.3">
      <c r="A32" t="s">
        <v>2</v>
      </c>
      <c r="B32">
        <v>1994.3</v>
      </c>
      <c r="C32">
        <v>34</v>
      </c>
      <c r="D32">
        <v>18.46</v>
      </c>
      <c r="E32">
        <v>188808</v>
      </c>
      <c r="F32">
        <v>9.2380849999999999</v>
      </c>
      <c r="G32">
        <v>148.9</v>
      </c>
      <c r="H32">
        <v>7.3279687500000001</v>
      </c>
      <c r="L32">
        <v>9.2380849999999999</v>
      </c>
      <c r="M32">
        <f>F28</f>
        <v>7.6571059999999997</v>
      </c>
      <c r="N32">
        <v>7.3279687500000001</v>
      </c>
      <c r="O32">
        <f>D32/D28</f>
        <v>1.0627518710420265</v>
      </c>
      <c r="P32">
        <f>G32/G28</f>
        <v>1.0285516923785378</v>
      </c>
    </row>
    <row r="33" spans="1:16" x14ac:dyDescent="0.3">
      <c r="A33" t="s">
        <v>2</v>
      </c>
      <c r="B33">
        <v>1994.4</v>
      </c>
      <c r="C33">
        <v>42</v>
      </c>
      <c r="D33">
        <v>18.61</v>
      </c>
      <c r="E33">
        <v>188850</v>
      </c>
      <c r="F33">
        <v>9.5470129999999997</v>
      </c>
      <c r="G33">
        <v>149.76666666666699</v>
      </c>
      <c r="H33">
        <v>7.8372131147540998</v>
      </c>
      <c r="L33">
        <v>9.5470129999999997</v>
      </c>
      <c r="M33">
        <f>F29</f>
        <v>7.77522</v>
      </c>
      <c r="N33">
        <v>7.8372131147540998</v>
      </c>
      <c r="O33">
        <f>D33/D29</f>
        <v>1.0769675925925926</v>
      </c>
      <c r="P33">
        <f>G33/G29</f>
        <v>1.0260333409454212</v>
      </c>
    </row>
    <row r="34" spans="1:16" x14ac:dyDescent="0.3">
      <c r="A34" t="s">
        <v>2</v>
      </c>
      <c r="B34">
        <v>1995.1</v>
      </c>
      <c r="C34">
        <v>163</v>
      </c>
      <c r="D34">
        <v>18.82</v>
      </c>
      <c r="E34">
        <v>189013</v>
      </c>
      <c r="F34">
        <v>9.9432130000000001</v>
      </c>
      <c r="G34">
        <v>150.86666666666699</v>
      </c>
      <c r="H34">
        <v>7.47129032258065</v>
      </c>
      <c r="L34">
        <v>9.9432130000000001</v>
      </c>
      <c r="M34">
        <f>F30</f>
        <v>7.9564849999999998</v>
      </c>
      <c r="N34">
        <v>7.47129032258065</v>
      </c>
      <c r="O34">
        <f>D34/D30</f>
        <v>1.0578976953344577</v>
      </c>
      <c r="P34">
        <f>G34/G30</f>
        <v>1.0284026357646012</v>
      </c>
    </row>
    <row r="35" spans="1:16" x14ac:dyDescent="0.3">
      <c r="A35" t="s">
        <v>2</v>
      </c>
      <c r="B35">
        <v>1995.2</v>
      </c>
      <c r="C35">
        <v>126</v>
      </c>
      <c r="D35">
        <v>19.03</v>
      </c>
      <c r="E35">
        <v>189139</v>
      </c>
      <c r="F35">
        <v>9.6107790000000008</v>
      </c>
      <c r="G35">
        <v>152.1</v>
      </c>
      <c r="H35">
        <v>6.6001587301587303</v>
      </c>
      <c r="L35">
        <v>9.6107790000000008</v>
      </c>
      <c r="M35">
        <f>F31</f>
        <v>8.6389519999999997</v>
      </c>
      <c r="N35">
        <v>6.6001587301587303</v>
      </c>
      <c r="O35">
        <f>D35/D31</f>
        <v>1.0387554585152838</v>
      </c>
      <c r="P35">
        <f>G35/G31</f>
        <v>1.0309534568459129</v>
      </c>
    </row>
    <row r="36" spans="1:16" x14ac:dyDescent="0.3">
      <c r="A36" t="s">
        <v>2</v>
      </c>
      <c r="B36">
        <v>1995.3</v>
      </c>
      <c r="C36">
        <v>94</v>
      </c>
      <c r="D36">
        <v>19.7</v>
      </c>
      <c r="E36">
        <v>189233</v>
      </c>
      <c r="F36">
        <v>9.1180869999999992</v>
      </c>
      <c r="G36">
        <v>152.86666666666699</v>
      </c>
      <c r="H36">
        <v>6.3292063492063502</v>
      </c>
      <c r="L36">
        <v>9.1180869999999992</v>
      </c>
      <c r="M36">
        <f>F32</f>
        <v>9.2380849999999999</v>
      </c>
      <c r="N36">
        <v>6.3292063492063502</v>
      </c>
      <c r="O36">
        <f>D36/D32</f>
        <v>1.0671722643553629</v>
      </c>
      <c r="P36">
        <f>G36/G32</f>
        <v>1.0266398029997783</v>
      </c>
    </row>
    <row r="37" spans="1:16" x14ac:dyDescent="0.3">
      <c r="A37" t="s">
        <v>2</v>
      </c>
      <c r="B37">
        <v>1995.4</v>
      </c>
      <c r="C37">
        <v>17</v>
      </c>
      <c r="D37">
        <v>20.39</v>
      </c>
      <c r="E37">
        <v>189250</v>
      </c>
      <c r="F37">
        <v>8.8244690000000006</v>
      </c>
      <c r="G37">
        <v>153.69999999999999</v>
      </c>
      <c r="H37">
        <v>5.8985483870967697</v>
      </c>
      <c r="L37">
        <v>8.8244690000000006</v>
      </c>
      <c r="M37">
        <f>F33</f>
        <v>9.5470129999999997</v>
      </c>
      <c r="N37">
        <v>5.8985483870967697</v>
      </c>
      <c r="O37">
        <f>D37/D33</f>
        <v>1.0956475013433637</v>
      </c>
      <c r="P37">
        <f>G37/G33</f>
        <v>1.0262630758958358</v>
      </c>
    </row>
    <row r="38" spans="1:16" x14ac:dyDescent="0.3">
      <c r="A38" t="s">
        <v>2</v>
      </c>
      <c r="B38">
        <v>1996.1</v>
      </c>
      <c r="C38">
        <v>482</v>
      </c>
      <c r="D38">
        <v>20.41</v>
      </c>
      <c r="E38">
        <v>189732</v>
      </c>
      <c r="F38">
        <v>8.5774740000000005</v>
      </c>
      <c r="G38">
        <v>155.066666666667</v>
      </c>
      <c r="H38">
        <v>5.9104838709677399</v>
      </c>
      <c r="L38">
        <v>8.5774740000000005</v>
      </c>
      <c r="M38">
        <f>F34</f>
        <v>9.9432130000000001</v>
      </c>
      <c r="N38">
        <v>5.9104838709677399</v>
      </c>
      <c r="O38">
        <f>D38/D34</f>
        <v>1.0844845908607863</v>
      </c>
      <c r="P38">
        <f>G38/G34</f>
        <v>1.0278391515687142</v>
      </c>
    </row>
    <row r="39" spans="1:16" x14ac:dyDescent="0.3">
      <c r="A39" t="s">
        <v>2</v>
      </c>
      <c r="B39">
        <v>1996.2</v>
      </c>
      <c r="C39">
        <v>54</v>
      </c>
      <c r="D39">
        <v>20.43</v>
      </c>
      <c r="E39">
        <v>189786</v>
      </c>
      <c r="F39">
        <v>8.6668509999999994</v>
      </c>
      <c r="G39">
        <v>156.4</v>
      </c>
      <c r="H39">
        <v>6.7140624999999998</v>
      </c>
      <c r="L39">
        <v>8.6668509999999994</v>
      </c>
      <c r="M39">
        <f>F35</f>
        <v>9.6107790000000008</v>
      </c>
      <c r="N39">
        <v>6.7140624999999998</v>
      </c>
      <c r="O39">
        <f>D39/D35</f>
        <v>1.0735680504466631</v>
      </c>
      <c r="P39">
        <f>G39/G35</f>
        <v>1.0282708744247206</v>
      </c>
    </row>
    <row r="40" spans="1:16" x14ac:dyDescent="0.3">
      <c r="A40" t="s">
        <v>2</v>
      </c>
      <c r="B40">
        <v>1996.3</v>
      </c>
      <c r="C40">
        <v>122</v>
      </c>
      <c r="D40">
        <v>20.69</v>
      </c>
      <c r="E40">
        <v>189908</v>
      </c>
      <c r="F40">
        <v>8.6406480000000006</v>
      </c>
      <c r="G40">
        <v>157.30000000000001</v>
      </c>
      <c r="H40">
        <v>6.7759375000000004</v>
      </c>
      <c r="L40">
        <v>8.6406480000000006</v>
      </c>
      <c r="M40">
        <f>F36</f>
        <v>9.1180869999999992</v>
      </c>
      <c r="N40">
        <v>6.7759375000000004</v>
      </c>
      <c r="O40">
        <f>D40/D36</f>
        <v>1.050253807106599</v>
      </c>
      <c r="P40">
        <f>G40/G36</f>
        <v>1.0290013083296969</v>
      </c>
    </row>
    <row r="41" spans="1:16" x14ac:dyDescent="0.3">
      <c r="A41" t="s">
        <v>2</v>
      </c>
      <c r="B41">
        <v>1996.4</v>
      </c>
      <c r="C41">
        <v>119</v>
      </c>
      <c r="D41">
        <v>20.94</v>
      </c>
      <c r="E41">
        <v>190027</v>
      </c>
      <c r="F41">
        <v>8.3234709999999996</v>
      </c>
      <c r="G41">
        <v>158.666666666667</v>
      </c>
      <c r="H41">
        <v>6.3541935483870997</v>
      </c>
      <c r="L41">
        <v>8.3234709999999996</v>
      </c>
      <c r="M41">
        <f>F37</f>
        <v>8.8244690000000006</v>
      </c>
      <c r="N41">
        <v>6.3541935483870997</v>
      </c>
      <c r="O41">
        <f>D41/D37</f>
        <v>1.0269740068661108</v>
      </c>
      <c r="P41">
        <f>G41/G37</f>
        <v>1.0323140316634158</v>
      </c>
    </row>
    <row r="42" spans="1:16" x14ac:dyDescent="0.3">
      <c r="A42" t="s">
        <v>2</v>
      </c>
      <c r="B42">
        <v>1997.1</v>
      </c>
      <c r="C42">
        <v>466</v>
      </c>
      <c r="D42">
        <v>21.64</v>
      </c>
      <c r="E42">
        <v>190493</v>
      </c>
      <c r="F42">
        <v>7.975549</v>
      </c>
      <c r="G42">
        <v>159.63333333333301</v>
      </c>
      <c r="H42">
        <v>6.5670000000000002</v>
      </c>
      <c r="L42">
        <v>7.975549</v>
      </c>
      <c r="M42">
        <f>F38</f>
        <v>8.5774740000000005</v>
      </c>
      <c r="N42">
        <v>6.5670000000000002</v>
      </c>
      <c r="O42">
        <f>D42/D38</f>
        <v>1.0602645761881431</v>
      </c>
      <c r="P42">
        <f>G42/G38</f>
        <v>1.0294496990541659</v>
      </c>
    </row>
    <row r="43" spans="1:16" x14ac:dyDescent="0.3">
      <c r="A43" t="s">
        <v>2</v>
      </c>
      <c r="B43">
        <v>1997.2</v>
      </c>
      <c r="C43">
        <v>199</v>
      </c>
      <c r="D43">
        <v>22.36</v>
      </c>
      <c r="E43">
        <v>190692</v>
      </c>
      <c r="F43">
        <v>7.5934229999999996</v>
      </c>
      <c r="G43">
        <v>160</v>
      </c>
      <c r="H43">
        <v>6.6996874999999996</v>
      </c>
      <c r="L43">
        <v>7.5934229999999996</v>
      </c>
      <c r="M43">
        <f>F39</f>
        <v>8.6668509999999994</v>
      </c>
      <c r="N43">
        <v>6.6996874999999996</v>
      </c>
      <c r="O43">
        <f>D43/D39</f>
        <v>1.0944689182574645</v>
      </c>
      <c r="P43">
        <f>G43/G39</f>
        <v>1.0230179028132993</v>
      </c>
    </row>
    <row r="44" spans="1:16" x14ac:dyDescent="0.3">
      <c r="A44" t="s">
        <v>2</v>
      </c>
      <c r="B44">
        <v>1997.3</v>
      </c>
      <c r="C44">
        <v>0</v>
      </c>
      <c r="D44">
        <v>22.24</v>
      </c>
      <c r="E44">
        <v>190692</v>
      </c>
      <c r="F44">
        <v>7.872433</v>
      </c>
      <c r="G44">
        <v>160.80000000000001</v>
      </c>
      <c r="H44">
        <v>6.2421875</v>
      </c>
      <c r="L44">
        <v>7.872433</v>
      </c>
      <c r="M44">
        <f>F40</f>
        <v>8.6406480000000006</v>
      </c>
      <c r="N44">
        <v>6.2421875</v>
      </c>
      <c r="O44">
        <f>D44/D40</f>
        <v>1.0749154180763651</v>
      </c>
      <c r="P44">
        <f>G44/G40</f>
        <v>1.0222504767959313</v>
      </c>
    </row>
    <row r="45" spans="1:16" x14ac:dyDescent="0.3">
      <c r="A45" t="s">
        <v>2</v>
      </c>
      <c r="B45">
        <v>1997.4</v>
      </c>
      <c r="C45">
        <v>386</v>
      </c>
      <c r="D45">
        <v>22.13</v>
      </c>
      <c r="E45">
        <v>191078</v>
      </c>
      <c r="F45">
        <v>8.0673259999999996</v>
      </c>
      <c r="G45">
        <v>161.666666666667</v>
      </c>
      <c r="H45">
        <v>5.9062903225806496</v>
      </c>
      <c r="L45">
        <v>8.0673259999999996</v>
      </c>
      <c r="M45">
        <f>F41</f>
        <v>8.3234709999999996</v>
      </c>
      <c r="N45">
        <v>5.9062903225806496</v>
      </c>
      <c r="O45">
        <f>D45/D41</f>
        <v>1.0568290353390639</v>
      </c>
      <c r="P45">
        <f>G45/G41</f>
        <v>1.01890756302521</v>
      </c>
    </row>
    <row r="46" spans="1:16" x14ac:dyDescent="0.3">
      <c r="A46" t="s">
        <v>2</v>
      </c>
      <c r="B46">
        <v>1998.1</v>
      </c>
      <c r="C46">
        <v>201</v>
      </c>
      <c r="D46">
        <v>22.86</v>
      </c>
      <c r="E46">
        <v>191279</v>
      </c>
      <c r="F46">
        <v>8.2822659999999999</v>
      </c>
      <c r="G46">
        <v>162</v>
      </c>
      <c r="H46">
        <v>5.5909836065573799</v>
      </c>
      <c r="L46">
        <v>8.2822659999999999</v>
      </c>
      <c r="M46">
        <f>F42</f>
        <v>7.975549</v>
      </c>
      <c r="N46">
        <v>5.5909836065573799</v>
      </c>
      <c r="O46">
        <f>D46/D42</f>
        <v>1.0563770794824399</v>
      </c>
      <c r="P46">
        <f>G46/G42</f>
        <v>1.0148256420964732</v>
      </c>
    </row>
    <row r="47" spans="1:16" x14ac:dyDescent="0.3">
      <c r="A47" t="s">
        <v>2</v>
      </c>
      <c r="B47">
        <v>1998.2</v>
      </c>
      <c r="C47">
        <v>607</v>
      </c>
      <c r="D47">
        <v>23.62</v>
      </c>
      <c r="E47">
        <v>191886</v>
      </c>
      <c r="F47">
        <v>8.2368729999999992</v>
      </c>
      <c r="G47">
        <v>162.53333333333299</v>
      </c>
      <c r="H47">
        <v>5.5930158730158697</v>
      </c>
      <c r="L47">
        <v>8.2368729999999992</v>
      </c>
      <c r="M47">
        <f>F43</f>
        <v>7.5934229999999996</v>
      </c>
      <c r="N47">
        <v>5.5930158730158697</v>
      </c>
      <c r="O47">
        <f>D47/D43</f>
        <v>1.056350626118068</v>
      </c>
      <c r="P47">
        <f>G47/G43</f>
        <v>1.0158333333333311</v>
      </c>
    </row>
    <row r="48" spans="1:16" x14ac:dyDescent="0.3">
      <c r="A48" t="s">
        <v>2</v>
      </c>
      <c r="B48">
        <v>1998.3</v>
      </c>
      <c r="C48">
        <v>1020</v>
      </c>
      <c r="D48">
        <v>24.21</v>
      </c>
      <c r="E48">
        <v>192906</v>
      </c>
      <c r="F48">
        <v>8.2150730000000003</v>
      </c>
      <c r="G48">
        <v>163.36666666666699</v>
      </c>
      <c r="H48">
        <v>5.2073437499999997</v>
      </c>
      <c r="L48">
        <v>8.2150730000000003</v>
      </c>
      <c r="M48">
        <f>F44</f>
        <v>7.872433</v>
      </c>
      <c r="N48">
        <v>5.2073437499999997</v>
      </c>
      <c r="O48">
        <f>D48/D44</f>
        <v>1.0885791366906477</v>
      </c>
      <c r="P48">
        <f>G48/G44</f>
        <v>1.0159618573797697</v>
      </c>
    </row>
    <row r="49" spans="1:16" x14ac:dyDescent="0.3">
      <c r="A49" t="s">
        <v>2</v>
      </c>
      <c r="B49">
        <v>1998.4</v>
      </c>
      <c r="C49">
        <v>332</v>
      </c>
      <c r="D49">
        <v>24.83</v>
      </c>
      <c r="E49">
        <v>193238</v>
      </c>
      <c r="F49">
        <v>8.3051569999999995</v>
      </c>
      <c r="G49">
        <v>164.13333333333301</v>
      </c>
      <c r="H49">
        <v>4.6619354838709697</v>
      </c>
      <c r="L49">
        <v>8.3051569999999995</v>
      </c>
      <c r="M49">
        <f>F45</f>
        <v>8.0673259999999996</v>
      </c>
      <c r="N49">
        <v>4.6619354838709697</v>
      </c>
      <c r="O49">
        <f>D49/D45</f>
        <v>1.1220063262539539</v>
      </c>
      <c r="P49">
        <f>G49/G45</f>
        <v>1.0152577319587588</v>
      </c>
    </row>
    <row r="50" spans="1:16" x14ac:dyDescent="0.3">
      <c r="A50" t="s">
        <v>2</v>
      </c>
      <c r="B50">
        <v>1999.1</v>
      </c>
      <c r="C50">
        <v>749</v>
      </c>
      <c r="D50">
        <v>25.06</v>
      </c>
      <c r="E50">
        <v>193987</v>
      </c>
      <c r="F50">
        <v>8.2079500000000003</v>
      </c>
      <c r="G50">
        <v>164.73333333333301</v>
      </c>
      <c r="H50">
        <v>5.0008196721311498</v>
      </c>
      <c r="L50">
        <v>8.2079500000000003</v>
      </c>
      <c r="M50">
        <f>F46</f>
        <v>8.2822659999999999</v>
      </c>
      <c r="N50">
        <v>5.0008196721311498</v>
      </c>
      <c r="O50">
        <f>D50/D46</f>
        <v>1.0962379702537182</v>
      </c>
      <c r="P50">
        <f>G50/G46</f>
        <v>1.0168724279835371</v>
      </c>
    </row>
    <row r="51" spans="1:16" x14ac:dyDescent="0.3">
      <c r="A51" t="s">
        <v>2</v>
      </c>
      <c r="B51">
        <v>1999.2</v>
      </c>
      <c r="C51">
        <v>192</v>
      </c>
      <c r="D51">
        <v>25.3</v>
      </c>
      <c r="E51">
        <v>194179</v>
      </c>
      <c r="F51">
        <v>8.4634219999999996</v>
      </c>
      <c r="G51">
        <v>165.96666666666701</v>
      </c>
      <c r="H51">
        <v>5.5412499999999998</v>
      </c>
      <c r="L51">
        <v>8.4634219999999996</v>
      </c>
      <c r="M51">
        <f>F47</f>
        <v>8.2368729999999992</v>
      </c>
      <c r="N51">
        <v>5.5412499999999998</v>
      </c>
      <c r="O51">
        <f>D51/D47</f>
        <v>1.0711261642675698</v>
      </c>
      <c r="P51">
        <f>G51/G47</f>
        <v>1.0211238720262552</v>
      </c>
    </row>
    <row r="52" spans="1:16" x14ac:dyDescent="0.3">
      <c r="A52" t="s">
        <v>2</v>
      </c>
      <c r="B52">
        <v>1999.3</v>
      </c>
      <c r="C52">
        <v>937</v>
      </c>
      <c r="D52">
        <v>25.63</v>
      </c>
      <c r="E52">
        <v>195116</v>
      </c>
      <c r="F52">
        <v>8.1771189999999994</v>
      </c>
      <c r="G52">
        <v>167.2</v>
      </c>
      <c r="H52">
        <v>5.8829687499999999</v>
      </c>
      <c r="L52">
        <v>8.1771189999999994</v>
      </c>
      <c r="M52">
        <f>F48</f>
        <v>8.2150730000000003</v>
      </c>
      <c r="N52">
        <v>5.8829687499999999</v>
      </c>
      <c r="O52">
        <f>D52/D48</f>
        <v>1.0586534489880215</v>
      </c>
      <c r="P52">
        <f>G52/G48</f>
        <v>1.023464599061414</v>
      </c>
    </row>
    <row r="53" spans="1:16" x14ac:dyDescent="0.3">
      <c r="A53" t="s">
        <v>2</v>
      </c>
      <c r="B53">
        <v>1999.4</v>
      </c>
      <c r="C53">
        <v>2021</v>
      </c>
      <c r="D53">
        <v>25.96</v>
      </c>
      <c r="E53">
        <v>197137</v>
      </c>
      <c r="F53">
        <v>8.2393470000000004</v>
      </c>
      <c r="G53">
        <v>168.433333333333</v>
      </c>
      <c r="H53">
        <v>6.14483870967742</v>
      </c>
      <c r="L53">
        <v>8.2393470000000004</v>
      </c>
      <c r="M53">
        <f>F49</f>
        <v>8.3051569999999995</v>
      </c>
      <c r="N53">
        <v>6.14483870967742</v>
      </c>
      <c r="O53">
        <f>D53/D49</f>
        <v>1.0455094643576319</v>
      </c>
      <c r="P53">
        <f>G53/G49</f>
        <v>1.0261982128350933</v>
      </c>
    </row>
    <row r="54" spans="1:16" x14ac:dyDescent="0.3">
      <c r="A54" t="s">
        <v>2</v>
      </c>
      <c r="B54">
        <v>2000.1</v>
      </c>
      <c r="C54">
        <v>2340</v>
      </c>
      <c r="D54">
        <v>26.22</v>
      </c>
      <c r="E54">
        <v>199477</v>
      </c>
      <c r="F54">
        <v>8.0590840000000004</v>
      </c>
      <c r="G54">
        <v>170.1</v>
      </c>
      <c r="H54">
        <v>6.4684126984126999</v>
      </c>
      <c r="L54">
        <v>8.0590840000000004</v>
      </c>
      <c r="M54">
        <f>F50</f>
        <v>8.2079500000000003</v>
      </c>
      <c r="N54">
        <v>6.4684126984126999</v>
      </c>
      <c r="O54">
        <f>D54/D50</f>
        <v>1.0462889066241021</v>
      </c>
      <c r="P54">
        <f>G54/G50</f>
        <v>1.0325779036827216</v>
      </c>
    </row>
    <row r="55" spans="1:16" x14ac:dyDescent="0.3">
      <c r="A55" t="s">
        <v>2</v>
      </c>
      <c r="B55">
        <v>2000.2</v>
      </c>
      <c r="C55">
        <v>745</v>
      </c>
      <c r="D55">
        <v>26.48</v>
      </c>
      <c r="E55">
        <v>200222</v>
      </c>
      <c r="F55">
        <v>7.7638509999999998</v>
      </c>
      <c r="G55">
        <v>171.433333333333</v>
      </c>
      <c r="H55">
        <v>6.1849206349206298</v>
      </c>
      <c r="L55">
        <v>7.7638509999999998</v>
      </c>
      <c r="M55">
        <f>F51</f>
        <v>8.4634219999999996</v>
      </c>
      <c r="N55">
        <v>6.1849206349206298</v>
      </c>
      <c r="O55">
        <f>D55/D51</f>
        <v>1.0466403162055335</v>
      </c>
      <c r="P55">
        <f>G55/G51</f>
        <v>1.0329383410323316</v>
      </c>
    </row>
    <row r="56" spans="1:16" x14ac:dyDescent="0.3">
      <c r="A56" t="s">
        <v>2</v>
      </c>
      <c r="B56">
        <v>2000.3</v>
      </c>
      <c r="C56">
        <v>3056</v>
      </c>
      <c r="D56">
        <v>26.86</v>
      </c>
      <c r="E56">
        <v>203278</v>
      </c>
      <c r="F56">
        <v>7.948296</v>
      </c>
      <c r="G56">
        <v>173</v>
      </c>
      <c r="H56">
        <v>5.8898412698412699</v>
      </c>
      <c r="L56">
        <v>7.948296</v>
      </c>
      <c r="M56">
        <f>F52</f>
        <v>8.1771189999999994</v>
      </c>
      <c r="N56">
        <v>5.8898412698412699</v>
      </c>
      <c r="O56">
        <f>D56/D52</f>
        <v>1.0479906359734685</v>
      </c>
      <c r="P56">
        <f>G56/G52</f>
        <v>1.0346889952153111</v>
      </c>
    </row>
    <row r="57" spans="1:16" x14ac:dyDescent="0.3">
      <c r="A57" t="s">
        <v>2</v>
      </c>
      <c r="B57">
        <v>2000.4</v>
      </c>
      <c r="C57">
        <v>671</v>
      </c>
      <c r="D57">
        <v>27.24</v>
      </c>
      <c r="E57">
        <v>203949</v>
      </c>
      <c r="F57">
        <v>7.7658649999999998</v>
      </c>
      <c r="G57">
        <v>174.23333333333301</v>
      </c>
      <c r="H57">
        <v>5.5706451612903196</v>
      </c>
      <c r="L57">
        <v>7.7658649999999998</v>
      </c>
      <c r="M57">
        <f>F53</f>
        <v>8.2393470000000004</v>
      </c>
      <c r="N57">
        <v>5.5706451612903196</v>
      </c>
      <c r="O57">
        <f>D57/D53</f>
        <v>1.0493066255778118</v>
      </c>
      <c r="P57">
        <f>G57/G53</f>
        <v>1.0344349891153772</v>
      </c>
    </row>
    <row r="58" spans="1:16" x14ac:dyDescent="0.3">
      <c r="A58" t="s">
        <v>2</v>
      </c>
      <c r="B58">
        <v>2001.1</v>
      </c>
      <c r="C58">
        <v>861</v>
      </c>
      <c r="D58">
        <v>27.91</v>
      </c>
      <c r="E58">
        <v>204810</v>
      </c>
      <c r="F58">
        <v>7.9402910000000002</v>
      </c>
      <c r="G58">
        <v>175.9</v>
      </c>
      <c r="H58">
        <v>5.0441935483871001</v>
      </c>
      <c r="L58">
        <v>7.9402910000000002</v>
      </c>
      <c r="M58">
        <f>F54</f>
        <v>8.0590840000000004</v>
      </c>
      <c r="N58">
        <v>5.0441935483871001</v>
      </c>
      <c r="O58">
        <f>D58/D54</f>
        <v>1.0644546147978642</v>
      </c>
      <c r="P58">
        <f>G58/G54</f>
        <v>1.0340975896531452</v>
      </c>
    </row>
    <row r="59" spans="1:16" x14ac:dyDescent="0.3">
      <c r="A59" t="s">
        <v>2</v>
      </c>
      <c r="B59">
        <v>2001.2</v>
      </c>
      <c r="C59">
        <v>1173</v>
      </c>
      <c r="D59">
        <v>28.59</v>
      </c>
      <c r="E59">
        <v>205983</v>
      </c>
      <c r="F59">
        <v>8.2887120000000003</v>
      </c>
      <c r="G59">
        <v>177.13333333333301</v>
      </c>
      <c r="H59">
        <v>5.2761904761904797</v>
      </c>
      <c r="L59">
        <v>8.2887120000000003</v>
      </c>
      <c r="M59">
        <f>F55</f>
        <v>7.7638509999999998</v>
      </c>
      <c r="N59">
        <v>5.2761904761904797</v>
      </c>
      <c r="O59">
        <f>D59/D55</f>
        <v>1.0796827794561934</v>
      </c>
      <c r="P59">
        <f>G59/G55</f>
        <v>1.0332490764145441</v>
      </c>
    </row>
    <row r="60" spans="1:16" x14ac:dyDescent="0.3">
      <c r="A60" t="s">
        <v>2</v>
      </c>
      <c r="B60">
        <v>2001.3</v>
      </c>
      <c r="C60">
        <v>3770</v>
      </c>
      <c r="D60">
        <v>28.06</v>
      </c>
      <c r="E60">
        <v>209753</v>
      </c>
      <c r="F60">
        <v>8.3312939999999998</v>
      </c>
      <c r="G60">
        <v>177.63333333333301</v>
      </c>
      <c r="H60">
        <v>4.9957377049180298</v>
      </c>
      <c r="L60">
        <v>8.3312939999999998</v>
      </c>
      <c r="M60">
        <f>F56</f>
        <v>7.948296</v>
      </c>
      <c r="N60">
        <v>4.9957377049180298</v>
      </c>
      <c r="O60">
        <f>D60/D56</f>
        <v>1.0446760982874161</v>
      </c>
      <c r="P60">
        <f>G60/G56</f>
        <v>1.0267822736030809</v>
      </c>
    </row>
    <row r="61" spans="1:16" x14ac:dyDescent="0.3">
      <c r="A61" t="s">
        <v>2</v>
      </c>
      <c r="B61">
        <v>2001.4</v>
      </c>
      <c r="C61">
        <v>759</v>
      </c>
      <c r="D61">
        <v>27.57</v>
      </c>
      <c r="E61">
        <v>210512</v>
      </c>
      <c r="F61">
        <v>8.6097760000000001</v>
      </c>
      <c r="G61">
        <v>177.5</v>
      </c>
      <c r="H61">
        <v>4.7620967741935498</v>
      </c>
      <c r="L61">
        <v>8.6097760000000001</v>
      </c>
      <c r="M61">
        <f>F57</f>
        <v>7.7658649999999998</v>
      </c>
      <c r="N61">
        <v>4.7620967741935498</v>
      </c>
      <c r="O61">
        <f>D61/D57</f>
        <v>1.0121145374449341</v>
      </c>
      <c r="P61">
        <f>G61/G57</f>
        <v>1.0187488042854429</v>
      </c>
    </row>
    <row r="62" spans="1:16" x14ac:dyDescent="0.3">
      <c r="A62" t="s">
        <v>2</v>
      </c>
      <c r="B62">
        <v>2002.1</v>
      </c>
      <c r="C62">
        <v>1190</v>
      </c>
      <c r="D62">
        <v>25.91</v>
      </c>
      <c r="E62">
        <v>211702</v>
      </c>
      <c r="F62">
        <v>8.8047609999999992</v>
      </c>
      <c r="G62">
        <v>178.066666666667</v>
      </c>
      <c r="H62">
        <v>5.0791666666666702</v>
      </c>
      <c r="L62">
        <v>8.8047609999999992</v>
      </c>
      <c r="M62">
        <f>F58</f>
        <v>7.9402910000000002</v>
      </c>
      <c r="N62">
        <v>5.0791666666666702</v>
      </c>
      <c r="O62">
        <f>D62/D58</f>
        <v>0.92834109638122542</v>
      </c>
      <c r="P62">
        <f>G62/G58</f>
        <v>1.0123176046996418</v>
      </c>
    </row>
    <row r="63" spans="1:16" x14ac:dyDescent="0.3">
      <c r="A63" t="s">
        <v>2</v>
      </c>
      <c r="B63">
        <v>2002.2</v>
      </c>
      <c r="C63">
        <v>164</v>
      </c>
      <c r="D63">
        <v>25.38</v>
      </c>
      <c r="E63">
        <v>211866</v>
      </c>
      <c r="F63">
        <v>8.8738510000000002</v>
      </c>
      <c r="G63">
        <v>179.46666666666701</v>
      </c>
      <c r="H63">
        <v>5.1060937500000003</v>
      </c>
      <c r="L63">
        <v>8.8738510000000002</v>
      </c>
      <c r="M63">
        <f>F59</f>
        <v>8.2887120000000003</v>
      </c>
      <c r="N63">
        <v>5.1060937500000003</v>
      </c>
      <c r="O63">
        <f>D63/D59</f>
        <v>0.88772298006295902</v>
      </c>
      <c r="P63">
        <f>G63/G59</f>
        <v>1.0131727512231878</v>
      </c>
    </row>
    <row r="64" spans="1:16" x14ac:dyDescent="0.3">
      <c r="A64" t="s">
        <v>2</v>
      </c>
      <c r="B64">
        <v>2002.3</v>
      </c>
      <c r="C64">
        <v>2491</v>
      </c>
      <c r="D64">
        <v>24.85</v>
      </c>
      <c r="E64">
        <v>214357</v>
      </c>
      <c r="F64">
        <v>8.955762</v>
      </c>
      <c r="G64">
        <v>180.433333333333</v>
      </c>
      <c r="H64">
        <v>4.2723437500000001</v>
      </c>
      <c r="L64">
        <v>8.955762</v>
      </c>
      <c r="M64">
        <f>F60</f>
        <v>8.3312939999999998</v>
      </c>
      <c r="N64">
        <v>4.2723437500000001</v>
      </c>
      <c r="O64">
        <f>D64/D60</f>
        <v>0.88560228082679981</v>
      </c>
      <c r="P64">
        <f>G64/G60</f>
        <v>1.0157628072809157</v>
      </c>
    </row>
    <row r="65" spans="1:16" x14ac:dyDescent="0.3">
      <c r="A65" t="s">
        <v>2</v>
      </c>
      <c r="B65">
        <v>2002.4</v>
      </c>
      <c r="C65">
        <v>117</v>
      </c>
      <c r="D65">
        <v>24.34</v>
      </c>
      <c r="E65">
        <v>214474</v>
      </c>
      <c r="F65">
        <v>8.5874710000000007</v>
      </c>
      <c r="G65">
        <v>181.5</v>
      </c>
      <c r="H65">
        <v>4.0048387096774203</v>
      </c>
      <c r="L65">
        <v>8.5874710000000007</v>
      </c>
      <c r="M65">
        <f>F61</f>
        <v>8.6097760000000001</v>
      </c>
      <c r="N65">
        <v>4.0048387096774203</v>
      </c>
      <c r="O65">
        <f>D65/D61</f>
        <v>0.8828436706565107</v>
      </c>
      <c r="P65">
        <f>G65/G61</f>
        <v>1.0225352112676056</v>
      </c>
    </row>
    <row r="66" spans="1:16" x14ac:dyDescent="0.3">
      <c r="A66" t="s">
        <v>2</v>
      </c>
      <c r="B66">
        <v>2003.1</v>
      </c>
      <c r="C66">
        <v>799</v>
      </c>
      <c r="D66">
        <v>23.67</v>
      </c>
      <c r="E66">
        <v>215273</v>
      </c>
      <c r="F66">
        <v>8.3872649999999993</v>
      </c>
      <c r="G66">
        <v>183.36666666666699</v>
      </c>
      <c r="H66">
        <v>3.92</v>
      </c>
      <c r="L66">
        <v>8.3872649999999993</v>
      </c>
      <c r="M66">
        <f>F62</f>
        <v>8.8047609999999992</v>
      </c>
      <c r="N66">
        <v>3.92</v>
      </c>
      <c r="O66">
        <f>D66/D62</f>
        <v>0.91354689309147052</v>
      </c>
      <c r="P66">
        <f>G66/G62</f>
        <v>1.0297641332834142</v>
      </c>
    </row>
    <row r="67" spans="1:16" x14ac:dyDescent="0.3">
      <c r="A67" t="s">
        <v>2</v>
      </c>
      <c r="B67">
        <v>2003.2</v>
      </c>
      <c r="C67">
        <v>233</v>
      </c>
      <c r="D67">
        <v>23.17</v>
      </c>
      <c r="E67">
        <v>215506</v>
      </c>
      <c r="F67">
        <v>8.2099720000000005</v>
      </c>
      <c r="G67">
        <v>183.066666666667</v>
      </c>
      <c r="H67">
        <v>3.6206349206349202</v>
      </c>
      <c r="L67">
        <v>8.2099720000000005</v>
      </c>
      <c r="M67">
        <f>F63</f>
        <v>8.8738510000000002</v>
      </c>
      <c r="N67">
        <v>3.6206349206349202</v>
      </c>
      <c r="O67">
        <f>D67/D63</f>
        <v>0.91292356185973222</v>
      </c>
      <c r="P67">
        <f>G67/G63</f>
        <v>1.0200594353640415</v>
      </c>
    </row>
    <row r="68" spans="1:16" x14ac:dyDescent="0.3">
      <c r="A68" t="s">
        <v>2</v>
      </c>
      <c r="B68">
        <v>2003.3</v>
      </c>
      <c r="C68">
        <v>113</v>
      </c>
      <c r="D68">
        <v>22.93</v>
      </c>
      <c r="E68">
        <v>215619</v>
      </c>
      <c r="F68">
        <v>7.8839350000000001</v>
      </c>
      <c r="G68">
        <v>184.433333333333</v>
      </c>
      <c r="H68">
        <v>4.2276562499999999</v>
      </c>
      <c r="L68">
        <v>7.8839350000000001</v>
      </c>
      <c r="M68">
        <f>F64</f>
        <v>8.955762</v>
      </c>
      <c r="N68">
        <v>4.2276562499999999</v>
      </c>
      <c r="O68">
        <f>D68/D64</f>
        <v>0.92273641851106636</v>
      </c>
      <c r="P68">
        <f>G68/G64</f>
        <v>1.0221688527618695</v>
      </c>
    </row>
    <row r="69" spans="1:16" x14ac:dyDescent="0.3">
      <c r="A69" t="s">
        <v>2</v>
      </c>
      <c r="B69">
        <v>2003.4</v>
      </c>
      <c r="C69">
        <v>67</v>
      </c>
      <c r="D69">
        <v>22.94</v>
      </c>
      <c r="E69">
        <v>215686</v>
      </c>
      <c r="F69">
        <v>7.8916409999999999</v>
      </c>
      <c r="G69">
        <v>185.13333333333301</v>
      </c>
      <c r="H69">
        <v>4.2851612903225798</v>
      </c>
      <c r="L69">
        <v>7.8916409999999999</v>
      </c>
      <c r="M69">
        <f>F65</f>
        <v>8.5874710000000007</v>
      </c>
      <c r="N69">
        <v>4.2851612903225798</v>
      </c>
      <c r="O69">
        <f>D69/D65</f>
        <v>0.94248151191454399</v>
      </c>
      <c r="P69">
        <f>G69/G65</f>
        <v>1.0200183654729091</v>
      </c>
    </row>
    <row r="70" spans="1:16" x14ac:dyDescent="0.3">
      <c r="A70" t="s">
        <v>2</v>
      </c>
      <c r="B70">
        <v>2004.1</v>
      </c>
      <c r="C70">
        <v>1351</v>
      </c>
      <c r="D70">
        <v>22.87</v>
      </c>
      <c r="E70">
        <v>217037</v>
      </c>
      <c r="F70">
        <v>7.6349650000000002</v>
      </c>
      <c r="G70">
        <v>186.7</v>
      </c>
      <c r="H70">
        <v>4.01</v>
      </c>
      <c r="L70">
        <v>7.6349650000000002</v>
      </c>
      <c r="M70">
        <f>F66</f>
        <v>8.3872649999999993</v>
      </c>
      <c r="N70">
        <v>4.01</v>
      </c>
      <c r="O70">
        <f>D70/D66</f>
        <v>0.96620194338825516</v>
      </c>
      <c r="P70">
        <f>G70/G66</f>
        <v>1.0181785129976348</v>
      </c>
    </row>
    <row r="71" spans="1:16" x14ac:dyDescent="0.3">
      <c r="A71" t="s">
        <v>2</v>
      </c>
      <c r="B71">
        <v>2004.2</v>
      </c>
      <c r="C71">
        <v>254</v>
      </c>
      <c r="D71">
        <v>22.51</v>
      </c>
      <c r="E71">
        <v>217291</v>
      </c>
      <c r="F71">
        <v>7.2004539999999997</v>
      </c>
      <c r="G71">
        <v>188.166666666667</v>
      </c>
      <c r="H71">
        <v>4.5970967741935498</v>
      </c>
      <c r="L71">
        <v>7.2004539999999997</v>
      </c>
      <c r="M71">
        <f>F67</f>
        <v>8.2099720000000005</v>
      </c>
      <c r="N71">
        <v>4.5970967741935498</v>
      </c>
      <c r="O71">
        <f>D71/D67</f>
        <v>0.97151488994389301</v>
      </c>
      <c r="P71">
        <f>G71/G67</f>
        <v>1.0278587035688274</v>
      </c>
    </row>
    <row r="72" spans="1:16" x14ac:dyDescent="0.3">
      <c r="A72" t="s">
        <v>2</v>
      </c>
      <c r="B72">
        <v>2004.3</v>
      </c>
      <c r="C72">
        <v>44</v>
      </c>
      <c r="D72">
        <v>22.36</v>
      </c>
      <c r="E72">
        <v>217335</v>
      </c>
      <c r="F72">
        <v>7.1896129999999996</v>
      </c>
      <c r="G72">
        <v>189.36666666666699</v>
      </c>
      <c r="H72">
        <v>4.3014062500000003</v>
      </c>
      <c r="L72">
        <v>7.1896129999999996</v>
      </c>
      <c r="M72">
        <f>F68</f>
        <v>7.8839350000000001</v>
      </c>
      <c r="N72">
        <v>4.3014062500000003</v>
      </c>
      <c r="O72">
        <f>D72/D68</f>
        <v>0.97514173571740081</v>
      </c>
      <c r="P72">
        <f>G72/G68</f>
        <v>1.0267485993132153</v>
      </c>
    </row>
    <row r="73" spans="1:16" x14ac:dyDescent="0.3">
      <c r="A73" t="s">
        <v>2</v>
      </c>
      <c r="B73">
        <v>2004.4</v>
      </c>
      <c r="C73">
        <v>507</v>
      </c>
      <c r="D73">
        <v>22.25</v>
      </c>
      <c r="E73">
        <v>217842</v>
      </c>
      <c r="F73">
        <v>7.0002339999999998</v>
      </c>
      <c r="G73">
        <v>191.4</v>
      </c>
      <c r="H73">
        <v>4.1758064516128997</v>
      </c>
      <c r="L73">
        <v>7.0002339999999998</v>
      </c>
      <c r="M73">
        <f>F69</f>
        <v>7.8916409999999999</v>
      </c>
      <c r="N73">
        <v>4.1758064516128997</v>
      </c>
      <c r="O73">
        <f>D73/D69</f>
        <v>0.96992153443766338</v>
      </c>
      <c r="P73">
        <f>G73/G69</f>
        <v>1.033849477853801</v>
      </c>
    </row>
    <row r="74" spans="1:16" x14ac:dyDescent="0.3">
      <c r="A74" t="s">
        <v>2</v>
      </c>
      <c r="B74">
        <v>2005.1</v>
      </c>
      <c r="C74">
        <v>1654</v>
      </c>
      <c r="D74">
        <v>22.38</v>
      </c>
      <c r="E74">
        <v>219496</v>
      </c>
      <c r="F74">
        <v>7.0314680000000003</v>
      </c>
      <c r="G74">
        <v>192.36666666666699</v>
      </c>
      <c r="H74">
        <v>4.3036065573770497</v>
      </c>
      <c r="L74">
        <v>7.0314680000000003</v>
      </c>
      <c r="M74">
        <f>F70</f>
        <v>7.6349650000000002</v>
      </c>
      <c r="N74">
        <v>4.3036065573770497</v>
      </c>
      <c r="O74">
        <f>D74/D70</f>
        <v>0.97857455181460418</v>
      </c>
      <c r="P74">
        <f>G74/G70</f>
        <v>1.0303517229066257</v>
      </c>
    </row>
    <row r="75" spans="1:16" x14ac:dyDescent="0.3">
      <c r="A75" t="s">
        <v>2</v>
      </c>
      <c r="B75">
        <v>2005.2</v>
      </c>
      <c r="C75">
        <v>204</v>
      </c>
      <c r="D75">
        <v>22.5</v>
      </c>
      <c r="E75">
        <v>219700</v>
      </c>
      <c r="F75">
        <v>6.9182009999999998</v>
      </c>
      <c r="G75">
        <v>193.666666666667</v>
      </c>
      <c r="H75">
        <v>4.1585937499999996</v>
      </c>
      <c r="L75">
        <v>6.9182009999999998</v>
      </c>
      <c r="M75">
        <f>F71</f>
        <v>7.2004539999999997</v>
      </c>
      <c r="N75">
        <v>4.1585937499999996</v>
      </c>
      <c r="O75">
        <f>D75/D71</f>
        <v>0.99955575299866717</v>
      </c>
      <c r="P75">
        <f>G75/G71</f>
        <v>1.0292294065544729</v>
      </c>
    </row>
    <row r="76" spans="1:16" x14ac:dyDescent="0.3">
      <c r="A76" t="s">
        <v>2</v>
      </c>
      <c r="B76">
        <v>2005.3</v>
      </c>
      <c r="C76">
        <v>313</v>
      </c>
      <c r="D76">
        <v>22.65</v>
      </c>
      <c r="E76">
        <v>220013</v>
      </c>
      <c r="F76">
        <v>6.6730299999999998</v>
      </c>
      <c r="G76">
        <v>196.6</v>
      </c>
      <c r="H76">
        <v>4.2151562499999997</v>
      </c>
      <c r="L76">
        <v>6.6730299999999998</v>
      </c>
      <c r="M76">
        <f>F72</f>
        <v>7.1896129999999996</v>
      </c>
      <c r="N76">
        <v>4.2151562499999997</v>
      </c>
      <c r="O76">
        <f>D76/D72</f>
        <v>1.012969588550984</v>
      </c>
      <c r="P76">
        <f>G76/G72</f>
        <v>1.0381975004400616</v>
      </c>
    </row>
    <row r="77" spans="1:16" x14ac:dyDescent="0.3">
      <c r="A77" t="s">
        <v>2</v>
      </c>
      <c r="B77">
        <v>2005.4</v>
      </c>
      <c r="C77">
        <v>900</v>
      </c>
      <c r="D77">
        <v>22.79</v>
      </c>
      <c r="E77">
        <v>220913</v>
      </c>
      <c r="F77">
        <v>6.5233119999999998</v>
      </c>
      <c r="G77">
        <v>198.433333333333</v>
      </c>
      <c r="H77">
        <v>4.4881967213114802</v>
      </c>
      <c r="L77">
        <v>6.5233119999999998</v>
      </c>
      <c r="M77">
        <f>F73</f>
        <v>7.0002339999999998</v>
      </c>
      <c r="N77">
        <v>4.4881967213114802</v>
      </c>
      <c r="O77">
        <f>D77/D73</f>
        <v>1.0242696629213484</v>
      </c>
      <c r="P77">
        <f>G77/G73</f>
        <v>1.0367467781260866</v>
      </c>
    </row>
    <row r="78" spans="1:16" x14ac:dyDescent="0.3">
      <c r="A78" t="s">
        <v>2</v>
      </c>
      <c r="B78">
        <v>2006.1</v>
      </c>
      <c r="C78">
        <v>443</v>
      </c>
      <c r="D78">
        <v>22.92</v>
      </c>
      <c r="E78">
        <v>221356</v>
      </c>
      <c r="F78">
        <v>6.0789169999999997</v>
      </c>
      <c r="G78">
        <v>199.46666666666701</v>
      </c>
      <c r="H78">
        <v>4.5770967741935502</v>
      </c>
      <c r="L78">
        <v>6.0789169999999997</v>
      </c>
      <c r="M78">
        <f>F74</f>
        <v>7.0314680000000003</v>
      </c>
      <c r="N78">
        <v>4.5770967741935502</v>
      </c>
      <c r="O78">
        <f>D78/D74</f>
        <v>1.0241286863270778</v>
      </c>
      <c r="P78">
        <f>G78/G74</f>
        <v>1.0369086813377231</v>
      </c>
    </row>
    <row r="79" spans="1:16" x14ac:dyDescent="0.3">
      <c r="A79" t="s">
        <v>2</v>
      </c>
      <c r="B79">
        <v>2006.2</v>
      </c>
      <c r="C79">
        <v>665</v>
      </c>
      <c r="D79">
        <v>23.26</v>
      </c>
      <c r="E79">
        <v>222021</v>
      </c>
      <c r="F79">
        <v>5.9740080000000004</v>
      </c>
      <c r="G79">
        <v>201.26666666666699</v>
      </c>
      <c r="H79">
        <v>5.0726984126984096</v>
      </c>
      <c r="L79">
        <v>5.9740080000000004</v>
      </c>
      <c r="M79">
        <f>F75</f>
        <v>6.9182009999999998</v>
      </c>
      <c r="N79">
        <v>5.0726984126984096</v>
      </c>
      <c r="O79">
        <f>D79/D75</f>
        <v>1.0337777777777779</v>
      </c>
      <c r="P79">
        <f>G79/G75</f>
        <v>1.0392426850258174</v>
      </c>
    </row>
    <row r="80" spans="1:16" x14ac:dyDescent="0.3">
      <c r="A80" t="s">
        <v>2</v>
      </c>
      <c r="B80">
        <v>2006.3</v>
      </c>
      <c r="C80">
        <v>229</v>
      </c>
      <c r="D80">
        <v>23.54</v>
      </c>
      <c r="E80">
        <v>222250</v>
      </c>
      <c r="F80">
        <v>5.8297619999999997</v>
      </c>
      <c r="G80">
        <v>203.166666666667</v>
      </c>
      <c r="H80">
        <v>4.8934920634920704</v>
      </c>
      <c r="L80">
        <v>5.8297619999999997</v>
      </c>
      <c r="M80">
        <f>F76</f>
        <v>6.6730299999999998</v>
      </c>
      <c r="N80">
        <v>4.8934920634920704</v>
      </c>
      <c r="O80">
        <f>D80/D76</f>
        <v>1.0392935982339957</v>
      </c>
      <c r="P80">
        <f>G80/G76</f>
        <v>1.0334011529331995</v>
      </c>
    </row>
    <row r="81" spans="1:16" x14ac:dyDescent="0.3">
      <c r="A81" t="s">
        <v>2</v>
      </c>
      <c r="B81">
        <v>2006.4</v>
      </c>
      <c r="C81">
        <v>308</v>
      </c>
      <c r="D81">
        <v>23.84</v>
      </c>
      <c r="E81">
        <v>222558</v>
      </c>
      <c r="F81">
        <v>5.9179709999999996</v>
      </c>
      <c r="G81">
        <v>202.333333333333</v>
      </c>
      <c r="H81">
        <v>4.6306451612903201</v>
      </c>
      <c r="L81">
        <v>5.9179709999999996</v>
      </c>
      <c r="M81">
        <f>F77</f>
        <v>6.5233119999999998</v>
      </c>
      <c r="N81">
        <v>4.6306451612903201</v>
      </c>
      <c r="O81">
        <f>D81/D77</f>
        <v>1.046072838964458</v>
      </c>
      <c r="P81">
        <f>G81/G77</f>
        <v>1.0196539559885773</v>
      </c>
    </row>
    <row r="82" spans="1:16" x14ac:dyDescent="0.3">
      <c r="A82" t="s">
        <v>2</v>
      </c>
      <c r="B82">
        <v>2007.1</v>
      </c>
      <c r="C82">
        <v>228</v>
      </c>
      <c r="D82">
        <v>24.07</v>
      </c>
      <c r="E82">
        <v>222786</v>
      </c>
      <c r="F82">
        <v>6.0153759999999998</v>
      </c>
      <c r="G82">
        <v>204.31700000000001</v>
      </c>
      <c r="H82">
        <v>4.6790322580645203</v>
      </c>
      <c r="L82">
        <v>6.0153759999999998</v>
      </c>
      <c r="M82">
        <f>F78</f>
        <v>6.0789169999999997</v>
      </c>
      <c r="N82">
        <v>4.6790322580645203</v>
      </c>
      <c r="O82">
        <f>D82/D78</f>
        <v>1.050174520069808</v>
      </c>
      <c r="P82">
        <f>G82/G78</f>
        <v>1.0243165106951855</v>
      </c>
    </row>
    <row r="83" spans="1:16" x14ac:dyDescent="0.3">
      <c r="A83" t="s">
        <v>2</v>
      </c>
      <c r="B83">
        <v>2007.2</v>
      </c>
      <c r="C83">
        <v>321</v>
      </c>
      <c r="D83">
        <v>23.84</v>
      </c>
      <c r="E83">
        <v>223107</v>
      </c>
      <c r="F83">
        <v>6.0525270000000004</v>
      </c>
      <c r="G83">
        <v>206.631</v>
      </c>
      <c r="H83">
        <v>4.8460937499999996</v>
      </c>
      <c r="L83">
        <v>6.0525270000000004</v>
      </c>
      <c r="M83">
        <f>F79</f>
        <v>5.9740080000000004</v>
      </c>
      <c r="N83">
        <v>4.8460937499999996</v>
      </c>
      <c r="O83">
        <f>D83/D79</f>
        <v>1.0249355116079104</v>
      </c>
      <c r="P83">
        <f>G83/G79</f>
        <v>1.0266528651871465</v>
      </c>
    </row>
    <row r="84" spans="1:16" x14ac:dyDescent="0.3">
      <c r="A84" t="s">
        <v>2</v>
      </c>
      <c r="B84">
        <v>2007.3</v>
      </c>
      <c r="C84">
        <v>286</v>
      </c>
      <c r="D84">
        <v>23.85</v>
      </c>
      <c r="E84">
        <v>223393</v>
      </c>
      <c r="F84">
        <v>6.0977050000000004</v>
      </c>
      <c r="G84">
        <v>207.93899999999999</v>
      </c>
      <c r="H84">
        <v>4.7384126984127004</v>
      </c>
      <c r="L84">
        <v>6.0977050000000004</v>
      </c>
      <c r="M84">
        <f>F80</f>
        <v>5.8297619999999997</v>
      </c>
      <c r="N84">
        <v>4.7384126984127004</v>
      </c>
      <c r="O84">
        <f>D84/D80</f>
        <v>1.0131690739167376</v>
      </c>
      <c r="P84">
        <f>G84/G80</f>
        <v>1.0234897456931895</v>
      </c>
    </row>
    <row r="85" spans="1:16" x14ac:dyDescent="0.3">
      <c r="A85" t="s">
        <v>2</v>
      </c>
      <c r="B85">
        <v>2007.4</v>
      </c>
      <c r="C85">
        <v>627</v>
      </c>
      <c r="D85">
        <v>23.83</v>
      </c>
      <c r="E85">
        <v>224020</v>
      </c>
      <c r="F85">
        <v>5.8661339999999997</v>
      </c>
      <c r="G85">
        <v>210.48966666666701</v>
      </c>
      <c r="H85">
        <v>4.26661290322581</v>
      </c>
      <c r="L85">
        <v>5.8661339999999997</v>
      </c>
      <c r="M85">
        <f>F81</f>
        <v>5.9179709999999996</v>
      </c>
      <c r="N85">
        <v>4.26661290322581</v>
      </c>
      <c r="O85">
        <f>D85/D81</f>
        <v>0.99958053691275162</v>
      </c>
      <c r="P85">
        <f>G85/G81</f>
        <v>1.0403113673805635</v>
      </c>
    </row>
    <row r="86" spans="1:16" x14ac:dyDescent="0.3">
      <c r="A86" t="s">
        <v>2</v>
      </c>
      <c r="B86">
        <v>2008.1</v>
      </c>
      <c r="C86">
        <v>227</v>
      </c>
      <c r="D86">
        <v>24.29</v>
      </c>
      <c r="E86">
        <v>224247</v>
      </c>
      <c r="F86">
        <v>5.7810600000000001</v>
      </c>
      <c r="G86">
        <v>212.76966666666701</v>
      </c>
      <c r="H86">
        <v>3.6652459016393402</v>
      </c>
      <c r="L86">
        <v>5.7810600000000001</v>
      </c>
      <c r="M86">
        <f>F82</f>
        <v>6.0153759999999998</v>
      </c>
      <c r="N86">
        <v>3.6652459016393402</v>
      </c>
      <c r="O86">
        <f>D86/D82</f>
        <v>1.0091400083090984</v>
      </c>
      <c r="P86">
        <f>G86/G82</f>
        <v>1.0413703542371266</v>
      </c>
    </row>
    <row r="87" spans="1:16" x14ac:dyDescent="0.3">
      <c r="A87" t="s">
        <v>2</v>
      </c>
      <c r="B87">
        <v>2008.2</v>
      </c>
      <c r="C87">
        <v>719</v>
      </c>
      <c r="D87">
        <v>24.51</v>
      </c>
      <c r="E87">
        <v>224966</v>
      </c>
      <c r="F87">
        <v>5.51898</v>
      </c>
      <c r="G87">
        <v>215.53766666666701</v>
      </c>
      <c r="H87">
        <v>3.8815624999999998</v>
      </c>
      <c r="L87">
        <v>5.51898</v>
      </c>
      <c r="M87">
        <f>F83</f>
        <v>6.0525270000000004</v>
      </c>
      <c r="N87">
        <v>3.8815624999999998</v>
      </c>
      <c r="O87">
        <f>D87/D83</f>
        <v>1.0281040268456376</v>
      </c>
      <c r="P87">
        <f>G87/G83</f>
        <v>1.0431042131464641</v>
      </c>
    </row>
    <row r="88" spans="1:16" x14ac:dyDescent="0.3">
      <c r="A88" t="s">
        <v>2</v>
      </c>
      <c r="B88">
        <v>2008.3</v>
      </c>
      <c r="C88">
        <v>515</v>
      </c>
      <c r="D88">
        <v>24.74</v>
      </c>
      <c r="E88">
        <v>225481</v>
      </c>
      <c r="F88">
        <v>5.2570290000000002</v>
      </c>
      <c r="G88">
        <v>218.86099999999999</v>
      </c>
      <c r="H88">
        <v>3.8621875000000001</v>
      </c>
      <c r="L88">
        <v>5.2570290000000002</v>
      </c>
      <c r="M88">
        <f>F84</f>
        <v>6.0977050000000004</v>
      </c>
      <c r="N88">
        <v>3.8621875000000001</v>
      </c>
      <c r="O88">
        <f>D88/D84</f>
        <v>1.0373165618448636</v>
      </c>
      <c r="P88">
        <f>G88/G84</f>
        <v>1.0525250193566382</v>
      </c>
    </row>
    <row r="89" spans="1:16" x14ac:dyDescent="0.3">
      <c r="A89" t="s">
        <v>2</v>
      </c>
      <c r="B89">
        <v>2008.4</v>
      </c>
      <c r="C89">
        <v>1078</v>
      </c>
      <c r="D89">
        <v>24.96</v>
      </c>
      <c r="E89">
        <v>226559</v>
      </c>
      <c r="F89">
        <v>5.2453370000000001</v>
      </c>
      <c r="G89">
        <v>213.84866666666699</v>
      </c>
      <c r="H89">
        <v>3.2346774193548402</v>
      </c>
      <c r="L89">
        <v>5.2453370000000001</v>
      </c>
      <c r="M89">
        <f>F85</f>
        <v>5.8661339999999997</v>
      </c>
      <c r="N89">
        <v>3.2346774193548402</v>
      </c>
      <c r="O89">
        <f>D89/D85</f>
        <v>1.0474192194712548</v>
      </c>
      <c r="P89">
        <f>G89/G85</f>
        <v>1.0159580280267122</v>
      </c>
    </row>
    <row r="90" spans="1:16" x14ac:dyDescent="0.3">
      <c r="A90" t="s">
        <v>2</v>
      </c>
      <c r="B90">
        <v>2009.1</v>
      </c>
      <c r="C90">
        <v>1487</v>
      </c>
      <c r="D90">
        <v>24.9</v>
      </c>
      <c r="E90">
        <v>228046</v>
      </c>
      <c r="F90">
        <v>5.2807219999999999</v>
      </c>
      <c r="G90">
        <v>212.37766666666701</v>
      </c>
      <c r="H90">
        <v>2.7362295081967201</v>
      </c>
      <c r="L90">
        <v>5.2807219999999999</v>
      </c>
      <c r="M90">
        <f>F86</f>
        <v>5.7810600000000001</v>
      </c>
      <c r="N90">
        <v>2.7362295081967201</v>
      </c>
      <c r="O90">
        <f>D90/D86</f>
        <v>1.0251132153149445</v>
      </c>
      <c r="P90">
        <f>G90/G86</f>
        <v>0.99815763211861341</v>
      </c>
    </row>
    <row r="91" spans="1:16" x14ac:dyDescent="0.3">
      <c r="A91" t="s">
        <v>2</v>
      </c>
      <c r="B91">
        <v>2009.2</v>
      </c>
      <c r="C91">
        <v>42</v>
      </c>
      <c r="D91">
        <v>23.61</v>
      </c>
      <c r="E91">
        <v>228088</v>
      </c>
      <c r="F91">
        <v>5.8249680000000001</v>
      </c>
      <c r="G91">
        <v>213.50700000000001</v>
      </c>
      <c r="H91">
        <v>3.3207936507936502</v>
      </c>
      <c r="L91">
        <v>5.8249680000000001</v>
      </c>
      <c r="M91">
        <f>F87</f>
        <v>5.51898</v>
      </c>
      <c r="N91">
        <v>3.3207936507936502</v>
      </c>
      <c r="O91">
        <f>D91/D87</f>
        <v>0.9632802937576499</v>
      </c>
      <c r="P91">
        <f>G91/G87</f>
        <v>0.99057859956418914</v>
      </c>
    </row>
    <row r="92" spans="1:16" x14ac:dyDescent="0.3">
      <c r="A92" t="s">
        <v>2</v>
      </c>
      <c r="B92">
        <v>2009.3</v>
      </c>
      <c r="C92">
        <v>1182</v>
      </c>
      <c r="D92">
        <v>23.77</v>
      </c>
      <c r="E92">
        <v>229270</v>
      </c>
      <c r="F92">
        <v>6.4307319999999999</v>
      </c>
      <c r="G92">
        <v>215.34399999999999</v>
      </c>
      <c r="H92">
        <v>3.5178124999999998</v>
      </c>
      <c r="L92">
        <v>6.4307319999999999</v>
      </c>
      <c r="M92">
        <f>F88</f>
        <v>5.2570290000000002</v>
      </c>
      <c r="N92">
        <v>3.5178124999999998</v>
      </c>
      <c r="O92">
        <f>D92/D88</f>
        <v>0.96079223928860147</v>
      </c>
      <c r="P92">
        <f>G92/G88</f>
        <v>0.98393043986822692</v>
      </c>
    </row>
    <row r="93" spans="1:16" x14ac:dyDescent="0.3">
      <c r="A93" t="s">
        <v>2</v>
      </c>
      <c r="B93">
        <v>2009.4</v>
      </c>
      <c r="C93">
        <v>1233</v>
      </c>
      <c r="D93">
        <v>23.78</v>
      </c>
      <c r="E93">
        <v>230503</v>
      </c>
      <c r="F93">
        <v>6.6446290000000001</v>
      </c>
      <c r="G93">
        <v>217.03</v>
      </c>
      <c r="H93">
        <v>3.46403225806452</v>
      </c>
      <c r="L93">
        <v>6.6446290000000001</v>
      </c>
      <c r="M93">
        <f>F89</f>
        <v>5.2453370000000001</v>
      </c>
      <c r="N93">
        <v>3.46403225806452</v>
      </c>
      <c r="O93">
        <f>D93/D89</f>
        <v>0.95272435897435903</v>
      </c>
      <c r="P93">
        <f>G93/G89</f>
        <v>1.0148765638005677</v>
      </c>
    </row>
    <row r="94" spans="1:16" x14ac:dyDescent="0.3">
      <c r="A94" t="s">
        <v>2</v>
      </c>
      <c r="B94">
        <v>2010.1</v>
      </c>
      <c r="C94">
        <v>199</v>
      </c>
      <c r="D94">
        <v>23.52</v>
      </c>
      <c r="E94">
        <v>230702</v>
      </c>
      <c r="F94">
        <v>7.0040589999999998</v>
      </c>
      <c r="G94">
        <v>217.374</v>
      </c>
      <c r="H94">
        <v>3.71786885245902</v>
      </c>
      <c r="L94">
        <v>7.0040589999999998</v>
      </c>
      <c r="M94">
        <f>F90</f>
        <v>5.2807219999999999</v>
      </c>
      <c r="N94">
        <v>3.71786885245902</v>
      </c>
      <c r="O94">
        <f>D94/D90</f>
        <v>0.94457831325301211</v>
      </c>
      <c r="P94">
        <f>G94/G90</f>
        <v>1.0235257002854961</v>
      </c>
    </row>
    <row r="95" spans="1:16" x14ac:dyDescent="0.3">
      <c r="A95" t="s">
        <v>2</v>
      </c>
      <c r="B95">
        <v>2010.2</v>
      </c>
      <c r="C95">
        <v>0</v>
      </c>
      <c r="D95">
        <v>23.22</v>
      </c>
      <c r="E95">
        <v>230702</v>
      </c>
      <c r="F95">
        <v>7.0696000000000003</v>
      </c>
      <c r="G95">
        <v>217.297333333333</v>
      </c>
      <c r="H95">
        <v>3.4925000000000002</v>
      </c>
      <c r="L95">
        <v>7.0696000000000003</v>
      </c>
      <c r="M95">
        <f>F91</f>
        <v>5.8249680000000001</v>
      </c>
      <c r="N95">
        <v>3.4925000000000002</v>
      </c>
      <c r="O95">
        <f>D95/D91</f>
        <v>0.98348157560355776</v>
      </c>
      <c r="P95">
        <f>G95/G91</f>
        <v>1.0177527356636222</v>
      </c>
    </row>
    <row r="96" spans="1:16" x14ac:dyDescent="0.3">
      <c r="A96" t="s">
        <v>2</v>
      </c>
      <c r="B96">
        <v>2010.3</v>
      </c>
      <c r="C96">
        <v>30</v>
      </c>
      <c r="D96">
        <v>23.09</v>
      </c>
      <c r="E96">
        <v>230732</v>
      </c>
      <c r="F96">
        <v>6.9186230000000002</v>
      </c>
      <c r="G96">
        <v>217.934333333333</v>
      </c>
      <c r="H96">
        <v>2.7845312500000001</v>
      </c>
      <c r="L96">
        <v>6.9186230000000002</v>
      </c>
      <c r="M96">
        <f>F92</f>
        <v>6.4307319999999999</v>
      </c>
      <c r="N96">
        <v>2.7845312500000001</v>
      </c>
      <c r="O96">
        <f>D96/D92</f>
        <v>0.97139251156920492</v>
      </c>
      <c r="P96">
        <f>G96/G92</f>
        <v>1.0120288159100463</v>
      </c>
    </row>
    <row r="97" spans="1:16" x14ac:dyDescent="0.3">
      <c r="A97" t="s">
        <v>2</v>
      </c>
      <c r="B97">
        <v>2010.4</v>
      </c>
      <c r="C97">
        <v>0</v>
      </c>
      <c r="D97">
        <v>22.87</v>
      </c>
      <c r="E97">
        <v>230732</v>
      </c>
      <c r="F97">
        <v>6.6733390000000004</v>
      </c>
      <c r="G97">
        <v>219.69900000000001</v>
      </c>
      <c r="H97">
        <v>2.87838709677419</v>
      </c>
      <c r="L97">
        <v>6.6733390000000004</v>
      </c>
      <c r="M97">
        <f>F93</f>
        <v>6.6446290000000001</v>
      </c>
      <c r="N97">
        <v>2.87838709677419</v>
      </c>
      <c r="O97">
        <f>D97/D93</f>
        <v>0.96173254835996635</v>
      </c>
      <c r="P97">
        <f>G97/G93</f>
        <v>1.0122978390084321</v>
      </c>
    </row>
    <row r="98" spans="1:16" x14ac:dyDescent="0.3">
      <c r="A98" t="s">
        <v>2</v>
      </c>
      <c r="B98">
        <v>2011.1</v>
      </c>
      <c r="C98">
        <v>0</v>
      </c>
      <c r="D98">
        <v>22.67</v>
      </c>
      <c r="E98">
        <v>230732</v>
      </c>
      <c r="F98">
        <v>6.422085</v>
      </c>
      <c r="G98">
        <v>222.04366666666701</v>
      </c>
      <c r="H98">
        <v>3.4574193548387102</v>
      </c>
      <c r="L98">
        <v>6.422085</v>
      </c>
      <c r="M98">
        <f>F94</f>
        <v>7.0040589999999998</v>
      </c>
      <c r="N98">
        <v>3.4574193548387102</v>
      </c>
      <c r="O98">
        <f>D98/D94</f>
        <v>0.96386054421768719</v>
      </c>
      <c r="P98">
        <f>G98/G94</f>
        <v>1.0214821766479294</v>
      </c>
    </row>
    <row r="99" spans="1:16" x14ac:dyDescent="0.3">
      <c r="A99" t="s">
        <v>2</v>
      </c>
      <c r="B99">
        <v>2011.2</v>
      </c>
      <c r="C99">
        <v>0</v>
      </c>
      <c r="D99">
        <v>23.35</v>
      </c>
      <c r="E99">
        <v>230732</v>
      </c>
      <c r="F99">
        <v>6.1778880000000003</v>
      </c>
      <c r="G99">
        <v>224.56833333333299</v>
      </c>
      <c r="H99">
        <v>3.2014285714285702</v>
      </c>
      <c r="L99">
        <v>6.1778880000000003</v>
      </c>
      <c r="M99">
        <f>F95</f>
        <v>7.0696000000000003</v>
      </c>
      <c r="N99">
        <v>3.2014285714285702</v>
      </c>
      <c r="O99">
        <f>D99/D95</f>
        <v>1.0055986218776918</v>
      </c>
      <c r="P99">
        <f>G99/G95</f>
        <v>1.0334610641026427</v>
      </c>
    </row>
    <row r="100" spans="1:16" x14ac:dyDescent="0.3">
      <c r="A100" t="s">
        <v>2</v>
      </c>
      <c r="B100">
        <v>2011.3</v>
      </c>
      <c r="C100">
        <v>7</v>
      </c>
      <c r="D100">
        <v>22.91</v>
      </c>
      <c r="E100">
        <v>230739</v>
      </c>
      <c r="F100">
        <v>5.9055119999999999</v>
      </c>
      <c r="G100">
        <v>226.03266666666701</v>
      </c>
      <c r="H100">
        <v>2.4142187499999999</v>
      </c>
      <c r="L100">
        <v>5.9055119999999999</v>
      </c>
      <c r="M100">
        <f>F96</f>
        <v>6.9186230000000002</v>
      </c>
      <c r="N100">
        <v>2.4142187499999999</v>
      </c>
      <c r="O100">
        <f>D100/D96</f>
        <v>0.99220441749675181</v>
      </c>
      <c r="P100">
        <f>G100/G96</f>
        <v>1.0371595113512817</v>
      </c>
    </row>
    <row r="101" spans="1:16" x14ac:dyDescent="0.3">
      <c r="A101" t="s">
        <v>2</v>
      </c>
      <c r="B101">
        <v>2011.4</v>
      </c>
      <c r="C101">
        <v>28</v>
      </c>
      <c r="D101">
        <v>22.29</v>
      </c>
      <c r="E101">
        <v>230767</v>
      </c>
      <c r="F101">
        <v>6.0739010000000002</v>
      </c>
      <c r="G101">
        <v>227.047333333333</v>
      </c>
      <c r="H101">
        <v>2.0467213114754101</v>
      </c>
      <c r="L101">
        <v>6.0739010000000002</v>
      </c>
      <c r="M101">
        <f>F97</f>
        <v>6.6733390000000004</v>
      </c>
      <c r="N101">
        <v>2.0467213114754101</v>
      </c>
      <c r="O101">
        <f>D101/D97</f>
        <v>0.974639265413205</v>
      </c>
      <c r="P101">
        <f>G101/G97</f>
        <v>1.0334472771079204</v>
      </c>
    </row>
    <row r="102" spans="1:16" x14ac:dyDescent="0.3">
      <c r="A102" t="s">
        <v>2</v>
      </c>
      <c r="B102">
        <v>2012.1</v>
      </c>
      <c r="C102">
        <v>0</v>
      </c>
      <c r="D102">
        <v>22.51</v>
      </c>
      <c r="E102">
        <v>230767</v>
      </c>
      <c r="F102">
        <v>6.1579709999999999</v>
      </c>
      <c r="G102">
        <v>228.32599999999999</v>
      </c>
      <c r="H102">
        <v>2.04</v>
      </c>
      <c r="L102">
        <v>6.1579709999999999</v>
      </c>
      <c r="M102">
        <f>F98</f>
        <v>6.422085</v>
      </c>
      <c r="N102">
        <v>2.04</v>
      </c>
      <c r="O102">
        <f>D102/D98</f>
        <v>0.99294221438023822</v>
      </c>
      <c r="P102">
        <f>G102/G98</f>
        <v>1.0282932336132067</v>
      </c>
    </row>
    <row r="103" spans="1:16" x14ac:dyDescent="0.3">
      <c r="A103" t="s">
        <v>2</v>
      </c>
      <c r="B103">
        <v>2012.2</v>
      </c>
      <c r="C103">
        <v>0</v>
      </c>
      <c r="D103">
        <v>23.24</v>
      </c>
      <c r="E103">
        <v>230767</v>
      </c>
      <c r="F103">
        <v>6.3274270000000001</v>
      </c>
      <c r="G103">
        <v>228.80799999999999</v>
      </c>
      <c r="H103">
        <v>1.8257812499999999</v>
      </c>
      <c r="L103">
        <v>6.3274270000000001</v>
      </c>
      <c r="M103">
        <f>F99</f>
        <v>6.1778880000000003</v>
      </c>
      <c r="N103">
        <v>1.8257812499999999</v>
      </c>
      <c r="O103">
        <f>D103/D99</f>
        <v>0.99528907922912191</v>
      </c>
      <c r="P103">
        <f>G103/G99</f>
        <v>1.0188791830252129</v>
      </c>
    </row>
    <row r="104" spans="1:16" x14ac:dyDescent="0.3">
      <c r="A104" t="s">
        <v>2</v>
      </c>
      <c r="B104">
        <v>2012.3</v>
      </c>
      <c r="C104">
        <v>0</v>
      </c>
      <c r="D104">
        <v>22.16</v>
      </c>
      <c r="E104">
        <v>230767</v>
      </c>
      <c r="F104">
        <v>6.5368139999999997</v>
      </c>
      <c r="G104">
        <v>229.84100000000001</v>
      </c>
      <c r="H104">
        <v>1.6412698412698401</v>
      </c>
      <c r="L104">
        <v>6.5368139999999997</v>
      </c>
      <c r="M104">
        <f>F100</f>
        <v>5.9055119999999999</v>
      </c>
      <c r="N104">
        <v>1.6412698412698401</v>
      </c>
      <c r="O104">
        <f>D104/D100</f>
        <v>0.96726320384111741</v>
      </c>
      <c r="P104">
        <f>G104/G100</f>
        <v>1.0168485971054315</v>
      </c>
    </row>
    <row r="105" spans="1:16" x14ac:dyDescent="0.3">
      <c r="A105" t="s">
        <v>2</v>
      </c>
      <c r="B105">
        <v>2012.4</v>
      </c>
      <c r="C105">
        <v>120</v>
      </c>
      <c r="D105">
        <v>22.61</v>
      </c>
      <c r="E105">
        <v>230887</v>
      </c>
      <c r="F105">
        <v>6.6986970000000001</v>
      </c>
      <c r="G105">
        <v>231.369333333333</v>
      </c>
      <c r="H105">
        <v>1.70704918032787</v>
      </c>
      <c r="L105">
        <v>6.6986970000000001</v>
      </c>
      <c r="M105">
        <f>F101</f>
        <v>6.0739010000000002</v>
      </c>
      <c r="N105">
        <v>1.70704918032787</v>
      </c>
      <c r="O105">
        <f>D105/D101</f>
        <v>1.0143562135486766</v>
      </c>
      <c r="P105">
        <f>G105/G101</f>
        <v>1.0190356783167094</v>
      </c>
    </row>
    <row r="106" spans="1:16" x14ac:dyDescent="0.3">
      <c r="A106" t="s">
        <v>2</v>
      </c>
      <c r="B106">
        <v>2013.1</v>
      </c>
      <c r="C106">
        <v>0</v>
      </c>
      <c r="D106">
        <v>22.68</v>
      </c>
      <c r="E106">
        <v>230887</v>
      </c>
      <c r="F106">
        <v>6.6086270000000003</v>
      </c>
      <c r="G106">
        <v>232.29933333333301</v>
      </c>
      <c r="H106">
        <v>1.9510000000000001</v>
      </c>
      <c r="L106">
        <v>6.6086270000000003</v>
      </c>
      <c r="M106">
        <f>F102</f>
        <v>6.1579709999999999</v>
      </c>
      <c r="N106">
        <v>1.9510000000000001</v>
      </c>
      <c r="O106">
        <f>D106/D102</f>
        <v>1.0075521990226566</v>
      </c>
      <c r="P106">
        <f>G106/G102</f>
        <v>1.0174020187509658</v>
      </c>
    </row>
    <row r="107" spans="1:16" x14ac:dyDescent="0.3">
      <c r="A107" t="s">
        <v>2</v>
      </c>
      <c r="B107">
        <v>2013.2</v>
      </c>
      <c r="C107">
        <v>20</v>
      </c>
      <c r="D107">
        <v>22.98</v>
      </c>
      <c r="E107">
        <v>230907</v>
      </c>
      <c r="F107">
        <v>6.4418660000000001</v>
      </c>
      <c r="G107">
        <v>232.04499999999999</v>
      </c>
      <c r="H107">
        <v>1.9862500000000001</v>
      </c>
      <c r="L107">
        <v>6.4418660000000001</v>
      </c>
      <c r="M107">
        <f>F103</f>
        <v>6.3274270000000001</v>
      </c>
      <c r="N107">
        <v>1.9862500000000001</v>
      </c>
      <c r="O107">
        <f>D107/D103</f>
        <v>0.98881239242685037</v>
      </c>
      <c r="P107">
        <f>G107/G103</f>
        <v>1.0141472326142442</v>
      </c>
    </row>
    <row r="108" spans="1:16" x14ac:dyDescent="0.3">
      <c r="A108" t="s">
        <v>2</v>
      </c>
      <c r="B108">
        <v>2013.3</v>
      </c>
      <c r="C108">
        <v>28</v>
      </c>
      <c r="D108">
        <v>23.18</v>
      </c>
      <c r="E108">
        <v>230935</v>
      </c>
      <c r="F108">
        <v>6.2891940000000002</v>
      </c>
      <c r="G108">
        <v>233.3</v>
      </c>
      <c r="H108">
        <v>2.7065625</v>
      </c>
      <c r="L108">
        <v>6.2891940000000002</v>
      </c>
      <c r="M108">
        <f>F104</f>
        <v>6.5368139999999997</v>
      </c>
      <c r="N108">
        <v>2.7065625</v>
      </c>
      <c r="O108">
        <f>D108/D104</f>
        <v>1.046028880866426</v>
      </c>
      <c r="P108">
        <f>G108/G104</f>
        <v>1.0150495342432377</v>
      </c>
    </row>
    <row r="109" spans="1:16" x14ac:dyDescent="0.3">
      <c r="A109" t="s">
        <v>2</v>
      </c>
      <c r="B109">
        <v>2013.4</v>
      </c>
      <c r="C109">
        <v>51</v>
      </c>
      <c r="D109">
        <v>23.42</v>
      </c>
      <c r="E109">
        <v>230986</v>
      </c>
      <c r="F109">
        <v>6.156892</v>
      </c>
      <c r="G109">
        <v>234.16266666666701</v>
      </c>
      <c r="H109">
        <v>2.7441935483870998</v>
      </c>
      <c r="L109">
        <v>6.156892</v>
      </c>
      <c r="M109">
        <f>F105</f>
        <v>6.6986970000000001</v>
      </c>
      <c r="N109">
        <v>2.7441935483870998</v>
      </c>
      <c r="O109">
        <f>D109/D105</f>
        <v>1.0358248562582928</v>
      </c>
      <c r="P109">
        <f>G109/G105</f>
        <v>1.0120730491508556</v>
      </c>
    </row>
    <row r="110" spans="1:16" x14ac:dyDescent="0.3">
      <c r="A110" t="s">
        <v>2</v>
      </c>
      <c r="B110">
        <v>2014.1</v>
      </c>
      <c r="C110">
        <v>0</v>
      </c>
      <c r="D110">
        <v>23.59</v>
      </c>
      <c r="E110">
        <v>230986</v>
      </c>
      <c r="F110">
        <v>6.0615509999999997</v>
      </c>
      <c r="G110">
        <v>235.62100000000001</v>
      </c>
      <c r="H110">
        <v>2.7654098360655701</v>
      </c>
      <c r="L110">
        <v>6.0615509999999997</v>
      </c>
      <c r="M110">
        <f>F106</f>
        <v>6.6086270000000003</v>
      </c>
      <c r="N110">
        <v>2.7654098360655701</v>
      </c>
      <c r="O110">
        <f>D110/D106</f>
        <v>1.0401234567901234</v>
      </c>
      <c r="P110">
        <f>G110/G106</f>
        <v>1.0142990796357587</v>
      </c>
    </row>
    <row r="111" spans="1:16" x14ac:dyDescent="0.3">
      <c r="A111" t="s">
        <v>2</v>
      </c>
      <c r="B111">
        <v>2014.2</v>
      </c>
      <c r="C111">
        <v>12</v>
      </c>
      <c r="D111">
        <v>23.24</v>
      </c>
      <c r="E111">
        <v>230998</v>
      </c>
      <c r="F111">
        <v>5.9465459999999997</v>
      </c>
      <c r="G111">
        <v>236.87233333333299</v>
      </c>
      <c r="H111">
        <v>2.6209523809523798</v>
      </c>
      <c r="L111">
        <v>5.9465459999999997</v>
      </c>
      <c r="M111">
        <f>F107</f>
        <v>6.4418660000000001</v>
      </c>
      <c r="N111">
        <v>2.6209523809523798</v>
      </c>
      <c r="O111">
        <f>D111/D107</f>
        <v>1.0113141862489121</v>
      </c>
      <c r="P111">
        <f>G111/G107</f>
        <v>1.0208034361151199</v>
      </c>
    </row>
    <row r="112" spans="1:16" x14ac:dyDescent="0.3">
      <c r="A112" t="s">
        <v>2</v>
      </c>
      <c r="B112">
        <v>2014.3</v>
      </c>
      <c r="C112">
        <v>102</v>
      </c>
      <c r="D112">
        <v>23.31</v>
      </c>
      <c r="E112">
        <v>231100</v>
      </c>
      <c r="F112">
        <v>5.7857279999999998</v>
      </c>
      <c r="G112">
        <v>237.47833333333301</v>
      </c>
      <c r="H112">
        <v>2.49953125</v>
      </c>
      <c r="L112">
        <v>5.7857279999999998</v>
      </c>
      <c r="M112">
        <f>F108</f>
        <v>6.2891940000000002</v>
      </c>
      <c r="N112">
        <v>2.49953125</v>
      </c>
      <c r="O112">
        <f>D112/D108</f>
        <v>1.0056082830025883</v>
      </c>
      <c r="P112">
        <f>G112/G108</f>
        <v>1.0179097013859109</v>
      </c>
    </row>
    <row r="113" spans="1:16" x14ac:dyDescent="0.3">
      <c r="A113" t="s">
        <v>2</v>
      </c>
      <c r="B113">
        <v>2014.4</v>
      </c>
      <c r="C113">
        <v>115</v>
      </c>
      <c r="D113">
        <v>24.2</v>
      </c>
      <c r="E113">
        <v>231215</v>
      </c>
      <c r="F113">
        <v>5.5662989999999999</v>
      </c>
      <c r="G113">
        <v>236.88833333333301</v>
      </c>
      <c r="H113">
        <v>2.2759677419354798</v>
      </c>
      <c r="L113">
        <v>5.5662989999999999</v>
      </c>
      <c r="M113">
        <f>F109</f>
        <v>6.156892</v>
      </c>
      <c r="N113">
        <v>2.2759677419354798</v>
      </c>
      <c r="O113">
        <f>D113/D109</f>
        <v>1.0333048676345002</v>
      </c>
      <c r="P113">
        <f>G113/G109</f>
        <v>1.0116400564849477</v>
      </c>
    </row>
    <row r="114" spans="1:16" x14ac:dyDescent="0.3">
      <c r="A114" t="s">
        <v>2</v>
      </c>
      <c r="B114">
        <v>2015.1</v>
      </c>
      <c r="C114">
        <v>531</v>
      </c>
      <c r="D114">
        <v>24.6</v>
      </c>
      <c r="E114">
        <v>231746</v>
      </c>
      <c r="F114">
        <v>5.4328500000000002</v>
      </c>
      <c r="G114">
        <v>235.35499999999999</v>
      </c>
      <c r="H114">
        <v>1.9688524590163901</v>
      </c>
      <c r="L114">
        <v>5.4328500000000002</v>
      </c>
      <c r="M114">
        <f>F110</f>
        <v>6.0615509999999997</v>
      </c>
      <c r="N114">
        <v>1.9688524590163901</v>
      </c>
      <c r="O114">
        <f>D114/D110</f>
        <v>1.0428147520135651</v>
      </c>
      <c r="P114">
        <f>G114/G110</f>
        <v>0.99887106836826933</v>
      </c>
    </row>
    <row r="115" spans="1:16" x14ac:dyDescent="0.3">
      <c r="A115" t="s">
        <v>2</v>
      </c>
      <c r="B115">
        <v>2015.2</v>
      </c>
      <c r="C115">
        <v>163</v>
      </c>
      <c r="D115">
        <v>24.62</v>
      </c>
      <c r="E115">
        <v>231909</v>
      </c>
      <c r="F115">
        <v>5.2937260000000004</v>
      </c>
      <c r="G115">
        <v>236.96</v>
      </c>
      <c r="H115">
        <v>2.1643750000000002</v>
      </c>
      <c r="L115">
        <v>5.2937260000000004</v>
      </c>
      <c r="M115">
        <f>F111</f>
        <v>5.9465459999999997</v>
      </c>
      <c r="N115">
        <v>2.1643750000000002</v>
      </c>
      <c r="O115">
        <f>D115/D111</f>
        <v>1.0593803786574871</v>
      </c>
      <c r="P115">
        <f>G115/G111</f>
        <v>1.0003701009123074</v>
      </c>
    </row>
    <row r="116" spans="1:16" x14ac:dyDescent="0.3">
      <c r="A116" t="s">
        <v>2</v>
      </c>
      <c r="B116">
        <v>2015.3</v>
      </c>
      <c r="C116">
        <v>151</v>
      </c>
      <c r="D116">
        <v>24.79</v>
      </c>
      <c r="E116">
        <v>232060</v>
      </c>
      <c r="F116">
        <v>5.252059</v>
      </c>
      <c r="G116">
        <v>237.85499999999999</v>
      </c>
      <c r="H116">
        <v>2.223125</v>
      </c>
      <c r="L116">
        <v>5.252059</v>
      </c>
      <c r="M116">
        <f>F112</f>
        <v>5.7857279999999998</v>
      </c>
      <c r="N116">
        <v>2.223125</v>
      </c>
      <c r="O116">
        <f>D116/D112</f>
        <v>1.0634920634920635</v>
      </c>
      <c r="P116">
        <f>G116/G112</f>
        <v>1.0015861096100007</v>
      </c>
    </row>
    <row r="117" spans="1:16" x14ac:dyDescent="0.3">
      <c r="A117" t="s">
        <v>2</v>
      </c>
      <c r="B117">
        <v>2015.4</v>
      </c>
      <c r="C117">
        <v>24</v>
      </c>
      <c r="D117">
        <v>24.93</v>
      </c>
      <c r="E117">
        <v>232084</v>
      </c>
      <c r="F117">
        <v>5.1105879999999999</v>
      </c>
      <c r="G117">
        <v>237.83699999999999</v>
      </c>
      <c r="H117">
        <v>2.1904838709677401</v>
      </c>
      <c r="L117">
        <v>5.1105879999999999</v>
      </c>
      <c r="M117">
        <f>F113</f>
        <v>5.5662989999999999</v>
      </c>
      <c r="N117">
        <v>2.1904838709677401</v>
      </c>
      <c r="O117">
        <f>D117/D113</f>
        <v>1.0301652892561983</v>
      </c>
      <c r="P117">
        <f>G117/G113</f>
        <v>1.0040046998234062</v>
      </c>
    </row>
    <row r="118" spans="1:16" x14ac:dyDescent="0.3">
      <c r="A118" t="s">
        <v>2</v>
      </c>
      <c r="B118">
        <v>2016.1</v>
      </c>
      <c r="C118">
        <v>450</v>
      </c>
      <c r="D118">
        <v>25.13</v>
      </c>
      <c r="E118">
        <v>232534</v>
      </c>
      <c r="F118">
        <v>5.1794849999999997</v>
      </c>
      <c r="G118">
        <v>237.689333333333</v>
      </c>
      <c r="H118">
        <v>1.9142619999999999</v>
      </c>
      <c r="L118">
        <v>5.1794849999999997</v>
      </c>
      <c r="M118">
        <f>F114</f>
        <v>5.4328500000000002</v>
      </c>
      <c r="N118">
        <v>1.9142619999999999</v>
      </c>
      <c r="O118">
        <f>D118/D114</f>
        <v>1.0215447154471544</v>
      </c>
      <c r="P118">
        <f>G118/G114</f>
        <v>1.0099183502935267</v>
      </c>
    </row>
    <row r="119" spans="1:16" x14ac:dyDescent="0.3">
      <c r="A119" t="s">
        <v>2</v>
      </c>
      <c r="B119">
        <v>2016.2</v>
      </c>
      <c r="C119">
        <v>91</v>
      </c>
      <c r="D119">
        <v>25.18</v>
      </c>
      <c r="E119">
        <v>232625</v>
      </c>
      <c r="F119">
        <v>5.1280830000000002</v>
      </c>
      <c r="G119">
        <v>239.59033333333301</v>
      </c>
      <c r="H119">
        <v>1.750156</v>
      </c>
      <c r="L119">
        <v>5.1280830000000002</v>
      </c>
      <c r="M119">
        <f>F115</f>
        <v>5.2937260000000004</v>
      </c>
      <c r="N119">
        <v>1.750156</v>
      </c>
      <c r="O119">
        <f>D119/D115</f>
        <v>1.0227457351746547</v>
      </c>
      <c r="P119">
        <f>G119/G115</f>
        <v>1.0111003263560643</v>
      </c>
    </row>
    <row r="120" spans="1:16" x14ac:dyDescent="0.3">
      <c r="A120" t="s">
        <v>2</v>
      </c>
      <c r="B120">
        <v>2016.3</v>
      </c>
      <c r="C120">
        <v>71</v>
      </c>
      <c r="D120">
        <v>24.96</v>
      </c>
      <c r="E120">
        <v>232696</v>
      </c>
      <c r="F120">
        <v>5.0758010000000002</v>
      </c>
      <c r="G120">
        <v>240.607333333333</v>
      </c>
      <c r="H120">
        <v>1.5643750000000001</v>
      </c>
      <c r="L120">
        <v>5.0758010000000002</v>
      </c>
      <c r="M120">
        <f>F116</f>
        <v>5.252059</v>
      </c>
      <c r="N120">
        <v>1.5643750000000001</v>
      </c>
      <c r="O120">
        <f>D120/D116</f>
        <v>1.0068576038725292</v>
      </c>
      <c r="P120">
        <f>G120/G116</f>
        <v>1.011571475618898</v>
      </c>
    </row>
    <row r="121" spans="1:16" x14ac:dyDescent="0.3">
      <c r="A121" t="s">
        <v>2</v>
      </c>
      <c r="B121">
        <v>2016.4</v>
      </c>
      <c r="C121">
        <v>1147</v>
      </c>
      <c r="D121">
        <v>25.16</v>
      </c>
      <c r="E121">
        <v>233843</v>
      </c>
      <c r="F121">
        <v>5.0768399999999998</v>
      </c>
      <c r="G121">
        <v>242.13466666666699</v>
      </c>
      <c r="H121">
        <v>2.1386889999999998</v>
      </c>
      <c r="L121">
        <v>5.0768399999999998</v>
      </c>
      <c r="M121">
        <f>F117</f>
        <v>5.1105879999999999</v>
      </c>
      <c r="N121">
        <v>2.1386889999999998</v>
      </c>
      <c r="O121">
        <f>D121/D117</f>
        <v>1.0092258323305254</v>
      </c>
      <c r="P121">
        <f>G121/G117</f>
        <v>1.0180697985034581</v>
      </c>
    </row>
    <row r="122" spans="1:16" x14ac:dyDescent="0.3">
      <c r="A122" t="s">
        <v>2</v>
      </c>
      <c r="B122">
        <v>2017.1</v>
      </c>
      <c r="C122">
        <v>1511</v>
      </c>
      <c r="D122">
        <v>25.31</v>
      </c>
      <c r="E122">
        <v>235354</v>
      </c>
      <c r="F122">
        <v>5.0813280000000001</v>
      </c>
      <c r="G122">
        <v>243.838666666667</v>
      </c>
      <c r="H122">
        <v>2.4466130000000001</v>
      </c>
      <c r="L122">
        <v>5.0813280000000001</v>
      </c>
      <c r="M122">
        <f>F118</f>
        <v>5.1794849999999997</v>
      </c>
      <c r="N122">
        <v>2.4466130000000001</v>
      </c>
      <c r="O122">
        <f>D122/D118</f>
        <v>1.0071627536808596</v>
      </c>
      <c r="P122">
        <f>G122/G118</f>
        <v>1.0258713054014512</v>
      </c>
    </row>
    <row r="123" spans="1:16" x14ac:dyDescent="0.3">
      <c r="A123" t="s">
        <v>2</v>
      </c>
      <c r="B123">
        <v>2017.2</v>
      </c>
      <c r="C123">
        <v>248</v>
      </c>
      <c r="D123">
        <v>25.34</v>
      </c>
      <c r="E123">
        <v>235602</v>
      </c>
      <c r="F123">
        <v>5.15815</v>
      </c>
      <c r="G123">
        <v>244.12</v>
      </c>
      <c r="H123">
        <v>2.2609520000000001</v>
      </c>
      <c r="L123">
        <v>5.15815</v>
      </c>
      <c r="M123">
        <f>F119</f>
        <v>5.1280830000000002</v>
      </c>
      <c r="N123">
        <v>2.2609520000000001</v>
      </c>
      <c r="O123">
        <f>D123/D119</f>
        <v>1.0063542494042892</v>
      </c>
      <c r="P123">
        <f>G123/G119</f>
        <v>1.018905882402046</v>
      </c>
    </row>
    <row r="124" spans="1:16" x14ac:dyDescent="0.3">
      <c r="A124" t="s">
        <v>2</v>
      </c>
      <c r="B124">
        <v>2017.3</v>
      </c>
      <c r="C124">
        <v>420</v>
      </c>
      <c r="D124">
        <v>25.52</v>
      </c>
      <c r="E124">
        <v>236022</v>
      </c>
      <c r="F124">
        <v>5.2519669999999996</v>
      </c>
      <c r="G124">
        <v>245.28700000000001</v>
      </c>
      <c r="H124">
        <v>2.2414290000000001</v>
      </c>
      <c r="L124">
        <v>5.2519669999999996</v>
      </c>
      <c r="M124">
        <f>F120</f>
        <v>5.0758010000000002</v>
      </c>
      <c r="N124">
        <v>2.2414290000000001</v>
      </c>
      <c r="O124">
        <f>D124/D120</f>
        <v>1.0224358974358974</v>
      </c>
      <c r="P124">
        <f>G124/G120</f>
        <v>1.019449393340742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D0C9-71DE-4356-8B90-C6172B208CFD}">
  <dimension ref="A1:I145"/>
  <sheetViews>
    <sheetView workbookViewId="0">
      <selection activeCell="E18" sqref="E18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0.89523552562948194</v>
      </c>
    </row>
    <row r="5" spans="1:9" x14ac:dyDescent="0.3">
      <c r="A5" s="2" t="s">
        <v>21</v>
      </c>
      <c r="B5" s="2">
        <v>0.80144664634909479</v>
      </c>
    </row>
    <row r="6" spans="1:9" x14ac:dyDescent="0.3">
      <c r="A6" s="2" t="s">
        <v>22</v>
      </c>
      <c r="B6" s="2">
        <v>0.79626699364515818</v>
      </c>
    </row>
    <row r="7" spans="1:9" x14ac:dyDescent="0.3">
      <c r="A7" s="2" t="s">
        <v>23</v>
      </c>
      <c r="B7" s="2">
        <v>0.8101369749136863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304.65768475446856</v>
      </c>
      <c r="D12" s="2">
        <v>101.55256158482285</v>
      </c>
      <c r="E12" s="2">
        <v>154.72980374533154</v>
      </c>
      <c r="F12" s="2">
        <v>3.2801946124879948E-40</v>
      </c>
    </row>
    <row r="13" spans="1:9" x14ac:dyDescent="0.3">
      <c r="A13" s="2" t="s">
        <v>27</v>
      </c>
      <c r="B13" s="2">
        <v>115</v>
      </c>
      <c r="C13" s="2">
        <v>75.477020584064363</v>
      </c>
      <c r="D13" s="2">
        <v>0.65632191812229879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380.13470533853291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2.0865650570679337</v>
      </c>
      <c r="C17" s="2">
        <v>1.0204253580056184</v>
      </c>
      <c r="D17" s="2">
        <v>2.0447992993294912</v>
      </c>
      <c r="E17" s="2">
        <v>4.3157485381480287E-2</v>
      </c>
      <c r="F17" s="2">
        <v>6.5298812796747541E-2</v>
      </c>
      <c r="G17" s="2">
        <v>4.1078313013391199</v>
      </c>
      <c r="H17" s="2">
        <v>6.5298812796747541E-2</v>
      </c>
      <c r="I17" s="2">
        <v>4.1078313013391199</v>
      </c>
    </row>
    <row r="18" spans="1:9" x14ac:dyDescent="0.3">
      <c r="A18" s="2" t="s">
        <v>42</v>
      </c>
      <c r="B18" s="2">
        <v>0.83782770202118739</v>
      </c>
      <c r="C18" s="2">
        <v>4.1985285448946183E-2</v>
      </c>
      <c r="D18" s="2">
        <v>19.955269877585568</v>
      </c>
      <c r="E18" s="2">
        <v>3.7384670255637319E-39</v>
      </c>
      <c r="F18" s="2">
        <v>0.75466293198851453</v>
      </c>
      <c r="G18" s="2">
        <v>0.92099247205386026</v>
      </c>
      <c r="H18" s="2">
        <v>0.75466293198851453</v>
      </c>
      <c r="I18" s="2">
        <v>0.92099247205386026</v>
      </c>
    </row>
    <row r="19" spans="1:9" x14ac:dyDescent="0.3">
      <c r="A19" s="2" t="s">
        <v>43</v>
      </c>
      <c r="B19" s="2">
        <v>0.16169399990416342</v>
      </c>
      <c r="C19" s="2">
        <v>3.6020644142845004E-2</v>
      </c>
      <c r="D19" s="2">
        <v>4.4889258299474823</v>
      </c>
      <c r="E19" s="2">
        <v>1.7097450682391697E-5</v>
      </c>
      <c r="F19" s="2">
        <v>9.0344036350595638E-2</v>
      </c>
      <c r="G19" s="2">
        <v>0.23304396345773121</v>
      </c>
      <c r="H19" s="2">
        <v>9.0344036350595638E-2</v>
      </c>
      <c r="I19" s="2">
        <v>0.23304396345773121</v>
      </c>
    </row>
    <row r="20" spans="1:9" ht="15" thickBot="1" x14ac:dyDescent="0.35">
      <c r="A20" s="3" t="s">
        <v>44</v>
      </c>
      <c r="B20" s="3">
        <v>-1.6451235038908993</v>
      </c>
      <c r="C20" s="3">
        <v>0.98135230530379924</v>
      </c>
      <c r="D20" s="3">
        <v>-1.6763842047343183</v>
      </c>
      <c r="E20" s="3">
        <v>9.6379503964113725E-2</v>
      </c>
      <c r="F20" s="3">
        <v>-3.5889935507163715</v>
      </c>
      <c r="G20" s="3">
        <v>0.29874654293457281</v>
      </c>
      <c r="H20" s="3">
        <v>-3.5889935507163715</v>
      </c>
      <c r="I20" s="3">
        <v>0.29874654293457281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5.5686948057750323</v>
      </c>
      <c r="C27" s="2">
        <v>-0.79250880577503224</v>
      </c>
    </row>
    <row r="28" spans="1:9" x14ac:dyDescent="0.3">
      <c r="A28" s="2">
        <v>2</v>
      </c>
      <c r="B28" s="2">
        <v>5.6883295239798821</v>
      </c>
      <c r="C28" s="2">
        <v>-0.92549252397988191</v>
      </c>
    </row>
    <row r="29" spans="1:9" x14ac:dyDescent="0.3">
      <c r="A29" s="2">
        <v>3</v>
      </c>
      <c r="B29" s="2">
        <v>5.7840723131045415</v>
      </c>
      <c r="C29" s="2">
        <v>-1.1671123131045418</v>
      </c>
    </row>
    <row r="30" spans="1:9" x14ac:dyDescent="0.3">
      <c r="A30" s="2">
        <v>4</v>
      </c>
      <c r="B30" s="2">
        <v>5.8917935283772866</v>
      </c>
      <c r="C30" s="2">
        <v>-1.3968135283772867</v>
      </c>
    </row>
    <row r="31" spans="1:9" x14ac:dyDescent="0.3">
      <c r="A31" s="2">
        <v>5</v>
      </c>
      <c r="B31" s="2">
        <v>6.0405275208642628</v>
      </c>
      <c r="C31" s="2">
        <v>-1.4235705208642626</v>
      </c>
    </row>
    <row r="32" spans="1:9" x14ac:dyDescent="0.3">
      <c r="A32" s="2">
        <v>6</v>
      </c>
      <c r="B32" s="2">
        <v>5.8846835347594393</v>
      </c>
      <c r="C32" s="2">
        <v>-1.0830015347594397</v>
      </c>
    </row>
    <row r="33" spans="1:3" x14ac:dyDescent="0.3">
      <c r="A33" s="2">
        <v>7</v>
      </c>
      <c r="B33" s="2">
        <v>5.6096291733594983</v>
      </c>
      <c r="C33" s="2">
        <v>-0.37766317335949839</v>
      </c>
    </row>
    <row r="34" spans="1:3" x14ac:dyDescent="0.3">
      <c r="A34" s="2">
        <v>8</v>
      </c>
      <c r="B34" s="2">
        <v>5.4266633563271061</v>
      </c>
      <c r="C34" s="2">
        <v>0.15894864367289419</v>
      </c>
    </row>
    <row r="35" spans="1:3" x14ac:dyDescent="0.3">
      <c r="A35" s="2">
        <v>9</v>
      </c>
      <c r="B35" s="2">
        <v>5.5371587986045814</v>
      </c>
      <c r="C35" s="2">
        <v>0.15252420139541822</v>
      </c>
    </row>
    <row r="36" spans="1:3" x14ac:dyDescent="0.3">
      <c r="A36" s="2">
        <v>10</v>
      </c>
      <c r="B36" s="2">
        <v>5.6543004735730129</v>
      </c>
      <c r="C36" s="2">
        <v>0.3930455264269872</v>
      </c>
    </row>
    <row r="37" spans="1:3" x14ac:dyDescent="0.3">
      <c r="A37" s="2">
        <v>11</v>
      </c>
      <c r="B37" s="2">
        <v>6.0017400308035853</v>
      </c>
      <c r="C37" s="2">
        <v>0.29012096919641461</v>
      </c>
    </row>
    <row r="38" spans="1:3" x14ac:dyDescent="0.3">
      <c r="A38" s="2">
        <v>12</v>
      </c>
      <c r="B38" s="2">
        <v>6.2312492251726193</v>
      </c>
      <c r="C38" s="2">
        <v>0.28200277482738034</v>
      </c>
    </row>
    <row r="39" spans="1:3" x14ac:dyDescent="0.3">
      <c r="A39" s="2">
        <v>13</v>
      </c>
      <c r="B39" s="2">
        <v>6.3915501217019663</v>
      </c>
      <c r="C39" s="2">
        <v>0.45493587829803328</v>
      </c>
    </row>
    <row r="40" spans="1:3" x14ac:dyDescent="0.3">
      <c r="A40" s="2">
        <v>14</v>
      </c>
      <c r="B40" s="2">
        <v>6.8316085876271266</v>
      </c>
      <c r="C40" s="2">
        <v>0.2146214123728738</v>
      </c>
    </row>
    <row r="41" spans="1:3" x14ac:dyDescent="0.3">
      <c r="A41" s="2">
        <v>15</v>
      </c>
      <c r="B41" s="2">
        <v>7.0652459635503986</v>
      </c>
      <c r="C41" s="2">
        <v>0.4235980364496017</v>
      </c>
    </row>
    <row r="42" spans="1:3" x14ac:dyDescent="0.3">
      <c r="A42" s="2">
        <v>16</v>
      </c>
      <c r="B42" s="2">
        <v>7.2070319018394073</v>
      </c>
      <c r="C42" s="2">
        <v>0.22941209816059249</v>
      </c>
    </row>
    <row r="43" spans="1:3" x14ac:dyDescent="0.3">
      <c r="A43" s="2">
        <v>17</v>
      </c>
      <c r="B43" s="2">
        <v>7.442592775745748</v>
      </c>
      <c r="C43" s="2">
        <v>0.74931322425425151</v>
      </c>
    </row>
    <row r="44" spans="1:3" x14ac:dyDescent="0.3">
      <c r="A44" s="2">
        <v>18</v>
      </c>
      <c r="B44" s="2">
        <v>7.5822040611222015</v>
      </c>
      <c r="C44" s="2">
        <v>1.5166239388777978</v>
      </c>
    </row>
    <row r="45" spans="1:3" x14ac:dyDescent="0.3">
      <c r="A45" s="2">
        <v>19</v>
      </c>
      <c r="B45" s="2">
        <v>7.8059210953211169</v>
      </c>
      <c r="C45" s="2">
        <v>2.4414689046788824</v>
      </c>
    </row>
    <row r="46" spans="1:3" x14ac:dyDescent="0.3">
      <c r="A46" s="2">
        <v>20</v>
      </c>
      <c r="B46" s="2">
        <v>7.7574178810334278</v>
      </c>
      <c r="C46" s="2">
        <v>3.3060121189665725</v>
      </c>
    </row>
    <row r="47" spans="1:3" x14ac:dyDescent="0.3">
      <c r="A47" s="2">
        <v>21</v>
      </c>
      <c r="B47" s="2">
        <v>8.2922491498220374</v>
      </c>
      <c r="C47" s="2">
        <v>2.8986508501779618</v>
      </c>
    </row>
    <row r="48" spans="1:3" x14ac:dyDescent="0.3">
      <c r="A48" s="2">
        <v>22</v>
      </c>
      <c r="B48" s="2">
        <v>8.988545374858532</v>
      </c>
      <c r="C48" s="2">
        <v>2.3411946251414673</v>
      </c>
    </row>
    <row r="49" spans="1:3" x14ac:dyDescent="0.3">
      <c r="A49" s="2">
        <v>23</v>
      </c>
      <c r="B49" s="2">
        <v>9.9133615601336196</v>
      </c>
      <c r="C49" s="2">
        <v>0.84941843986637977</v>
      </c>
    </row>
    <row r="50" spans="1:3" x14ac:dyDescent="0.3">
      <c r="A50" s="2">
        <v>24</v>
      </c>
      <c r="B50" s="2">
        <v>10.620204872495908</v>
      </c>
      <c r="C50" s="2">
        <v>0.26672512750409183</v>
      </c>
    </row>
    <row r="51" spans="1:3" x14ac:dyDescent="0.3">
      <c r="A51" s="2">
        <v>25</v>
      </c>
      <c r="B51" s="2">
        <v>10.795152905848179</v>
      </c>
      <c r="C51" s="2">
        <v>0.218607094151821</v>
      </c>
    </row>
    <row r="52" spans="1:3" x14ac:dyDescent="0.3">
      <c r="A52" s="2">
        <v>26</v>
      </c>
      <c r="B52" s="2">
        <v>11.064807905092701</v>
      </c>
      <c r="C52" s="2">
        <v>-0.12727790509270065</v>
      </c>
    </row>
    <row r="53" spans="1:3" x14ac:dyDescent="0.3">
      <c r="A53" s="2">
        <v>27</v>
      </c>
      <c r="B53" s="2">
        <v>10.565549103158672</v>
      </c>
      <c r="C53" s="2">
        <v>-0.18602910315867227</v>
      </c>
    </row>
    <row r="54" spans="1:3" x14ac:dyDescent="0.3">
      <c r="A54" s="2">
        <v>28</v>
      </c>
      <c r="B54" s="2">
        <v>10.685226223918967</v>
      </c>
      <c r="C54" s="2">
        <v>-0.48973622391896754</v>
      </c>
    </row>
    <row r="55" spans="1:3" x14ac:dyDescent="0.3">
      <c r="A55" s="2">
        <v>29</v>
      </c>
      <c r="B55" s="2">
        <v>10.788020850867508</v>
      </c>
      <c r="C55" s="2">
        <v>-0.49289085086750717</v>
      </c>
    </row>
    <row r="56" spans="1:3" x14ac:dyDescent="0.3">
      <c r="A56" s="2">
        <v>30</v>
      </c>
      <c r="B56" s="2">
        <v>10.636499548647535</v>
      </c>
      <c r="C56" s="2">
        <v>-0.89471454864753497</v>
      </c>
    </row>
    <row r="57" spans="1:3" x14ac:dyDescent="0.3">
      <c r="A57" s="2">
        <v>31</v>
      </c>
      <c r="B57" s="2">
        <v>10.087848478521142</v>
      </c>
      <c r="C57" s="2">
        <v>-0.27752547852114162</v>
      </c>
    </row>
    <row r="58" spans="1:3" x14ac:dyDescent="0.3">
      <c r="A58" s="2">
        <v>32</v>
      </c>
      <c r="B58" s="2">
        <v>9.824129877150682</v>
      </c>
      <c r="C58" s="2">
        <v>-0.16838887715068118</v>
      </c>
    </row>
    <row r="59" spans="1:3" x14ac:dyDescent="0.3">
      <c r="A59" s="2">
        <v>33</v>
      </c>
      <c r="B59" s="2">
        <v>9.7878504927913035</v>
      </c>
      <c r="C59" s="2">
        <v>-1.0760604927913029</v>
      </c>
    </row>
    <row r="60" spans="1:3" x14ac:dyDescent="0.3">
      <c r="A60" s="2">
        <v>34</v>
      </c>
      <c r="B60" s="2">
        <v>9.3267238793394736</v>
      </c>
      <c r="C60" s="2">
        <v>-0.63854387933947443</v>
      </c>
    </row>
    <row r="61" spans="1:3" x14ac:dyDescent="0.3">
      <c r="A61" s="2">
        <v>35</v>
      </c>
      <c r="B61" s="2">
        <v>9.4227312809821893</v>
      </c>
      <c r="C61" s="2">
        <v>-0.91093228098218937</v>
      </c>
    </row>
    <row r="62" spans="1:3" x14ac:dyDescent="0.3">
      <c r="A62" s="2">
        <v>36</v>
      </c>
      <c r="B62" s="2">
        <v>9.2561007959894361</v>
      </c>
      <c r="C62" s="2">
        <v>-0.83989079598943661</v>
      </c>
    </row>
    <row r="63" spans="1:3" x14ac:dyDescent="0.3">
      <c r="A63" s="2">
        <v>37</v>
      </c>
      <c r="B63" s="2">
        <v>8.4887404389309342</v>
      </c>
      <c r="C63" s="2">
        <v>0.10313556106906496</v>
      </c>
    </row>
    <row r="64" spans="1:3" x14ac:dyDescent="0.3">
      <c r="A64" s="2">
        <v>38</v>
      </c>
      <c r="B64" s="2">
        <v>8.4793453156296099</v>
      </c>
      <c r="C64" s="2">
        <v>0.20924868437039024</v>
      </c>
    </row>
    <row r="65" spans="1:3" x14ac:dyDescent="0.3">
      <c r="A65" s="2">
        <v>39</v>
      </c>
      <c r="B65" s="2">
        <v>8.2151645104223885</v>
      </c>
      <c r="C65" s="2">
        <v>1.2508844895776114</v>
      </c>
    </row>
    <row r="66" spans="1:3" x14ac:dyDescent="0.3">
      <c r="A66" s="2">
        <v>40</v>
      </c>
      <c r="B66" s="2">
        <v>8.0365062680853629</v>
      </c>
      <c r="C66" s="2">
        <v>1.4215597319146376</v>
      </c>
    </row>
    <row r="67" spans="1:3" x14ac:dyDescent="0.3">
      <c r="A67" s="2">
        <v>41</v>
      </c>
      <c r="B67" s="2">
        <v>8.273739670699511</v>
      </c>
      <c r="C67" s="2">
        <v>1.1700423293004896</v>
      </c>
    </row>
    <row r="68" spans="1:3" x14ac:dyDescent="0.3">
      <c r="A68" s="2">
        <v>42</v>
      </c>
      <c r="B68" s="2">
        <v>8.4865534591300911</v>
      </c>
      <c r="C68" s="2">
        <v>0.71356154086990919</v>
      </c>
    </row>
    <row r="69" spans="1:3" x14ac:dyDescent="0.3">
      <c r="A69" s="2">
        <v>43</v>
      </c>
      <c r="B69" s="2">
        <v>9.1128595203678557</v>
      </c>
      <c r="C69" s="2">
        <v>-0.59086652036785559</v>
      </c>
    </row>
    <row r="70" spans="1:3" x14ac:dyDescent="0.3">
      <c r="A70" s="2">
        <v>44</v>
      </c>
      <c r="B70" s="2">
        <v>9.0555246009248727</v>
      </c>
      <c r="C70" s="2">
        <v>-1.0691246009248729</v>
      </c>
    </row>
    <row r="71" spans="1:3" x14ac:dyDescent="0.3">
      <c r="A71" s="2">
        <v>45</v>
      </c>
      <c r="B71" s="2">
        <v>9.0809819263434388</v>
      </c>
      <c r="C71" s="2">
        <v>-1.1781299263434386</v>
      </c>
    </row>
    <row r="72" spans="1:3" x14ac:dyDescent="0.3">
      <c r="A72" s="2">
        <v>46</v>
      </c>
      <c r="B72" s="2">
        <v>8.9448526194976292</v>
      </c>
      <c r="C72" s="2">
        <v>-0.95754061949762903</v>
      </c>
    </row>
    <row r="73" spans="1:3" x14ac:dyDescent="0.3">
      <c r="A73" s="2">
        <v>47</v>
      </c>
      <c r="B73" s="2">
        <v>8.4603218573979824</v>
      </c>
      <c r="C73" s="2">
        <v>-0.43983685739798162</v>
      </c>
    </row>
    <row r="74" spans="1:3" x14ac:dyDescent="0.3">
      <c r="A74" s="2">
        <v>48</v>
      </c>
      <c r="B74" s="2">
        <v>8.0825119032927901</v>
      </c>
      <c r="C74" s="2">
        <v>0.21737409670721064</v>
      </c>
    </row>
    <row r="75" spans="1:3" x14ac:dyDescent="0.3">
      <c r="A75" s="2">
        <v>49</v>
      </c>
      <c r="B75" s="2">
        <v>8.0690194061395992</v>
      </c>
      <c r="C75" s="2">
        <v>0.57223359386040151</v>
      </c>
    </row>
    <row r="76" spans="1:3" x14ac:dyDescent="0.3">
      <c r="A76" s="2">
        <v>50</v>
      </c>
      <c r="B76" s="2">
        <v>8.0997265042971662</v>
      </c>
      <c r="C76" s="2">
        <v>0.36074349570283459</v>
      </c>
    </row>
    <row r="77" spans="1:3" x14ac:dyDescent="0.3">
      <c r="A77" s="2">
        <v>51</v>
      </c>
      <c r="B77" s="2">
        <v>8.0896895325094551</v>
      </c>
      <c r="C77" s="2">
        <v>0.28636546749054403</v>
      </c>
    </row>
    <row r="78" spans="1:3" x14ac:dyDescent="0.3">
      <c r="A78" s="2">
        <v>52</v>
      </c>
      <c r="B78" s="2">
        <v>8.2818533607011027</v>
      </c>
      <c r="C78" s="2">
        <v>0.19494763929889736</v>
      </c>
    </row>
    <row r="79" spans="1:3" x14ac:dyDescent="0.3">
      <c r="A79" s="2">
        <v>53</v>
      </c>
      <c r="B79" s="2">
        <v>8.5434465713538881</v>
      </c>
      <c r="C79" s="2">
        <v>-0.27209757135388735</v>
      </c>
    </row>
    <row r="80" spans="1:3" x14ac:dyDescent="0.3">
      <c r="A80" s="2">
        <v>54</v>
      </c>
      <c r="B80" s="2">
        <v>8.488563883035356</v>
      </c>
      <c r="C80" s="2">
        <v>-2.3138883035356272E-2</v>
      </c>
    </row>
    <row r="81" spans="1:3" x14ac:dyDescent="0.3">
      <c r="A81" s="2">
        <v>55</v>
      </c>
      <c r="B81" s="2">
        <v>8.3987743220153455</v>
      </c>
      <c r="C81" s="2">
        <v>0.18996167798465535</v>
      </c>
    </row>
    <row r="82" spans="1:3" x14ac:dyDescent="0.3">
      <c r="A82" s="2">
        <v>56</v>
      </c>
      <c r="B82" s="2">
        <v>8.4692153781491442</v>
      </c>
      <c r="C82" s="2">
        <v>0.44744262185085582</v>
      </c>
    </row>
    <row r="83" spans="1:3" x14ac:dyDescent="0.3">
      <c r="A83" s="2">
        <v>57</v>
      </c>
      <c r="B83" s="2">
        <v>8.3646530882934957</v>
      </c>
      <c r="C83" s="2">
        <v>0.59570291170650513</v>
      </c>
    </row>
    <row r="84" spans="1:3" x14ac:dyDescent="0.3">
      <c r="A84" s="2">
        <v>58</v>
      </c>
      <c r="B84" s="2">
        <v>8.546541433231809</v>
      </c>
      <c r="C84" s="2">
        <v>0.47357956676819057</v>
      </c>
    </row>
    <row r="85" spans="1:3" x14ac:dyDescent="0.3">
      <c r="A85" s="2">
        <v>59</v>
      </c>
      <c r="B85" s="2">
        <v>8.5141498512226956</v>
      </c>
      <c r="C85" s="2">
        <v>0.75719314877730426</v>
      </c>
    </row>
    <row r="86" spans="1:3" x14ac:dyDescent="0.3">
      <c r="A86" s="2">
        <v>60</v>
      </c>
      <c r="B86" s="2">
        <v>8.7678555693121787</v>
      </c>
      <c r="C86" s="2">
        <v>0.18201943068782178</v>
      </c>
    </row>
    <row r="87" spans="1:3" x14ac:dyDescent="0.3">
      <c r="A87" s="2">
        <v>61</v>
      </c>
      <c r="B87" s="2">
        <v>8.7727565623358288</v>
      </c>
      <c r="C87" s="2">
        <v>7.5227437664171504E-2</v>
      </c>
    </row>
    <row r="88" spans="1:3" x14ac:dyDescent="0.3">
      <c r="A88" s="2">
        <v>62</v>
      </c>
      <c r="B88" s="2">
        <v>8.6924655461346525</v>
      </c>
      <c r="C88" s="2">
        <v>-0.11064954613465261</v>
      </c>
    </row>
    <row r="89" spans="1:3" x14ac:dyDescent="0.3">
      <c r="A89" s="2">
        <v>63</v>
      </c>
      <c r="B89" s="2">
        <v>8.9774775293156139</v>
      </c>
      <c r="C89" s="2">
        <v>-0.82808852931561461</v>
      </c>
    </row>
    <row r="90" spans="1:3" x14ac:dyDescent="0.3">
      <c r="A90" s="2">
        <v>64</v>
      </c>
      <c r="B90" s="2">
        <v>8.6426721316039714</v>
      </c>
      <c r="C90" s="2">
        <v>-0.57527613160397095</v>
      </c>
    </row>
    <row r="91" spans="1:3" x14ac:dyDescent="0.3">
      <c r="A91" s="2">
        <v>65</v>
      </c>
      <c r="B91" s="2">
        <v>8.4773115741131182</v>
      </c>
      <c r="C91" s="2">
        <v>-0.59737057411311856</v>
      </c>
    </row>
    <row r="92" spans="1:3" x14ac:dyDescent="0.3">
      <c r="A92" s="2">
        <v>66</v>
      </c>
      <c r="B92" s="2">
        <v>8.3697638789943856</v>
      </c>
      <c r="C92" s="2">
        <v>-0.7330088789943856</v>
      </c>
    </row>
    <row r="93" spans="1:3" x14ac:dyDescent="0.3">
      <c r="A93" s="2">
        <v>67</v>
      </c>
      <c r="B93" s="2">
        <v>7.9708225307048046</v>
      </c>
      <c r="C93" s="2">
        <v>-0.48410253070480458</v>
      </c>
    </row>
    <row r="94" spans="1:3" x14ac:dyDescent="0.3">
      <c r="A94" s="2">
        <v>68</v>
      </c>
      <c r="B94" s="2">
        <v>7.9205178294698229</v>
      </c>
      <c r="C94" s="2">
        <v>-0.57105582946982292</v>
      </c>
    </row>
    <row r="95" spans="1:3" x14ac:dyDescent="0.3">
      <c r="A95" s="2">
        <v>69</v>
      </c>
      <c r="B95" s="2">
        <v>7.7625409380628163</v>
      </c>
      <c r="C95" s="2">
        <v>-0.41661893806281647</v>
      </c>
    </row>
    <row r="96" spans="1:3" x14ac:dyDescent="0.3">
      <c r="A96" s="2">
        <v>70</v>
      </c>
      <c r="B96" s="2">
        <v>7.5253233092707816</v>
      </c>
      <c r="C96" s="2">
        <v>-0.38251330927078175</v>
      </c>
    </row>
    <row r="97" spans="1:3" x14ac:dyDescent="0.3">
      <c r="A97" s="2">
        <v>71</v>
      </c>
      <c r="B97" s="2">
        <v>7.392534374825944</v>
      </c>
      <c r="C97" s="2">
        <v>-0.50130737482594423</v>
      </c>
    </row>
    <row r="98" spans="1:3" x14ac:dyDescent="0.3">
      <c r="A98" s="2">
        <v>72</v>
      </c>
      <c r="B98" s="2">
        <v>7.3022309833193546</v>
      </c>
      <c r="C98" s="2">
        <v>-0.65629998331935457</v>
      </c>
    </row>
    <row r="99" spans="1:3" x14ac:dyDescent="0.3">
      <c r="A99" s="2">
        <v>73</v>
      </c>
      <c r="B99" s="2">
        <v>7.2604391670765409</v>
      </c>
      <c r="C99" s="2">
        <v>-0.96613016707654076</v>
      </c>
    </row>
    <row r="100" spans="1:3" x14ac:dyDescent="0.3">
      <c r="A100" s="2">
        <v>74</v>
      </c>
      <c r="B100" s="2">
        <v>7.14290713817417</v>
      </c>
      <c r="C100" s="2">
        <v>-0.83030813817417037</v>
      </c>
    </row>
    <row r="101" spans="1:3" x14ac:dyDescent="0.3">
      <c r="A101" s="2">
        <v>75</v>
      </c>
      <c r="B101" s="2">
        <v>6.8813660636085148</v>
      </c>
      <c r="C101" s="2">
        <v>-0.70567106360851461</v>
      </c>
    </row>
    <row r="102" spans="1:3" x14ac:dyDescent="0.3">
      <c r="A102" s="2">
        <v>76</v>
      </c>
      <c r="B102" s="2">
        <v>6.6150166812633726</v>
      </c>
      <c r="C102" s="2">
        <v>-0.53421768126337277</v>
      </c>
    </row>
    <row r="103" spans="1:3" x14ac:dyDescent="0.3">
      <c r="A103" s="2">
        <v>77</v>
      </c>
      <c r="B103" s="2">
        <v>6.3346288272552878</v>
      </c>
      <c r="C103" s="2">
        <v>-0.36924782725528793</v>
      </c>
    </row>
    <row r="104" spans="1:3" x14ac:dyDescent="0.3">
      <c r="A104" s="2">
        <v>78</v>
      </c>
      <c r="B104" s="2">
        <v>6.4023623526023865</v>
      </c>
      <c r="C104" s="2">
        <v>-0.36485435260238663</v>
      </c>
    </row>
    <row r="105" spans="1:3" x14ac:dyDescent="0.3">
      <c r="A105" s="2">
        <v>79</v>
      </c>
      <c r="B105" s="2">
        <v>6.2797889261236657</v>
      </c>
      <c r="C105" s="2">
        <v>-0.1904559261236658</v>
      </c>
    </row>
    <row r="106" spans="1:3" x14ac:dyDescent="0.3">
      <c r="A106" s="2">
        <v>80</v>
      </c>
      <c r="B106" s="2">
        <v>6.1340775845774811</v>
      </c>
      <c r="C106" s="2">
        <v>-0.12225558457748065</v>
      </c>
    </row>
    <row r="107" spans="1:3" x14ac:dyDescent="0.3">
      <c r="A107" s="2">
        <v>81</v>
      </c>
      <c r="B107" s="2">
        <v>5.9462737083753749</v>
      </c>
      <c r="C107" s="2">
        <v>-7.9337083753747706E-3</v>
      </c>
    </row>
    <row r="108" spans="1:3" x14ac:dyDescent="0.3">
      <c r="A108" s="2">
        <v>82</v>
      </c>
      <c r="B108" s="2">
        <v>6.0158024813648785</v>
      </c>
      <c r="C108" s="2">
        <v>-0.56687848136487862</v>
      </c>
    </row>
    <row r="109" spans="1:3" x14ac:dyDescent="0.3">
      <c r="A109" s="2">
        <v>83</v>
      </c>
      <c r="B109" s="2">
        <v>6.0663707945860761</v>
      </c>
      <c r="C109" s="2">
        <v>-0.97942079458607623</v>
      </c>
    </row>
    <row r="110" spans="1:3" x14ac:dyDescent="0.3">
      <c r="A110" s="2">
        <v>84</v>
      </c>
      <c r="B110" s="2">
        <v>5.9169300958157107</v>
      </c>
      <c r="C110" s="2">
        <v>-0.87421109581571077</v>
      </c>
    </row>
    <row r="111" spans="1:3" x14ac:dyDescent="0.3">
      <c r="A111" s="2">
        <v>85</v>
      </c>
      <c r="B111" s="2">
        <v>5.8574628509169271</v>
      </c>
      <c r="C111" s="2">
        <v>-0.60171985091692726</v>
      </c>
    </row>
    <row r="112" spans="1:3" x14ac:dyDescent="0.3">
      <c r="A112" s="2">
        <v>86</v>
      </c>
      <c r="B112" s="2">
        <v>5.5959331156385286</v>
      </c>
      <c r="C112" s="2">
        <v>0.12075988436147167</v>
      </c>
    </row>
    <row r="113" spans="1:3" x14ac:dyDescent="0.3">
      <c r="A113" s="2">
        <v>87</v>
      </c>
      <c r="B113" s="2">
        <v>5.3677292314920075</v>
      </c>
      <c r="C113" s="2">
        <v>0.93415676850799212</v>
      </c>
    </row>
    <row r="114" spans="1:3" x14ac:dyDescent="0.3">
      <c r="A114" s="2">
        <v>88</v>
      </c>
      <c r="B114" s="2">
        <v>5.3427387356151144</v>
      </c>
      <c r="C114" s="2">
        <v>1.1982322643848855</v>
      </c>
    </row>
    <row r="115" spans="1:3" x14ac:dyDescent="0.3">
      <c r="A115" s="2">
        <v>89</v>
      </c>
      <c r="B115" s="2">
        <v>5.5394494200005076</v>
      </c>
      <c r="C115" s="2">
        <v>1.1157425799994929</v>
      </c>
    </row>
    <row r="116" spans="1:3" x14ac:dyDescent="0.3">
      <c r="A116" s="2">
        <v>90</v>
      </c>
      <c r="B116" s="2">
        <v>5.8828512580076975</v>
      </c>
      <c r="C116" s="2">
        <v>0.77314774199230296</v>
      </c>
    </row>
    <row r="117" spans="1:3" x14ac:dyDescent="0.3">
      <c r="A117" s="2">
        <v>91</v>
      </c>
      <c r="B117" s="2">
        <v>6.2364938988347536</v>
      </c>
      <c r="C117" s="2">
        <v>0.4156441011652463</v>
      </c>
    </row>
    <row r="118" spans="1:3" x14ac:dyDescent="0.3">
      <c r="A118" s="2">
        <v>92</v>
      </c>
      <c r="B118" s="2">
        <v>6.4410636672310053</v>
      </c>
      <c r="C118" s="2">
        <v>0.14884533276899425</v>
      </c>
    </row>
    <row r="119" spans="1:3" x14ac:dyDescent="0.3">
      <c r="A119" s="2">
        <v>93</v>
      </c>
      <c r="B119" s="2">
        <v>6.5791164619163656</v>
      </c>
      <c r="C119" s="2">
        <v>-0.1476404619163656</v>
      </c>
    </row>
    <row r="120" spans="1:3" x14ac:dyDescent="0.3">
      <c r="A120" s="2">
        <v>94</v>
      </c>
      <c r="B120" s="2">
        <v>6.5779742395751928</v>
      </c>
      <c r="C120" s="2">
        <v>-0.31959423957519295</v>
      </c>
    </row>
    <row r="121" spans="1:3" x14ac:dyDescent="0.3">
      <c r="A121" s="2">
        <v>95</v>
      </c>
      <c r="B121" s="2">
        <v>6.3570108094328601</v>
      </c>
      <c r="C121" s="2">
        <v>-0.3651038094328598</v>
      </c>
    </row>
    <row r="122" spans="1:3" x14ac:dyDescent="0.3">
      <c r="A122" s="2">
        <v>96</v>
      </c>
      <c r="B122" s="2">
        <v>6.2842874255233765</v>
      </c>
      <c r="C122" s="2">
        <v>-0.44511842552337644</v>
      </c>
    </row>
    <row r="123" spans="1:3" x14ac:dyDescent="0.3">
      <c r="A123" s="2">
        <v>97</v>
      </c>
      <c r="B123" s="2">
        <v>6.1570348196910301</v>
      </c>
      <c r="C123" s="2">
        <v>-0.34357181969103046</v>
      </c>
    </row>
    <row r="124" spans="1:3" x14ac:dyDescent="0.3">
      <c r="A124" s="2">
        <v>98</v>
      </c>
      <c r="B124" s="2">
        <v>5.9414058759581607</v>
      </c>
      <c r="C124" s="2">
        <v>-3.0147875958160597E-2</v>
      </c>
    </row>
    <row r="125" spans="1:3" x14ac:dyDescent="0.3">
      <c r="A125" s="2">
        <v>99</v>
      </c>
      <c r="B125" s="2">
        <v>5.6739422111431796</v>
      </c>
      <c r="C125" s="2">
        <v>0.24728778885682079</v>
      </c>
    </row>
    <row r="126" spans="1:3" x14ac:dyDescent="0.3">
      <c r="A126" s="2">
        <v>100</v>
      </c>
      <c r="B126" s="2">
        <v>5.5606395935903006</v>
      </c>
      <c r="C126" s="2">
        <v>0.35670340640969922</v>
      </c>
    </row>
    <row r="127" spans="1:3" x14ac:dyDescent="0.3">
      <c r="A127" s="2">
        <v>101</v>
      </c>
      <c r="B127" s="2">
        <v>5.5839593084316839</v>
      </c>
      <c r="C127" s="2">
        <v>0.21730469156831589</v>
      </c>
    </row>
    <row r="128" spans="1:3" x14ac:dyDescent="0.3">
      <c r="A128" s="2">
        <v>102</v>
      </c>
      <c r="B128" s="2">
        <v>5.5870425008509752</v>
      </c>
      <c r="C128" s="2">
        <v>0.17351649914902456</v>
      </c>
    </row>
    <row r="129" spans="1:3" x14ac:dyDescent="0.3">
      <c r="A129" s="2">
        <v>103</v>
      </c>
      <c r="B129" s="2">
        <v>5.8217484802819284</v>
      </c>
      <c r="C129" s="2">
        <v>-3.9038480281928578E-2</v>
      </c>
    </row>
    <row r="130" spans="1:3" x14ac:dyDescent="0.3">
      <c r="A130" s="2">
        <v>104</v>
      </c>
      <c r="B130" s="2">
        <v>5.7116964641132961</v>
      </c>
      <c r="C130" s="2">
        <v>0.19025853588670394</v>
      </c>
    </row>
    <row r="131" spans="1:3" x14ac:dyDescent="0.3">
      <c r="A131" s="2">
        <v>105</v>
      </c>
      <c r="B131" s="2">
        <v>5.5817056998564576</v>
      </c>
      <c r="C131" s="2">
        <v>0.3769333001435422</v>
      </c>
    </row>
    <row r="132" spans="1:3" x14ac:dyDescent="0.3">
      <c r="A132" s="2">
        <v>106</v>
      </c>
      <c r="B132" s="2">
        <v>5.5273340356825322</v>
      </c>
      <c r="C132" s="2">
        <v>0.49142796431746749</v>
      </c>
    </row>
    <row r="133" spans="1:3" x14ac:dyDescent="0.3">
      <c r="A133" s="2">
        <v>107</v>
      </c>
      <c r="B133" s="2">
        <v>5.5285021791891271</v>
      </c>
      <c r="C133" s="2">
        <v>0.46123482081087275</v>
      </c>
    </row>
    <row r="134" spans="1:3" x14ac:dyDescent="0.3">
      <c r="A134" s="2">
        <v>108</v>
      </c>
      <c r="B134" s="2">
        <v>5.5970004676914291</v>
      </c>
      <c r="C134" s="2">
        <v>0.31529253230857091</v>
      </c>
    </row>
    <row r="135" spans="1:3" x14ac:dyDescent="0.3">
      <c r="A135" s="2">
        <v>109</v>
      </c>
      <c r="B135" s="2">
        <v>5.6162848637352578</v>
      </c>
      <c r="C135" s="2">
        <v>0.21891313626474229</v>
      </c>
    </row>
    <row r="136" spans="1:3" x14ac:dyDescent="0.3">
      <c r="A136" s="2">
        <v>110</v>
      </c>
      <c r="B136" s="2">
        <v>5.7601991033470714</v>
      </c>
      <c r="C136" s="2">
        <v>-5.9398103347071185E-2</v>
      </c>
    </row>
    <row r="137" spans="1:3" x14ac:dyDescent="0.3">
      <c r="A137" s="2">
        <v>111</v>
      </c>
      <c r="B137" s="2">
        <v>5.6961065913847246</v>
      </c>
      <c r="C137" s="2">
        <v>-8.9189591384724487E-2</v>
      </c>
    </row>
    <row r="138" spans="1:3" x14ac:dyDescent="0.3">
      <c r="A138" s="2">
        <v>112</v>
      </c>
      <c r="B138" s="2">
        <v>5.6518937617129446</v>
      </c>
      <c r="C138" s="2">
        <v>-8.0134761712944425E-2</v>
      </c>
    </row>
    <row r="139" spans="1:3" x14ac:dyDescent="0.3">
      <c r="A139" s="2">
        <v>113</v>
      </c>
      <c r="B139" s="2">
        <v>5.5663607229870307</v>
      </c>
      <c r="C139" s="2">
        <v>4.8460277012969399E-2</v>
      </c>
    </row>
    <row r="140" spans="1:3" x14ac:dyDescent="0.3">
      <c r="A140" s="2">
        <v>114</v>
      </c>
      <c r="B140" s="2">
        <v>5.4255359014562519</v>
      </c>
      <c r="C140" s="2">
        <v>0.17844009854374843</v>
      </c>
    </row>
    <row r="141" spans="1:3" x14ac:dyDescent="0.3">
      <c r="A141" s="2">
        <v>115</v>
      </c>
      <c r="B141" s="2">
        <v>5.3256039601504481</v>
      </c>
      <c r="C141" s="2">
        <v>0.22347803984955217</v>
      </c>
    </row>
    <row r="142" spans="1:3" x14ac:dyDescent="0.3">
      <c r="A142" s="2">
        <v>116</v>
      </c>
      <c r="B142" s="2">
        <v>5.4167031090701858</v>
      </c>
      <c r="C142" s="2">
        <v>-0.12686410907018608</v>
      </c>
    </row>
    <row r="143" spans="1:3" x14ac:dyDescent="0.3">
      <c r="A143" s="2">
        <v>117</v>
      </c>
      <c r="B143" s="2">
        <v>5.4972373078837045</v>
      </c>
      <c r="C143" s="2">
        <v>-0.45732030788370448</v>
      </c>
    </row>
    <row r="144" spans="1:3" x14ac:dyDescent="0.3">
      <c r="A144" s="2">
        <v>118</v>
      </c>
      <c r="B144" s="2">
        <v>5.4402578735673099</v>
      </c>
      <c r="C144" s="2">
        <v>-0.62894687356731005</v>
      </c>
    </row>
    <row r="145" spans="1:3" ht="15" thickBot="1" x14ac:dyDescent="0.35">
      <c r="A145" s="3">
        <v>119</v>
      </c>
      <c r="B145" s="3">
        <v>5.4109490818222863</v>
      </c>
      <c r="C145" s="3">
        <v>-0.71367408182228598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9F1C-4778-48D0-B022-386E64CC0139}">
  <dimension ref="A1:I146"/>
  <sheetViews>
    <sheetView workbookViewId="0">
      <selection sqref="A1:I146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0.90011957527340669</v>
      </c>
    </row>
    <row r="5" spans="1:9" x14ac:dyDescent="0.3">
      <c r="A5" s="2" t="s">
        <v>21</v>
      </c>
      <c r="B5" s="2">
        <v>0.81021524979037796</v>
      </c>
    </row>
    <row r="6" spans="1:9" x14ac:dyDescent="0.3">
      <c r="A6" s="2" t="s">
        <v>22</v>
      </c>
      <c r="B6" s="2">
        <v>0.80355613574793516</v>
      </c>
    </row>
    <row r="7" spans="1:9" x14ac:dyDescent="0.3">
      <c r="A7" s="2" t="s">
        <v>23</v>
      </c>
      <c r="B7" s="2">
        <v>0.79551246915741503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307.99093523985118</v>
      </c>
      <c r="D12" s="2">
        <v>76.997733809962796</v>
      </c>
      <c r="E12" s="2">
        <v>121.67012678058192</v>
      </c>
      <c r="F12" s="2">
        <v>3.4251030476872767E-40</v>
      </c>
    </row>
    <row r="13" spans="1:9" x14ac:dyDescent="0.3">
      <c r="A13" s="2" t="s">
        <v>27</v>
      </c>
      <c r="B13" s="2">
        <v>114</v>
      </c>
      <c r="C13" s="2">
        <v>72.143770098681699</v>
      </c>
      <c r="D13" s="2">
        <v>0.63284008858492724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380.13470533853285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19.56787997725467</v>
      </c>
      <c r="C17" s="2">
        <v>7.6826783070382607</v>
      </c>
      <c r="D17" s="2">
        <v>2.5470127988214903</v>
      </c>
      <c r="E17" s="2">
        <v>1.2197557107013968E-2</v>
      </c>
      <c r="F17" s="2">
        <v>4.348553423185658</v>
      </c>
      <c r="G17" s="2">
        <v>34.787206531323683</v>
      </c>
      <c r="H17" s="2">
        <v>4.348553423185658</v>
      </c>
      <c r="I17" s="2">
        <v>34.787206531323683</v>
      </c>
    </row>
    <row r="18" spans="1:9" x14ac:dyDescent="0.3">
      <c r="A18" s="2" t="s">
        <v>42</v>
      </c>
      <c r="B18" s="2">
        <v>0.81185703922883445</v>
      </c>
      <c r="C18" s="2">
        <v>4.2752191260971309E-2</v>
      </c>
      <c r="D18" s="2">
        <v>18.98983456246798</v>
      </c>
      <c r="E18" s="2">
        <v>4.1993641313150466E-37</v>
      </c>
      <c r="F18" s="2">
        <v>0.72716527761925942</v>
      </c>
      <c r="G18" s="2">
        <v>0.89654880083840949</v>
      </c>
      <c r="H18" s="2">
        <v>0.72716527761925942</v>
      </c>
      <c r="I18" s="2">
        <v>0.89654880083840949</v>
      </c>
    </row>
    <row r="19" spans="1:9" x14ac:dyDescent="0.3">
      <c r="A19" s="2" t="s">
        <v>43</v>
      </c>
      <c r="B19" s="2">
        <v>0.23735650998975708</v>
      </c>
      <c r="C19" s="2">
        <v>4.8352458656242998E-2</v>
      </c>
      <c r="D19" s="2">
        <v>4.9088819180265393</v>
      </c>
      <c r="E19" s="2">
        <v>3.0795211587660712E-6</v>
      </c>
      <c r="F19" s="2">
        <v>0.1415706618035435</v>
      </c>
      <c r="G19" s="2">
        <v>0.33314235817597065</v>
      </c>
      <c r="H19" s="2">
        <v>0.1415706618035435</v>
      </c>
      <c r="I19" s="2">
        <v>0.33314235817597065</v>
      </c>
    </row>
    <row r="20" spans="1:9" x14ac:dyDescent="0.3">
      <c r="A20" s="2" t="s">
        <v>44</v>
      </c>
      <c r="B20" s="2">
        <v>-1.5187947663202681</v>
      </c>
      <c r="C20" s="2">
        <v>0.96520788267987445</v>
      </c>
      <c r="D20" s="2">
        <v>-1.5735416106459617</v>
      </c>
      <c r="E20" s="2">
        <v>0.1183647479917001</v>
      </c>
      <c r="F20" s="2">
        <v>-3.4308641478546864</v>
      </c>
      <c r="G20" s="2">
        <v>0.39327461521415041</v>
      </c>
      <c r="H20" s="2">
        <v>-3.4308641478546864</v>
      </c>
      <c r="I20" s="2">
        <v>0.39327461521415041</v>
      </c>
    </row>
    <row r="21" spans="1:9" ht="15" thickBot="1" x14ac:dyDescent="0.35">
      <c r="A21" s="3" t="s">
        <v>61</v>
      </c>
      <c r="B21" s="3">
        <v>-17.343633018950463</v>
      </c>
      <c r="C21" s="3">
        <v>7.5570638456256516</v>
      </c>
      <c r="D21" s="3">
        <v>-2.2950226931045039</v>
      </c>
      <c r="E21" s="3">
        <v>2.3561504467117491E-2</v>
      </c>
      <c r="F21" s="3">
        <v>-32.314118292446707</v>
      </c>
      <c r="G21" s="3">
        <v>-2.3731477454542169</v>
      </c>
      <c r="H21" s="3">
        <v>-32.314118292446707</v>
      </c>
      <c r="I21" s="3">
        <v>-2.3731477454542169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5.6588790982793817</v>
      </c>
      <c r="C28" s="2">
        <v>-0.88269309827938169</v>
      </c>
    </row>
    <row r="29" spans="1:9" x14ac:dyDescent="0.3">
      <c r="A29" s="2">
        <v>2</v>
      </c>
      <c r="B29" s="2">
        <v>5.8100741802702807</v>
      </c>
      <c r="C29" s="2">
        <v>-1.0472371802702805</v>
      </c>
    </row>
    <row r="30" spans="1:9" x14ac:dyDescent="0.3">
      <c r="A30" s="2">
        <v>3</v>
      </c>
      <c r="B30" s="2">
        <v>5.8902324103960773</v>
      </c>
      <c r="C30" s="2">
        <v>-1.2732724103960775</v>
      </c>
    </row>
    <row r="31" spans="1:9" x14ac:dyDescent="0.3">
      <c r="A31" s="2">
        <v>4</v>
      </c>
      <c r="B31" s="2">
        <v>5.954519497466304</v>
      </c>
      <c r="C31" s="2">
        <v>-1.4595394974663041</v>
      </c>
    </row>
    <row r="32" spans="1:9" x14ac:dyDescent="0.3">
      <c r="A32" s="2">
        <v>5</v>
      </c>
      <c r="B32" s="2">
        <v>6.0584509892706002</v>
      </c>
      <c r="C32" s="2">
        <v>-1.4414939892706</v>
      </c>
    </row>
    <row r="33" spans="1:3" x14ac:dyDescent="0.3">
      <c r="A33" s="2">
        <v>6</v>
      </c>
      <c r="B33" s="2">
        <v>5.7898673953953086</v>
      </c>
      <c r="C33" s="2">
        <v>-0.98818539539530903</v>
      </c>
    </row>
    <row r="34" spans="1:3" x14ac:dyDescent="0.3">
      <c r="A34" s="2">
        <v>7</v>
      </c>
      <c r="B34" s="2">
        <v>5.5518355235810901</v>
      </c>
      <c r="C34" s="2">
        <v>-0.31986952358109022</v>
      </c>
    </row>
    <row r="35" spans="1:3" x14ac:dyDescent="0.3">
      <c r="A35" s="2">
        <v>8</v>
      </c>
      <c r="B35" s="2">
        <v>5.3742173881359641</v>
      </c>
      <c r="C35" s="2">
        <v>0.21139461186403619</v>
      </c>
    </row>
    <row r="36" spans="1:3" x14ac:dyDescent="0.3">
      <c r="A36" s="2">
        <v>9</v>
      </c>
      <c r="B36" s="2">
        <v>5.4213991750582977</v>
      </c>
      <c r="C36" s="2">
        <v>0.26828382494170189</v>
      </c>
    </row>
    <row r="37" spans="1:3" x14ac:dyDescent="0.3">
      <c r="A37" s="2">
        <v>10</v>
      </c>
      <c r="B37" s="2">
        <v>5.671309943425193</v>
      </c>
      <c r="C37" s="2">
        <v>0.3760360565748071</v>
      </c>
    </row>
    <row r="38" spans="1:3" x14ac:dyDescent="0.3">
      <c r="A38" s="2">
        <v>11</v>
      </c>
      <c r="B38" s="2">
        <v>5.8408228837395662</v>
      </c>
      <c r="C38" s="2">
        <v>0.45103811626043377</v>
      </c>
    </row>
    <row r="39" spans="1:3" x14ac:dyDescent="0.3">
      <c r="A39" s="2">
        <v>12</v>
      </c>
      <c r="B39" s="2">
        <v>5.916777765742232</v>
      </c>
      <c r="C39" s="2">
        <v>0.59647423425776758</v>
      </c>
    </row>
    <row r="40" spans="1:3" x14ac:dyDescent="0.3">
      <c r="A40" s="2">
        <v>13</v>
      </c>
      <c r="B40" s="2">
        <v>6.2115056024150732</v>
      </c>
      <c r="C40" s="2">
        <v>0.63498039758492641</v>
      </c>
    </row>
    <row r="41" spans="1:3" x14ac:dyDescent="0.3">
      <c r="A41" s="2">
        <v>14</v>
      </c>
      <c r="B41" s="2">
        <v>6.7120363989134901</v>
      </c>
      <c r="C41" s="2">
        <v>0.33419360108651031</v>
      </c>
    </row>
    <row r="42" spans="1:3" x14ac:dyDescent="0.3">
      <c r="A42" s="2">
        <v>15</v>
      </c>
      <c r="B42" s="2">
        <v>7.0941599020083359</v>
      </c>
      <c r="C42" s="2">
        <v>0.39468409799166437</v>
      </c>
    </row>
    <row r="43" spans="1:3" x14ac:dyDescent="0.3">
      <c r="A43" s="2">
        <v>16</v>
      </c>
      <c r="B43" s="2">
        <v>7.3340397259819916</v>
      </c>
      <c r="C43" s="2">
        <v>0.10240427401800822</v>
      </c>
    </row>
    <row r="44" spans="1:3" x14ac:dyDescent="0.3">
      <c r="A44" s="2">
        <v>17</v>
      </c>
      <c r="B44" s="2">
        <v>7.5733399106102652</v>
      </c>
      <c r="C44" s="2">
        <v>0.61856608938973423</v>
      </c>
    </row>
    <row r="45" spans="1:3" x14ac:dyDescent="0.3">
      <c r="A45" s="2">
        <v>18</v>
      </c>
      <c r="B45" s="2">
        <v>7.6848257692457054</v>
      </c>
      <c r="C45" s="2">
        <v>1.4140022307542939</v>
      </c>
    </row>
    <row r="46" spans="1:3" x14ac:dyDescent="0.3">
      <c r="A46" s="2">
        <v>19</v>
      </c>
      <c r="B46" s="2">
        <v>7.8414445396702739</v>
      </c>
      <c r="C46" s="2">
        <v>2.4059454603297254</v>
      </c>
    </row>
    <row r="47" spans="1:3" x14ac:dyDescent="0.3">
      <c r="A47" s="2">
        <v>20</v>
      </c>
      <c r="B47" s="2">
        <v>7.7971592110281627</v>
      </c>
      <c r="C47" s="2">
        <v>3.2662707889718376</v>
      </c>
    </row>
    <row r="48" spans="1:3" x14ac:dyDescent="0.3">
      <c r="A48" s="2">
        <v>21</v>
      </c>
      <c r="B48" s="2">
        <v>8.2685768144166829</v>
      </c>
      <c r="C48" s="2">
        <v>2.9223231855833163</v>
      </c>
    </row>
    <row r="49" spans="1:3" x14ac:dyDescent="0.3">
      <c r="A49" s="2">
        <v>22</v>
      </c>
      <c r="B49" s="2">
        <v>8.9307475515161698</v>
      </c>
      <c r="C49" s="2">
        <v>2.3989924484838294</v>
      </c>
    </row>
    <row r="50" spans="1:3" x14ac:dyDescent="0.3">
      <c r="A50" s="2">
        <v>23</v>
      </c>
      <c r="B50" s="2">
        <v>9.8491563114590015</v>
      </c>
      <c r="C50" s="2">
        <v>0.91362368854099785</v>
      </c>
    </row>
    <row r="51" spans="1:3" x14ac:dyDescent="0.3">
      <c r="A51" s="2">
        <v>24</v>
      </c>
      <c r="B51" s="2">
        <v>10.54140026416696</v>
      </c>
      <c r="C51" s="2">
        <v>0.34552973583303981</v>
      </c>
    </row>
    <row r="52" spans="1:3" x14ac:dyDescent="0.3">
      <c r="A52" s="2">
        <v>25</v>
      </c>
      <c r="B52" s="2">
        <v>10.789422617756905</v>
      </c>
      <c r="C52" s="2">
        <v>0.2243373822430943</v>
      </c>
    </row>
    <row r="53" spans="1:3" x14ac:dyDescent="0.3">
      <c r="A53" s="2">
        <v>26</v>
      </c>
      <c r="B53" s="2">
        <v>11.158935702501296</v>
      </c>
      <c r="C53" s="2">
        <v>-0.22140570250129521</v>
      </c>
    </row>
    <row r="54" spans="1:3" x14ac:dyDescent="0.3">
      <c r="A54" s="2">
        <v>27</v>
      </c>
      <c r="B54" s="2">
        <v>10.615305716221496</v>
      </c>
      <c r="C54" s="2">
        <v>-0.23578571622149624</v>
      </c>
    </row>
    <row r="55" spans="1:3" x14ac:dyDescent="0.3">
      <c r="A55" s="2">
        <v>28</v>
      </c>
      <c r="B55" s="2">
        <v>10.819087067037554</v>
      </c>
      <c r="C55" s="2">
        <v>-0.62359706703755435</v>
      </c>
    </row>
    <row r="56" spans="1:3" x14ac:dyDescent="0.3">
      <c r="A56" s="2">
        <v>29</v>
      </c>
      <c r="B56" s="2">
        <v>10.845531789765921</v>
      </c>
      <c r="C56" s="2">
        <v>-0.55040178976592102</v>
      </c>
    </row>
    <row r="57" spans="1:3" x14ac:dyDescent="0.3">
      <c r="A57" s="2">
        <v>30</v>
      </c>
      <c r="B57" s="2">
        <v>10.581752270520738</v>
      </c>
      <c r="C57" s="2">
        <v>-0.83996727052073794</v>
      </c>
    </row>
    <row r="58" spans="1:3" x14ac:dyDescent="0.3">
      <c r="A58" s="2">
        <v>31</v>
      </c>
      <c r="B58" s="2">
        <v>10.104772643721411</v>
      </c>
      <c r="C58" s="2">
        <v>-0.29444964372141058</v>
      </c>
    </row>
    <row r="59" spans="1:3" x14ac:dyDescent="0.3">
      <c r="A59" s="2">
        <v>32</v>
      </c>
      <c r="B59" s="2">
        <v>9.8228463656085196</v>
      </c>
      <c r="C59" s="2">
        <v>-0.16710536560851885</v>
      </c>
    </row>
    <row r="60" spans="1:3" x14ac:dyDescent="0.3">
      <c r="A60" s="2">
        <v>33</v>
      </c>
      <c r="B60" s="2">
        <v>9.7668920414081732</v>
      </c>
      <c r="C60" s="2">
        <v>-1.0551020414081727</v>
      </c>
    </row>
    <row r="61" spans="1:3" x14ac:dyDescent="0.3">
      <c r="A61" s="2">
        <v>34</v>
      </c>
      <c r="B61" s="2">
        <v>9.3832363665396343</v>
      </c>
      <c r="C61" s="2">
        <v>-0.69505636653963521</v>
      </c>
    </row>
    <row r="62" spans="1:3" x14ac:dyDescent="0.3">
      <c r="A62" s="2">
        <v>35</v>
      </c>
      <c r="B62" s="2">
        <v>9.4672824125902615</v>
      </c>
      <c r="C62" s="2">
        <v>-0.95548341259026159</v>
      </c>
    </row>
    <row r="63" spans="1:3" x14ac:dyDescent="0.3">
      <c r="A63" s="2">
        <v>36</v>
      </c>
      <c r="B63" s="2">
        <v>9.2129153355026219</v>
      </c>
      <c r="C63" s="2">
        <v>-0.79670533550262235</v>
      </c>
    </row>
    <row r="64" spans="1:3" x14ac:dyDescent="0.3">
      <c r="A64" s="2">
        <v>37</v>
      </c>
      <c r="B64" s="2">
        <v>8.5366865463147157</v>
      </c>
      <c r="C64" s="2">
        <v>5.5189453685283496E-2</v>
      </c>
    </row>
    <row r="65" spans="1:3" x14ac:dyDescent="0.3">
      <c r="A65" s="2">
        <v>38</v>
      </c>
      <c r="B65" s="2">
        <v>8.6503447432429184</v>
      </c>
      <c r="C65" s="2">
        <v>3.8249256757081795E-2</v>
      </c>
    </row>
    <row r="66" spans="1:3" x14ac:dyDescent="0.3">
      <c r="A66" s="2">
        <v>39</v>
      </c>
      <c r="B66" s="2">
        <v>8.3726971348969847</v>
      </c>
      <c r="C66" s="2">
        <v>1.0933518651030152</v>
      </c>
    </row>
    <row r="67" spans="1:3" x14ac:dyDescent="0.3">
      <c r="A67" s="2">
        <v>40</v>
      </c>
      <c r="B67" s="2">
        <v>8.2324834560940801</v>
      </c>
      <c r="C67" s="2">
        <v>1.2255825439059205</v>
      </c>
    </row>
    <row r="68" spans="1:3" x14ac:dyDescent="0.3">
      <c r="A68" s="2">
        <v>41</v>
      </c>
      <c r="B68" s="2">
        <v>8.501262795866932</v>
      </c>
      <c r="C68" s="2">
        <v>0.94251920413306856</v>
      </c>
    </row>
    <row r="69" spans="1:3" x14ac:dyDescent="0.3">
      <c r="A69" s="2">
        <v>42</v>
      </c>
      <c r="B69" s="2">
        <v>8.6841473051499172</v>
      </c>
      <c r="C69" s="2">
        <v>0.51596769485008309</v>
      </c>
    </row>
    <row r="70" spans="1:3" x14ac:dyDescent="0.3">
      <c r="A70" s="2">
        <v>43</v>
      </c>
      <c r="B70" s="2">
        <v>9.2559885816341883</v>
      </c>
      <c r="C70" s="2">
        <v>-0.7339955816341881</v>
      </c>
    </row>
    <row r="71" spans="1:3" x14ac:dyDescent="0.3">
      <c r="A71" s="2">
        <v>44</v>
      </c>
      <c r="B71" s="2">
        <v>9.1669232230371414</v>
      </c>
      <c r="C71" s="2">
        <v>-1.1805232230371416</v>
      </c>
    </row>
    <row r="72" spans="1:3" x14ac:dyDescent="0.3">
      <c r="A72" s="2">
        <v>45</v>
      </c>
      <c r="B72" s="2">
        <v>9.1917215380885402</v>
      </c>
      <c r="C72" s="2">
        <v>-1.28886953808854</v>
      </c>
    </row>
    <row r="73" spans="1:3" x14ac:dyDescent="0.3">
      <c r="A73" s="2">
        <v>46</v>
      </c>
      <c r="B73" s="2">
        <v>9.0305621117256472</v>
      </c>
      <c r="C73" s="2">
        <v>-1.043250111725647</v>
      </c>
    </row>
    <row r="74" spans="1:3" x14ac:dyDescent="0.3">
      <c r="A74" s="2">
        <v>47</v>
      </c>
      <c r="B74" s="2">
        <v>8.5467230900262727</v>
      </c>
      <c r="C74" s="2">
        <v>-0.52623809002627198</v>
      </c>
    </row>
    <row r="75" spans="1:3" x14ac:dyDescent="0.3">
      <c r="A75" s="2">
        <v>48</v>
      </c>
      <c r="B75" s="2">
        <v>8.1530309867488135</v>
      </c>
      <c r="C75" s="2">
        <v>0.14685501325118722</v>
      </c>
    </row>
    <row r="76" spans="1:3" x14ac:dyDescent="0.3">
      <c r="A76" s="2">
        <v>49</v>
      </c>
      <c r="B76" s="2">
        <v>8.0552222201127428</v>
      </c>
      <c r="C76" s="2">
        <v>0.58603077988725794</v>
      </c>
    </row>
    <row r="77" spans="1:3" x14ac:dyDescent="0.3">
      <c r="A77" s="2">
        <v>50</v>
      </c>
      <c r="B77" s="2">
        <v>8.0555907358777468</v>
      </c>
      <c r="C77" s="2">
        <v>0.40487926412225406</v>
      </c>
    </row>
    <row r="78" spans="1:3" x14ac:dyDescent="0.3">
      <c r="A78" s="2">
        <v>51</v>
      </c>
      <c r="B78" s="2">
        <v>7.9912442276173685</v>
      </c>
      <c r="C78" s="2">
        <v>0.38481077238263062</v>
      </c>
    </row>
    <row r="79" spans="1:3" x14ac:dyDescent="0.3">
      <c r="A79" s="2">
        <v>52</v>
      </c>
      <c r="B79" s="2">
        <v>8.1556622482641394</v>
      </c>
      <c r="C79" s="2">
        <v>0.32113875173586059</v>
      </c>
    </row>
    <row r="80" spans="1:3" x14ac:dyDescent="0.3">
      <c r="A80" s="2">
        <v>53</v>
      </c>
      <c r="B80" s="2">
        <v>8.3697470615659348</v>
      </c>
      <c r="C80" s="2">
        <v>-9.8398061565934114E-2</v>
      </c>
    </row>
    <row r="81" spans="1:3" x14ac:dyDescent="0.3">
      <c r="A81" s="2">
        <v>54</v>
      </c>
      <c r="B81" s="2">
        <v>8.3472932399333288</v>
      </c>
      <c r="C81" s="2">
        <v>0.11813176006667092</v>
      </c>
    </row>
    <row r="82" spans="1:3" x14ac:dyDescent="0.3">
      <c r="A82" s="2">
        <v>55</v>
      </c>
      <c r="B82" s="2">
        <v>8.3486158047496133</v>
      </c>
      <c r="C82" s="2">
        <v>0.24012019525038752</v>
      </c>
    </row>
    <row r="83" spans="1:3" x14ac:dyDescent="0.3">
      <c r="A83" s="2">
        <v>56</v>
      </c>
      <c r="B83" s="2">
        <v>8.5362636162133079</v>
      </c>
      <c r="C83" s="2">
        <v>0.3803943837866921</v>
      </c>
    </row>
    <row r="84" spans="1:3" x14ac:dyDescent="0.3">
      <c r="A84" s="2">
        <v>57</v>
      </c>
      <c r="B84" s="2">
        <v>8.571315832238902</v>
      </c>
      <c r="C84" s="2">
        <v>0.38904016776109884</v>
      </c>
    </row>
    <row r="85" spans="1:3" x14ac:dyDescent="0.3">
      <c r="A85" s="2">
        <v>58</v>
      </c>
      <c r="B85" s="2">
        <v>8.7342232810996414</v>
      </c>
      <c r="C85" s="2">
        <v>0.2858977189003582</v>
      </c>
    </row>
    <row r="86" spans="1:3" x14ac:dyDescent="0.3">
      <c r="A86" s="2">
        <v>59</v>
      </c>
      <c r="B86" s="2">
        <v>8.5906931723046682</v>
      </c>
      <c r="C86" s="2">
        <v>0.68064982769533167</v>
      </c>
    </row>
    <row r="87" spans="1:3" x14ac:dyDescent="0.3">
      <c r="A87" s="2">
        <v>60</v>
      </c>
      <c r="B87" s="2">
        <v>8.6964782654216677</v>
      </c>
      <c r="C87" s="2">
        <v>0.25339673457833278</v>
      </c>
    </row>
    <row r="88" spans="1:3" x14ac:dyDescent="0.3">
      <c r="A88" s="2">
        <v>61</v>
      </c>
      <c r="B88" s="2">
        <v>8.5698311523194874</v>
      </c>
      <c r="C88" s="2">
        <v>0.27815284768051285</v>
      </c>
    </row>
    <row r="89" spans="1:3" x14ac:dyDescent="0.3">
      <c r="A89" s="2">
        <v>62</v>
      </c>
      <c r="B89" s="2">
        <v>8.6399455647800742</v>
      </c>
      <c r="C89" s="2">
        <v>-5.8129564780074361E-2</v>
      </c>
    </row>
    <row r="90" spans="1:3" x14ac:dyDescent="0.3">
      <c r="A90" s="2">
        <v>63</v>
      </c>
      <c r="B90" s="2">
        <v>8.9295907543229838</v>
      </c>
      <c r="C90" s="2">
        <v>-0.78020175432298444</v>
      </c>
    </row>
    <row r="91" spans="1:3" x14ac:dyDescent="0.3">
      <c r="A91" s="2">
        <v>64</v>
      </c>
      <c r="B91" s="2">
        <v>8.650523816056797</v>
      </c>
      <c r="C91" s="2">
        <v>-0.58312781605679653</v>
      </c>
    </row>
    <row r="92" spans="1:3" x14ac:dyDescent="0.3">
      <c r="A92" s="2">
        <v>65</v>
      </c>
      <c r="B92" s="2">
        <v>8.5016259233500691</v>
      </c>
      <c r="C92" s="2">
        <v>-0.62168492335006942</v>
      </c>
    </row>
    <row r="93" spans="1:3" x14ac:dyDescent="0.3">
      <c r="A93" s="2">
        <v>66</v>
      </c>
      <c r="B93" s="2">
        <v>8.2759462037480596</v>
      </c>
      <c r="C93" s="2">
        <v>-0.6391912037480596</v>
      </c>
    </row>
    <row r="94" spans="1:3" x14ac:dyDescent="0.3">
      <c r="A94" s="2">
        <v>67</v>
      </c>
      <c r="B94" s="2">
        <v>7.8842581320518583</v>
      </c>
      <c r="C94" s="2">
        <v>-0.39753813205185828</v>
      </c>
    </row>
    <row r="95" spans="1:3" x14ac:dyDescent="0.3">
      <c r="A95" s="2">
        <v>68</v>
      </c>
      <c r="B95" s="2">
        <v>7.7004528467891831</v>
      </c>
      <c r="C95" s="2">
        <v>-0.35099084678918313</v>
      </c>
    </row>
    <row r="96" spans="1:3" x14ac:dyDescent="0.3">
      <c r="A96" s="2">
        <v>69</v>
      </c>
      <c r="B96" s="2">
        <v>7.6193353574830702</v>
      </c>
      <c r="C96" s="2">
        <v>-0.27341335748307039</v>
      </c>
    </row>
    <row r="97" spans="1:3" x14ac:dyDescent="0.3">
      <c r="A97" s="2">
        <v>70</v>
      </c>
      <c r="B97" s="2">
        <v>7.3976960247681163</v>
      </c>
      <c r="C97" s="2">
        <v>-0.25488602476811639</v>
      </c>
    </row>
    <row r="98" spans="1:3" x14ac:dyDescent="0.3">
      <c r="A98" s="2">
        <v>71</v>
      </c>
      <c r="B98" s="2">
        <v>7.1187903266676678</v>
      </c>
      <c r="C98" s="2">
        <v>-0.22756332666766799</v>
      </c>
    </row>
    <row r="99" spans="1:3" x14ac:dyDescent="0.3">
      <c r="A99" s="2">
        <v>72</v>
      </c>
      <c r="B99" s="2">
        <v>7.0793651963141073</v>
      </c>
      <c r="C99" s="2">
        <v>-0.43343419631410729</v>
      </c>
    </row>
    <row r="100" spans="1:3" x14ac:dyDescent="0.3">
      <c r="A100" s="2">
        <v>73</v>
      </c>
      <c r="B100" s="2">
        <v>7.0456689851607983</v>
      </c>
      <c r="C100" s="2">
        <v>-0.75135998516079816</v>
      </c>
    </row>
    <row r="101" spans="1:3" x14ac:dyDescent="0.3">
      <c r="A101" s="2">
        <v>74</v>
      </c>
      <c r="B101" s="2">
        <v>6.9325416046207167</v>
      </c>
      <c r="C101" s="2">
        <v>-0.61994260462071704</v>
      </c>
    </row>
    <row r="102" spans="1:3" x14ac:dyDescent="0.3">
      <c r="A102" s="2">
        <v>75</v>
      </c>
      <c r="B102" s="2">
        <v>6.7669610742825199</v>
      </c>
      <c r="C102" s="2">
        <v>-0.59126607428251976</v>
      </c>
    </row>
    <row r="103" spans="1:3" x14ac:dyDescent="0.3">
      <c r="A103" s="2">
        <v>76</v>
      </c>
      <c r="B103" s="2">
        <v>6.7269286489147895</v>
      </c>
      <c r="C103" s="2">
        <v>-0.64612964891478963</v>
      </c>
    </row>
    <row r="104" spans="1:3" x14ac:dyDescent="0.3">
      <c r="A104" s="2">
        <v>77</v>
      </c>
      <c r="B104" s="2">
        <v>6.3779776542169984</v>
      </c>
      <c r="C104" s="2">
        <v>-0.41259665421699854</v>
      </c>
    </row>
    <row r="105" spans="1:3" x14ac:dyDescent="0.3">
      <c r="A105" s="2">
        <v>78</v>
      </c>
      <c r="B105" s="2">
        <v>6.4154053761369099</v>
      </c>
      <c r="C105" s="2">
        <v>-0.37789737613690999</v>
      </c>
    </row>
    <row r="106" spans="1:3" x14ac:dyDescent="0.3">
      <c r="A106" s="2">
        <v>79</v>
      </c>
      <c r="B106" s="2">
        <v>6.342367433801261</v>
      </c>
      <c r="C106" s="2">
        <v>-0.25303443380126112</v>
      </c>
    </row>
    <row r="107" spans="1:3" x14ac:dyDescent="0.3">
      <c r="A107" s="2">
        <v>80</v>
      </c>
      <c r="B107" s="2">
        <v>5.870900792178201</v>
      </c>
      <c r="C107" s="2">
        <v>0.1409212078217994</v>
      </c>
    </row>
    <row r="108" spans="1:3" x14ac:dyDescent="0.3">
      <c r="A108" s="2">
        <v>81</v>
      </c>
      <c r="B108" s="2">
        <v>5.6217557562149452</v>
      </c>
      <c r="C108" s="2">
        <v>0.31658424378505501</v>
      </c>
    </row>
    <row r="109" spans="1:3" x14ac:dyDescent="0.3">
      <c r="A109" s="2">
        <v>82</v>
      </c>
      <c r="B109" s="2">
        <v>5.6776941790474176</v>
      </c>
      <c r="C109" s="2">
        <v>-0.2287701790474177</v>
      </c>
    </row>
    <row r="110" spans="1:3" x14ac:dyDescent="0.3">
      <c r="A110" s="2">
        <v>83</v>
      </c>
      <c r="B110" s="2">
        <v>5.5612701417225487</v>
      </c>
      <c r="C110" s="2">
        <v>-0.47432014172254888</v>
      </c>
    </row>
    <row r="111" spans="1:3" x14ac:dyDescent="0.3">
      <c r="A111" s="2">
        <v>84</v>
      </c>
      <c r="B111" s="2">
        <v>5.9992652230873098</v>
      </c>
      <c r="C111" s="2">
        <v>-0.95654622308730985</v>
      </c>
    </row>
    <row r="112" spans="1:3" x14ac:dyDescent="0.3">
      <c r="A112" s="2">
        <v>85</v>
      </c>
      <c r="B112" s="2">
        <v>6.2063660075885139</v>
      </c>
      <c r="C112" s="2">
        <v>-0.95062300758851404</v>
      </c>
    </row>
    <row r="113" spans="1:3" x14ac:dyDescent="0.3">
      <c r="A113" s="2">
        <v>86</v>
      </c>
      <c r="B113" s="2">
        <v>6.129077934166034</v>
      </c>
      <c r="C113" s="2">
        <v>-0.41238493416603372</v>
      </c>
    </row>
    <row r="114" spans="1:3" x14ac:dyDescent="0.3">
      <c r="A114" s="2">
        <v>87</v>
      </c>
      <c r="B114" s="2">
        <v>6.0371667575393957</v>
      </c>
      <c r="C114" s="2">
        <v>0.26471924246060397</v>
      </c>
    </row>
    <row r="115" spans="1:3" x14ac:dyDescent="0.3">
      <c r="A115" s="2">
        <v>88</v>
      </c>
      <c r="B115" s="2">
        <v>5.4709431870827707</v>
      </c>
      <c r="C115" s="2">
        <v>1.0700278129172291</v>
      </c>
    </row>
    <row r="116" spans="1:3" x14ac:dyDescent="0.3">
      <c r="A116" s="2">
        <v>89</v>
      </c>
      <c r="B116" s="2">
        <v>5.533071581953358</v>
      </c>
      <c r="C116" s="2">
        <v>1.1221204180466424</v>
      </c>
    </row>
    <row r="117" spans="1:3" x14ac:dyDescent="0.3">
      <c r="A117" s="2">
        <v>90</v>
      </c>
      <c r="B117" s="2">
        <v>5.9480623760649536</v>
      </c>
      <c r="C117" s="2">
        <v>0.70793662393504686</v>
      </c>
    </row>
    <row r="118" spans="1:3" x14ac:dyDescent="0.3">
      <c r="A118" s="2">
        <v>91</v>
      </c>
      <c r="B118" s="2">
        <v>6.3339167726714933</v>
      </c>
      <c r="C118" s="2">
        <v>0.31822122732850655</v>
      </c>
    </row>
    <row r="119" spans="1:3" x14ac:dyDescent="0.3">
      <c r="A119" s="2">
        <v>92</v>
      </c>
      <c r="B119" s="2">
        <v>6.5355512824443913</v>
      </c>
      <c r="C119" s="2">
        <v>5.4357717555608254E-2</v>
      </c>
    </row>
    <row r="120" spans="1:3" x14ac:dyDescent="0.3">
      <c r="A120" s="2">
        <v>93</v>
      </c>
      <c r="B120" s="2">
        <v>6.5590960074006546</v>
      </c>
      <c r="C120" s="2">
        <v>-0.1276200074006546</v>
      </c>
    </row>
    <row r="121" spans="1:3" x14ac:dyDescent="0.3">
      <c r="A121" s="2">
        <v>94</v>
      </c>
      <c r="B121" s="2">
        <v>6.3277676266640057</v>
      </c>
      <c r="C121" s="2">
        <v>-6.9387626664005886E-2</v>
      </c>
    </row>
    <row r="122" spans="1:3" x14ac:dyDescent="0.3">
      <c r="A122" s="2">
        <v>95</v>
      </c>
      <c r="B122" s="2">
        <v>5.9901426707687015</v>
      </c>
      <c r="C122" s="2">
        <v>1.7643292312987668E-3</v>
      </c>
    </row>
    <row r="123" spans="1:3" x14ac:dyDescent="0.3">
      <c r="A123" s="2">
        <v>96</v>
      </c>
      <c r="B123" s="2">
        <v>5.95263106114664</v>
      </c>
      <c r="C123" s="2">
        <v>-0.11346206114663993</v>
      </c>
    </row>
    <row r="124" spans="1:3" x14ac:dyDescent="0.3">
      <c r="A124" s="2">
        <v>97</v>
      </c>
      <c r="B124" s="2">
        <v>5.9178695561829997</v>
      </c>
      <c r="C124" s="2">
        <v>-0.1044065561830001</v>
      </c>
    </row>
    <row r="125" spans="1:3" x14ac:dyDescent="0.3">
      <c r="A125" s="2">
        <v>98</v>
      </c>
      <c r="B125" s="2">
        <v>5.8565633965184567</v>
      </c>
      <c r="C125" s="2">
        <v>5.4694603481543425E-2</v>
      </c>
    </row>
    <row r="126" spans="1:3" x14ac:dyDescent="0.3">
      <c r="A126" s="2">
        <v>99</v>
      </c>
      <c r="B126" s="2">
        <v>5.6183808851742469</v>
      </c>
      <c r="C126" s="2">
        <v>0.3028491148257535</v>
      </c>
    </row>
    <row r="127" spans="1:3" x14ac:dyDescent="0.3">
      <c r="A127" s="2">
        <v>100</v>
      </c>
      <c r="B127" s="2">
        <v>5.4757806549177346</v>
      </c>
      <c r="C127" s="2">
        <v>0.44156234508226522</v>
      </c>
    </row>
    <row r="128" spans="1:3" x14ac:dyDescent="0.3">
      <c r="A128" s="2">
        <v>101</v>
      </c>
      <c r="B128" s="2">
        <v>5.5461439445476266</v>
      </c>
      <c r="C128" s="2">
        <v>0.25512005545237315</v>
      </c>
    </row>
    <row r="129" spans="1:3" x14ac:dyDescent="0.3">
      <c r="A129" s="2">
        <v>102</v>
      </c>
      <c r="B129" s="2">
        <v>5.6122969795190798</v>
      </c>
      <c r="C129" s="2">
        <v>0.14826202048091996</v>
      </c>
    </row>
    <row r="130" spans="1:3" x14ac:dyDescent="0.3">
      <c r="A130" s="2">
        <v>103</v>
      </c>
      <c r="B130" s="2">
        <v>5.8771577044354082</v>
      </c>
      <c r="C130" s="2">
        <v>-9.4447704435408397E-2</v>
      </c>
    </row>
    <row r="131" spans="1:3" x14ac:dyDescent="0.3">
      <c r="A131" s="2">
        <v>104</v>
      </c>
      <c r="B131" s="2">
        <v>5.8303450030759443</v>
      </c>
      <c r="C131" s="2">
        <v>7.1609996924055785E-2</v>
      </c>
    </row>
    <row r="132" spans="1:3" x14ac:dyDescent="0.3">
      <c r="A132" s="2">
        <v>105</v>
      </c>
      <c r="B132" s="2">
        <v>5.669143974921564</v>
      </c>
      <c r="C132" s="2">
        <v>0.28949502507843583</v>
      </c>
    </row>
    <row r="133" spans="1:3" x14ac:dyDescent="0.3">
      <c r="A133" s="2">
        <v>106</v>
      </c>
      <c r="B133" s="2">
        <v>5.4918529793345101</v>
      </c>
      <c r="C133" s="2">
        <v>0.52690902066548961</v>
      </c>
    </row>
    <row r="134" spans="1:3" x14ac:dyDescent="0.3">
      <c r="A134" s="2">
        <v>107</v>
      </c>
      <c r="B134" s="2">
        <v>5.5332744919067594</v>
      </c>
      <c r="C134" s="2">
        <v>0.45646250809324052</v>
      </c>
    </row>
    <row r="135" spans="1:3" x14ac:dyDescent="0.3">
      <c r="A135" s="2">
        <v>108</v>
      </c>
      <c r="B135" s="2">
        <v>5.6901349382442845</v>
      </c>
      <c r="C135" s="2">
        <v>0.22215806175571551</v>
      </c>
    </row>
    <row r="136" spans="1:3" x14ac:dyDescent="0.3">
      <c r="A136" s="2">
        <v>109</v>
      </c>
      <c r="B136" s="2">
        <v>5.9045234741587151</v>
      </c>
      <c r="C136" s="2">
        <v>-6.9325474158715039E-2</v>
      </c>
    </row>
    <row r="137" spans="1:3" x14ac:dyDescent="0.3">
      <c r="A137" s="2">
        <v>110</v>
      </c>
      <c r="B137" s="2">
        <v>6.0309159951462732</v>
      </c>
      <c r="C137" s="2">
        <v>-0.33011499514627296</v>
      </c>
    </row>
    <row r="138" spans="1:3" x14ac:dyDescent="0.3">
      <c r="A138" s="2">
        <v>111</v>
      </c>
      <c r="B138" s="2">
        <v>5.9547161936821915</v>
      </c>
      <c r="C138" s="2">
        <v>-0.34779919368219137</v>
      </c>
    </row>
    <row r="139" spans="1:3" x14ac:dyDescent="0.3">
      <c r="A139" s="2">
        <v>112</v>
      </c>
      <c r="B139" s="2">
        <v>5.8661051067396173</v>
      </c>
      <c r="C139" s="2">
        <v>-0.29434610673961714</v>
      </c>
    </row>
    <row r="140" spans="1:3" x14ac:dyDescent="0.3">
      <c r="A140" s="2">
        <v>113</v>
      </c>
      <c r="B140" s="2">
        <v>5.6572887901989439</v>
      </c>
      <c r="C140" s="2">
        <v>-4.2467790198943867E-2</v>
      </c>
    </row>
    <row r="141" spans="1:3" x14ac:dyDescent="0.3">
      <c r="A141" s="2">
        <v>114</v>
      </c>
      <c r="B141" s="2">
        <v>5.4871675639309991</v>
      </c>
      <c r="C141" s="2">
        <v>0.11680843606900115</v>
      </c>
    </row>
    <row r="142" spans="1:3" x14ac:dyDescent="0.3">
      <c r="A142" s="2">
        <v>115</v>
      </c>
      <c r="B142" s="2">
        <v>5.366772589374353</v>
      </c>
      <c r="C142" s="2">
        <v>0.18230941062564732</v>
      </c>
    </row>
    <row r="143" spans="1:3" x14ac:dyDescent="0.3">
      <c r="A143" s="2">
        <v>116</v>
      </c>
      <c r="B143" s="2">
        <v>5.3874078344197471</v>
      </c>
      <c r="C143" s="2">
        <v>-9.7568834419747397E-2</v>
      </c>
    </row>
    <row r="144" spans="1:3" x14ac:dyDescent="0.3">
      <c r="A144" s="2">
        <v>117</v>
      </c>
      <c r="B144" s="2">
        <v>5.3552250962859027</v>
      </c>
      <c r="C144" s="2">
        <v>-0.31530809628590273</v>
      </c>
    </row>
    <row r="145" spans="1:3" x14ac:dyDescent="0.3">
      <c r="A145" s="2">
        <v>118</v>
      </c>
      <c r="B145" s="2">
        <v>5.406657935397309</v>
      </c>
      <c r="C145" s="2">
        <v>-0.5953469353973091</v>
      </c>
    </row>
    <row r="146" spans="1:3" ht="15" thickBot="1" x14ac:dyDescent="0.35">
      <c r="A146" s="3">
        <v>119</v>
      </c>
      <c r="B146" s="3">
        <v>5.3663476787685198</v>
      </c>
      <c r="C146" s="3">
        <v>-0.6690726787685195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4948-B50A-461C-A4AF-65623F3DC83F}">
  <dimension ref="A1:P124"/>
  <sheetViews>
    <sheetView topLeftCell="A6" workbookViewId="0">
      <selection activeCell="P6" sqref="P6:P124"/>
    </sheetView>
  </sheetViews>
  <sheetFormatPr defaultRowHeight="14.4" x14ac:dyDescent="0.3"/>
  <cols>
    <col min="1" max="1" width="6.109375" bestFit="1" customWidth="1"/>
    <col min="2" max="2" width="7" bestFit="1" customWidth="1"/>
    <col min="3" max="3" width="6.33203125" bestFit="1" customWidth="1"/>
    <col min="4" max="4" width="6" bestFit="1" customWidth="1"/>
    <col min="5" max="5" width="7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1</v>
      </c>
      <c r="B2">
        <v>1987.1</v>
      </c>
      <c r="C2">
        <v>236</v>
      </c>
      <c r="D2">
        <v>12.03</v>
      </c>
      <c r="E2">
        <v>102105</v>
      </c>
      <c r="F2">
        <v>4.3479179999999999</v>
      </c>
      <c r="G2">
        <v>111.8</v>
      </c>
      <c r="H2">
        <v>7.1954098360655703</v>
      </c>
      <c r="L2">
        <v>4.3479179999999999</v>
      </c>
      <c r="N2">
        <v>7.1954098360655703</v>
      </c>
    </row>
    <row r="3" spans="1:16" x14ac:dyDescent="0.3">
      <c r="A3" t="s">
        <v>1</v>
      </c>
      <c r="B3">
        <v>1987.2</v>
      </c>
      <c r="C3">
        <v>866</v>
      </c>
      <c r="D3">
        <v>12.11</v>
      </c>
      <c r="E3">
        <v>102971</v>
      </c>
      <c r="F3">
        <v>4.3234870000000001</v>
      </c>
      <c r="G3">
        <v>113.066666666667</v>
      </c>
      <c r="H3">
        <v>8.3426984126984092</v>
      </c>
      <c r="L3">
        <v>4.3234870000000001</v>
      </c>
      <c r="N3">
        <v>8.3426984126984092</v>
      </c>
    </row>
    <row r="4" spans="1:16" x14ac:dyDescent="0.3">
      <c r="A4" t="s">
        <v>1</v>
      </c>
      <c r="B4">
        <v>1987.3</v>
      </c>
      <c r="C4">
        <v>274</v>
      </c>
      <c r="D4">
        <v>11.8</v>
      </c>
      <c r="E4">
        <v>103245</v>
      </c>
      <c r="F4">
        <v>4.4051850000000004</v>
      </c>
      <c r="G4">
        <v>114.26666666666701</v>
      </c>
      <c r="H4">
        <v>8.8696874999999995</v>
      </c>
      <c r="L4">
        <v>4.4051850000000004</v>
      </c>
      <c r="N4">
        <v>8.8696874999999995</v>
      </c>
    </row>
    <row r="5" spans="1:16" x14ac:dyDescent="0.3">
      <c r="A5" t="s">
        <v>1</v>
      </c>
      <c r="B5">
        <v>1987.4</v>
      </c>
      <c r="C5">
        <v>4340</v>
      </c>
      <c r="D5">
        <v>11.49</v>
      </c>
      <c r="E5">
        <v>107585</v>
      </c>
      <c r="F5">
        <v>4.5665009999999997</v>
      </c>
      <c r="G5">
        <v>115.333333333333</v>
      </c>
      <c r="H5">
        <v>9.1290322580645196</v>
      </c>
      <c r="L5">
        <v>4.5665009999999997</v>
      </c>
      <c r="N5">
        <v>9.1290322580645196</v>
      </c>
    </row>
    <row r="6" spans="1:16" x14ac:dyDescent="0.3">
      <c r="A6" t="s">
        <v>1</v>
      </c>
      <c r="B6">
        <v>1988.1</v>
      </c>
      <c r="C6">
        <v>443</v>
      </c>
      <c r="D6">
        <v>11.12</v>
      </c>
      <c r="E6">
        <v>108028</v>
      </c>
      <c r="F6">
        <v>4.776186</v>
      </c>
      <c r="G6">
        <v>116.23333333333299</v>
      </c>
      <c r="H6">
        <v>8.4109677419354902</v>
      </c>
      <c r="L6">
        <v>4.776186</v>
      </c>
      <c r="M6">
        <f>F2</f>
        <v>4.3479179999999999</v>
      </c>
      <c r="N6">
        <v>8.4109677419354902</v>
      </c>
      <c r="O6">
        <f>D6/D2</f>
        <v>0.92435577722360762</v>
      </c>
      <c r="P6">
        <f>G6/G2</f>
        <v>1.039654144305304</v>
      </c>
    </row>
    <row r="7" spans="1:16" x14ac:dyDescent="0.3">
      <c r="A7" t="s">
        <v>1</v>
      </c>
      <c r="B7">
        <v>1988.2</v>
      </c>
      <c r="C7">
        <v>0</v>
      </c>
      <c r="D7">
        <v>10.76</v>
      </c>
      <c r="E7">
        <v>108028</v>
      </c>
      <c r="F7">
        <v>4.7628370000000002</v>
      </c>
      <c r="G7">
        <v>117.566666666667</v>
      </c>
      <c r="H7">
        <v>8.9128571428571401</v>
      </c>
      <c r="L7">
        <v>4.7628370000000002</v>
      </c>
      <c r="M7">
        <f>F3</f>
        <v>4.3234870000000001</v>
      </c>
      <c r="N7">
        <v>8.9128571428571401</v>
      </c>
      <c r="O7">
        <f>D7/D3</f>
        <v>0.88852188274153598</v>
      </c>
      <c r="P7">
        <f>G7/G3</f>
        <v>1.0397995283018866</v>
      </c>
    </row>
    <row r="8" spans="1:16" x14ac:dyDescent="0.3">
      <c r="A8" t="s">
        <v>1</v>
      </c>
      <c r="B8">
        <v>1988.3</v>
      </c>
      <c r="C8">
        <v>0</v>
      </c>
      <c r="D8">
        <v>10.51</v>
      </c>
      <c r="E8">
        <v>108028</v>
      </c>
      <c r="F8">
        <v>4.6169599999999997</v>
      </c>
      <c r="G8">
        <v>119</v>
      </c>
      <c r="H8">
        <v>9.1035937499999999</v>
      </c>
      <c r="L8">
        <v>4.6169599999999997</v>
      </c>
      <c r="M8">
        <f>F4</f>
        <v>4.4051850000000004</v>
      </c>
      <c r="N8">
        <v>9.1035937499999999</v>
      </c>
      <c r="O8">
        <f>D8/D4</f>
        <v>0.89067796610169481</v>
      </c>
      <c r="P8">
        <f>G8/G4</f>
        <v>1.041423570595096</v>
      </c>
    </row>
    <row r="9" spans="1:16" x14ac:dyDescent="0.3">
      <c r="A9" t="s">
        <v>1</v>
      </c>
      <c r="B9">
        <v>1988.4</v>
      </c>
      <c r="C9">
        <v>0</v>
      </c>
      <c r="D9">
        <v>10.26</v>
      </c>
      <c r="E9">
        <v>108028</v>
      </c>
      <c r="F9">
        <v>4.49498</v>
      </c>
      <c r="G9">
        <v>120.3</v>
      </c>
      <c r="H9">
        <v>8.9570491803278696</v>
      </c>
      <c r="L9">
        <v>4.49498</v>
      </c>
      <c r="M9">
        <f>F5</f>
        <v>4.5665009999999997</v>
      </c>
      <c r="N9">
        <v>8.9570491803278696</v>
      </c>
      <c r="O9">
        <f>D9/D5</f>
        <v>0.89295039164490864</v>
      </c>
      <c r="P9">
        <f>G9/G5</f>
        <v>1.0430635838150319</v>
      </c>
    </row>
    <row r="10" spans="1:16" x14ac:dyDescent="0.3">
      <c r="A10" t="s">
        <v>1</v>
      </c>
      <c r="B10">
        <v>1989.1</v>
      </c>
      <c r="C10">
        <v>0</v>
      </c>
      <c r="D10">
        <v>10.39</v>
      </c>
      <c r="E10">
        <v>108028</v>
      </c>
      <c r="F10">
        <v>4.6169570000000002</v>
      </c>
      <c r="G10">
        <v>121.666666666667</v>
      </c>
      <c r="H10">
        <v>9.2116393442623004</v>
      </c>
      <c r="L10">
        <v>4.6169570000000002</v>
      </c>
      <c r="M10">
        <f>F6</f>
        <v>4.776186</v>
      </c>
      <c r="N10">
        <v>9.2116393442623004</v>
      </c>
      <c r="O10">
        <f>D10/D6</f>
        <v>0.93435251798561159</v>
      </c>
      <c r="P10">
        <f>G10/G6</f>
        <v>1.0467450530542073</v>
      </c>
    </row>
    <row r="11" spans="1:16" x14ac:dyDescent="0.3">
      <c r="A11" t="s">
        <v>1</v>
      </c>
      <c r="B11">
        <v>1989.2</v>
      </c>
      <c r="C11">
        <v>383</v>
      </c>
      <c r="D11">
        <v>10.52</v>
      </c>
      <c r="E11">
        <v>108411</v>
      </c>
      <c r="F11">
        <v>4.8016819999999996</v>
      </c>
      <c r="G11">
        <v>123.633333333333</v>
      </c>
      <c r="H11">
        <v>8.7579687499999999</v>
      </c>
      <c r="L11">
        <v>4.8016819999999996</v>
      </c>
      <c r="M11">
        <f>F7</f>
        <v>4.7628370000000002</v>
      </c>
      <c r="N11">
        <v>8.7579687499999999</v>
      </c>
      <c r="O11">
        <f>D11/D7</f>
        <v>0.97769516728624528</v>
      </c>
      <c r="P11">
        <f>G11/G7</f>
        <v>1.0516019279841167</v>
      </c>
    </row>
    <row r="12" spans="1:16" x14ac:dyDescent="0.3">
      <c r="A12" t="s">
        <v>1</v>
      </c>
      <c r="B12">
        <v>1989.3</v>
      </c>
      <c r="C12">
        <v>0</v>
      </c>
      <c r="D12">
        <v>10.58</v>
      </c>
      <c r="E12">
        <v>108411</v>
      </c>
      <c r="F12">
        <v>5.2319659999999999</v>
      </c>
      <c r="G12">
        <v>124.6</v>
      </c>
      <c r="H12">
        <v>8.1074603174603208</v>
      </c>
      <c r="L12">
        <v>5.2319659999999999</v>
      </c>
      <c r="M12">
        <f>F8</f>
        <v>4.6169599999999997</v>
      </c>
      <c r="N12">
        <v>8.1074603174603208</v>
      </c>
      <c r="O12">
        <f>D12/D8</f>
        <v>1.0066603235014273</v>
      </c>
      <c r="P12">
        <f>G12/G8</f>
        <v>1.0470588235294118</v>
      </c>
    </row>
    <row r="13" spans="1:16" x14ac:dyDescent="0.3">
      <c r="A13" t="s">
        <v>1</v>
      </c>
      <c r="B13">
        <v>1989.4</v>
      </c>
      <c r="C13">
        <v>0</v>
      </c>
      <c r="D13">
        <v>10.63</v>
      </c>
      <c r="E13">
        <v>108411</v>
      </c>
      <c r="F13">
        <v>5.5856120000000002</v>
      </c>
      <c r="G13">
        <v>125.866666666667</v>
      </c>
      <c r="H13">
        <v>7.9070967741935503</v>
      </c>
      <c r="L13">
        <v>5.5856120000000002</v>
      </c>
      <c r="M13">
        <f>F9</f>
        <v>4.49498</v>
      </c>
      <c r="N13">
        <v>7.9070967741935503</v>
      </c>
      <c r="O13">
        <f>D13/D9</f>
        <v>1.0360623781676415</v>
      </c>
      <c r="P13">
        <f>G13/G9</f>
        <v>1.0462732058742061</v>
      </c>
    </row>
    <row r="14" spans="1:16" x14ac:dyDescent="0.3">
      <c r="A14" t="s">
        <v>1</v>
      </c>
      <c r="B14">
        <v>1990.1</v>
      </c>
      <c r="C14">
        <v>0</v>
      </c>
      <c r="D14">
        <v>11.24</v>
      </c>
      <c r="E14">
        <v>108411</v>
      </c>
      <c r="F14">
        <v>5.6896829999999996</v>
      </c>
      <c r="G14">
        <v>128.03333333333299</v>
      </c>
      <c r="H14">
        <v>8.4238709677419301</v>
      </c>
      <c r="L14">
        <v>5.6896829999999996</v>
      </c>
      <c r="M14">
        <f>F10</f>
        <v>4.6169570000000002</v>
      </c>
      <c r="N14">
        <v>8.4238709677419301</v>
      </c>
      <c r="O14">
        <f>D14/D10</f>
        <v>1.0818094321462945</v>
      </c>
      <c r="P14">
        <f>G14/G10</f>
        <v>1.0523287671232819</v>
      </c>
    </row>
    <row r="15" spans="1:16" x14ac:dyDescent="0.3">
      <c r="A15" t="s">
        <v>1</v>
      </c>
      <c r="B15">
        <v>1990.2</v>
      </c>
      <c r="C15">
        <v>0</v>
      </c>
      <c r="D15">
        <v>11.88</v>
      </c>
      <c r="E15">
        <v>108411</v>
      </c>
      <c r="F15">
        <v>6.0473460000000001</v>
      </c>
      <c r="G15">
        <v>129.30000000000001</v>
      </c>
      <c r="H15">
        <v>8.6741269841269801</v>
      </c>
      <c r="L15">
        <v>6.0473460000000001</v>
      </c>
      <c r="M15">
        <f>F11</f>
        <v>4.8016819999999996</v>
      </c>
      <c r="N15">
        <v>8.6741269841269801</v>
      </c>
      <c r="O15">
        <f>D15/D11</f>
        <v>1.1292775665399242</v>
      </c>
      <c r="P15">
        <f>G15/G11</f>
        <v>1.0458344567268836</v>
      </c>
    </row>
    <row r="16" spans="1:16" x14ac:dyDescent="0.3">
      <c r="A16" t="s">
        <v>1</v>
      </c>
      <c r="B16">
        <v>1990.3</v>
      </c>
      <c r="C16">
        <v>0</v>
      </c>
      <c r="D16">
        <v>12.06</v>
      </c>
      <c r="E16">
        <v>108411</v>
      </c>
      <c r="F16">
        <v>6.2918609999999999</v>
      </c>
      <c r="G16">
        <v>131.53333333333299</v>
      </c>
      <c r="H16">
        <v>8.7012698412698395</v>
      </c>
      <c r="L16">
        <v>6.2918609999999999</v>
      </c>
      <c r="M16">
        <f>F12</f>
        <v>5.2319659999999999</v>
      </c>
      <c r="N16">
        <v>8.7012698412698395</v>
      </c>
      <c r="O16">
        <f>D16/D12</f>
        <v>1.1398865784499055</v>
      </c>
      <c r="P16">
        <f>G16/G12</f>
        <v>1.0556447298020304</v>
      </c>
    </row>
    <row r="17" spans="1:16" x14ac:dyDescent="0.3">
      <c r="A17" t="s">
        <v>1</v>
      </c>
      <c r="B17">
        <v>1990.4</v>
      </c>
      <c r="C17">
        <v>0</v>
      </c>
      <c r="D17">
        <v>12.24</v>
      </c>
      <c r="E17">
        <v>108411</v>
      </c>
      <c r="F17">
        <v>6.5132519999999996</v>
      </c>
      <c r="G17">
        <v>133.76666666666699</v>
      </c>
      <c r="H17">
        <v>8.4059677419354895</v>
      </c>
      <c r="L17">
        <v>6.5132519999999996</v>
      </c>
      <c r="M17">
        <f>F13</f>
        <v>5.5856120000000002</v>
      </c>
      <c r="N17">
        <v>8.4059677419354895</v>
      </c>
      <c r="O17">
        <f>D17/D13</f>
        <v>1.1514581373471307</v>
      </c>
      <c r="P17">
        <f>G17/G13</f>
        <v>1.0627648305084743</v>
      </c>
    </row>
    <row r="18" spans="1:16" x14ac:dyDescent="0.3">
      <c r="A18" t="s">
        <v>1</v>
      </c>
      <c r="B18">
        <v>1991.1</v>
      </c>
      <c r="C18">
        <v>423</v>
      </c>
      <c r="D18">
        <v>12.02</v>
      </c>
      <c r="E18">
        <v>108834</v>
      </c>
      <c r="F18">
        <v>6.8464859999999996</v>
      </c>
      <c r="G18">
        <v>134.76666666666699</v>
      </c>
      <c r="H18">
        <v>8.0231666666666595</v>
      </c>
      <c r="L18">
        <v>6.8464859999999996</v>
      </c>
      <c r="M18">
        <f>F14</f>
        <v>5.6896829999999996</v>
      </c>
      <c r="N18">
        <v>8.0231666666666595</v>
      </c>
      <c r="O18">
        <f>D18/D14</f>
        <v>1.0693950177935942</v>
      </c>
      <c r="P18">
        <f>G18/G14</f>
        <v>1.0525904712314555</v>
      </c>
    </row>
    <row r="19" spans="1:16" x14ac:dyDescent="0.3">
      <c r="A19" t="s">
        <v>1</v>
      </c>
      <c r="B19">
        <v>1991.2</v>
      </c>
      <c r="C19">
        <v>0</v>
      </c>
      <c r="D19">
        <v>11.81</v>
      </c>
      <c r="E19">
        <v>108834</v>
      </c>
      <c r="F19">
        <v>7.0462300000000004</v>
      </c>
      <c r="G19">
        <v>135.566666666667</v>
      </c>
      <c r="H19">
        <v>8.1254687499999996</v>
      </c>
      <c r="L19">
        <v>7.0462300000000004</v>
      </c>
      <c r="M19">
        <f>F15</f>
        <v>6.0473460000000001</v>
      </c>
      <c r="N19">
        <v>8.1254687499999996</v>
      </c>
      <c r="O19">
        <f>D19/D15</f>
        <v>0.99410774410774405</v>
      </c>
      <c r="P19">
        <f>G19/G15</f>
        <v>1.0484660995101855</v>
      </c>
    </row>
    <row r="20" spans="1:16" x14ac:dyDescent="0.3">
      <c r="A20" t="s">
        <v>1</v>
      </c>
      <c r="B20">
        <v>1991.3</v>
      </c>
      <c r="C20">
        <v>582</v>
      </c>
      <c r="D20">
        <v>11.57</v>
      </c>
      <c r="E20">
        <v>109416</v>
      </c>
      <c r="F20">
        <v>7.4888440000000003</v>
      </c>
      <c r="G20">
        <v>136.6</v>
      </c>
      <c r="H20">
        <v>7.95</v>
      </c>
      <c r="L20">
        <v>7.4888440000000003</v>
      </c>
      <c r="M20">
        <f>F16</f>
        <v>6.2918609999999999</v>
      </c>
      <c r="N20">
        <v>7.95</v>
      </c>
      <c r="O20">
        <f>D20/D16</f>
        <v>0.95936981757877282</v>
      </c>
      <c r="P20">
        <f>G20/G16</f>
        <v>1.0385200202736975</v>
      </c>
    </row>
    <row r="21" spans="1:16" x14ac:dyDescent="0.3">
      <c r="A21" t="s">
        <v>1</v>
      </c>
      <c r="B21">
        <v>1991.4</v>
      </c>
      <c r="C21">
        <v>0</v>
      </c>
      <c r="D21">
        <v>11.34</v>
      </c>
      <c r="E21">
        <v>109416</v>
      </c>
      <c r="F21">
        <v>7.4364439999999998</v>
      </c>
      <c r="G21">
        <v>137.73333333333301</v>
      </c>
      <c r="H21">
        <v>7.3449999999999998</v>
      </c>
      <c r="L21">
        <v>7.4364439999999998</v>
      </c>
      <c r="M21">
        <f>F17</f>
        <v>6.5132519999999996</v>
      </c>
      <c r="N21">
        <v>7.3449999999999998</v>
      </c>
      <c r="O21">
        <f>D21/D17</f>
        <v>0.92647058823529405</v>
      </c>
      <c r="P21">
        <f>G21/G17</f>
        <v>1.0296536257164166</v>
      </c>
    </row>
    <row r="22" spans="1:16" x14ac:dyDescent="0.3">
      <c r="A22" t="s">
        <v>1</v>
      </c>
      <c r="B22">
        <v>1992.1</v>
      </c>
      <c r="C22">
        <v>0</v>
      </c>
      <c r="D22">
        <v>11.41</v>
      </c>
      <c r="E22">
        <v>109416</v>
      </c>
      <c r="F22">
        <v>8.1919059999999995</v>
      </c>
      <c r="G22">
        <v>138.666666666667</v>
      </c>
      <c r="H22">
        <v>7.3069354838709701</v>
      </c>
      <c r="L22">
        <v>8.1919059999999995</v>
      </c>
      <c r="M22">
        <f>F18</f>
        <v>6.8464859999999996</v>
      </c>
      <c r="N22">
        <v>7.3069354838709701</v>
      </c>
      <c r="O22">
        <f>D22/D18</f>
        <v>0.94925124792013316</v>
      </c>
      <c r="P22">
        <f>G22/G18</f>
        <v>1.0289389067524115</v>
      </c>
    </row>
    <row r="23" spans="1:16" x14ac:dyDescent="0.3">
      <c r="A23" t="s">
        <v>1</v>
      </c>
      <c r="B23">
        <v>1992.2</v>
      </c>
      <c r="C23">
        <v>75</v>
      </c>
      <c r="D23">
        <v>11.49</v>
      </c>
      <c r="E23">
        <v>109491</v>
      </c>
      <c r="F23">
        <v>9.0988279999999992</v>
      </c>
      <c r="G23">
        <v>139.73333333333301</v>
      </c>
      <c r="H23">
        <v>7.3760317460317504</v>
      </c>
      <c r="L23">
        <v>9.0988279999999992</v>
      </c>
      <c r="M23">
        <f>F19</f>
        <v>7.0462300000000004</v>
      </c>
      <c r="N23">
        <v>7.3760317460317504</v>
      </c>
      <c r="O23">
        <f>D23/D19</f>
        <v>0.97290431837425906</v>
      </c>
      <c r="P23">
        <f>G23/G19</f>
        <v>1.0307351856405162</v>
      </c>
    </row>
    <row r="24" spans="1:16" x14ac:dyDescent="0.3">
      <c r="A24" t="s">
        <v>1</v>
      </c>
      <c r="B24">
        <v>1992.3</v>
      </c>
      <c r="C24">
        <v>400</v>
      </c>
      <c r="D24">
        <v>11.43</v>
      </c>
      <c r="E24">
        <v>109891</v>
      </c>
      <c r="F24">
        <v>10.247389999999999</v>
      </c>
      <c r="G24">
        <v>140.80000000000001</v>
      </c>
      <c r="H24">
        <v>6.6187500000000004</v>
      </c>
      <c r="L24">
        <v>10.247389999999999</v>
      </c>
      <c r="M24">
        <f>F20</f>
        <v>7.4888440000000003</v>
      </c>
      <c r="N24">
        <v>6.6187500000000004</v>
      </c>
      <c r="O24">
        <f>D24/D20</f>
        <v>0.98789974070872943</v>
      </c>
      <c r="P24">
        <f>G24/G20</f>
        <v>1.0307467057101025</v>
      </c>
    </row>
    <row r="25" spans="1:16" x14ac:dyDescent="0.3">
      <c r="A25" t="s">
        <v>1</v>
      </c>
      <c r="B25">
        <v>1992.4</v>
      </c>
      <c r="C25">
        <v>1830</v>
      </c>
      <c r="D25">
        <v>11.37</v>
      </c>
      <c r="E25">
        <v>111721</v>
      </c>
      <c r="F25">
        <v>11.06343</v>
      </c>
      <c r="G25">
        <v>142.03333333333299</v>
      </c>
      <c r="H25">
        <v>6.7403225806451603</v>
      </c>
      <c r="L25">
        <v>11.06343</v>
      </c>
      <c r="M25">
        <f>F21</f>
        <v>7.4364439999999998</v>
      </c>
      <c r="N25">
        <v>6.7403225806451603</v>
      </c>
      <c r="O25">
        <f>D25/D21</f>
        <v>1.0026455026455026</v>
      </c>
      <c r="P25">
        <f>G25/G21</f>
        <v>1.0312197483059051</v>
      </c>
    </row>
    <row r="26" spans="1:16" x14ac:dyDescent="0.3">
      <c r="A26" t="s">
        <v>1</v>
      </c>
      <c r="B26">
        <v>1993.1</v>
      </c>
      <c r="C26">
        <v>0</v>
      </c>
      <c r="D26">
        <v>11.58</v>
      </c>
      <c r="E26">
        <v>111721</v>
      </c>
      <c r="F26">
        <v>11.190899999999999</v>
      </c>
      <c r="G26">
        <v>143.066666666667</v>
      </c>
      <c r="H26">
        <v>6.25819672131147</v>
      </c>
      <c r="L26">
        <v>11.190899999999999</v>
      </c>
      <c r="M26">
        <f>F22</f>
        <v>8.1919059999999995</v>
      </c>
      <c r="N26">
        <v>6.25819672131147</v>
      </c>
      <c r="O26">
        <f>D26/D22</f>
        <v>1.0148992112182296</v>
      </c>
      <c r="P26">
        <f>G26/G22</f>
        <v>1.0317307692307691</v>
      </c>
    </row>
    <row r="27" spans="1:16" x14ac:dyDescent="0.3">
      <c r="A27" t="s">
        <v>1</v>
      </c>
      <c r="B27">
        <v>1993.2</v>
      </c>
      <c r="C27">
        <v>0</v>
      </c>
      <c r="D27">
        <v>11.8</v>
      </c>
      <c r="E27">
        <v>111721</v>
      </c>
      <c r="F27">
        <v>11.329739999999999</v>
      </c>
      <c r="G27">
        <v>144.1</v>
      </c>
      <c r="H27">
        <v>5.9880952380952399</v>
      </c>
      <c r="L27">
        <v>11.329739999999999</v>
      </c>
      <c r="M27">
        <f>F23</f>
        <v>9.0988279999999992</v>
      </c>
      <c r="N27">
        <v>5.9880952380952399</v>
      </c>
      <c r="O27">
        <f>D27/D23</f>
        <v>1.0269799825935597</v>
      </c>
      <c r="P27">
        <f>G27/G23</f>
        <v>1.0312500000000024</v>
      </c>
    </row>
    <row r="28" spans="1:16" x14ac:dyDescent="0.3">
      <c r="A28" t="s">
        <v>1</v>
      </c>
      <c r="B28">
        <v>1993.3</v>
      </c>
      <c r="C28">
        <v>0</v>
      </c>
      <c r="D28">
        <v>11.58</v>
      </c>
      <c r="E28">
        <v>111721</v>
      </c>
      <c r="F28">
        <v>10.762779999999999</v>
      </c>
      <c r="G28">
        <v>144.76666666666699</v>
      </c>
      <c r="H28">
        <v>5.6153124999999999</v>
      </c>
      <c r="L28">
        <v>10.762779999999999</v>
      </c>
      <c r="M28">
        <f>F24</f>
        <v>10.247389999999999</v>
      </c>
      <c r="N28">
        <v>5.6153124999999999</v>
      </c>
      <c r="O28">
        <f>D28/D24</f>
        <v>1.0131233595800526</v>
      </c>
      <c r="P28">
        <f>G28/G24</f>
        <v>1.0281723484848506</v>
      </c>
    </row>
    <row r="29" spans="1:16" x14ac:dyDescent="0.3">
      <c r="A29" t="s">
        <v>1</v>
      </c>
      <c r="B29">
        <v>1993.4</v>
      </c>
      <c r="C29">
        <v>0</v>
      </c>
      <c r="D29">
        <v>11.36</v>
      </c>
      <c r="E29">
        <v>111721</v>
      </c>
      <c r="F29">
        <v>10.88693</v>
      </c>
      <c r="G29">
        <v>145.96666666666701</v>
      </c>
      <c r="H29">
        <v>5.6159677419354797</v>
      </c>
      <c r="L29">
        <v>10.88693</v>
      </c>
      <c r="M29">
        <f>F25</f>
        <v>11.06343</v>
      </c>
      <c r="N29">
        <v>5.6159677419354797</v>
      </c>
      <c r="O29">
        <f>D29/D25</f>
        <v>0.99912049252418644</v>
      </c>
      <c r="P29">
        <f>G29/G25</f>
        <v>1.0276930298052149</v>
      </c>
    </row>
    <row r="30" spans="1:16" x14ac:dyDescent="0.3">
      <c r="A30" t="s">
        <v>1</v>
      </c>
      <c r="B30">
        <v>1994.1</v>
      </c>
      <c r="C30">
        <v>0</v>
      </c>
      <c r="D30">
        <v>11.63</v>
      </c>
      <c r="E30">
        <v>111721</v>
      </c>
      <c r="F30">
        <v>11.01376</v>
      </c>
      <c r="G30">
        <v>146.69999999999999</v>
      </c>
      <c r="H30">
        <v>6.09032258064516</v>
      </c>
      <c r="L30">
        <v>11.01376</v>
      </c>
      <c r="M30">
        <f>F26</f>
        <v>11.190899999999999</v>
      </c>
      <c r="N30">
        <v>6.09032258064516</v>
      </c>
      <c r="O30">
        <f>D30/D26</f>
        <v>1.0043177892918826</v>
      </c>
      <c r="P30">
        <f>G30/G26</f>
        <v>1.0253960857409108</v>
      </c>
    </row>
    <row r="31" spans="1:16" x14ac:dyDescent="0.3">
      <c r="A31" t="s">
        <v>1</v>
      </c>
      <c r="B31">
        <v>1994.2</v>
      </c>
      <c r="C31">
        <v>0</v>
      </c>
      <c r="D31">
        <v>11.91</v>
      </c>
      <c r="E31">
        <v>111721</v>
      </c>
      <c r="F31">
        <v>10.937530000000001</v>
      </c>
      <c r="G31">
        <v>147.53333333333299</v>
      </c>
      <c r="H31">
        <v>7.0895161290322601</v>
      </c>
      <c r="L31">
        <v>10.937530000000001</v>
      </c>
      <c r="M31">
        <f>F27</f>
        <v>11.329739999999999</v>
      </c>
      <c r="N31">
        <v>7.0895161290322601</v>
      </c>
      <c r="O31">
        <f>D31/D27</f>
        <v>1.0093220338983051</v>
      </c>
      <c r="P31">
        <f>G31/G27</f>
        <v>1.0238260467268077</v>
      </c>
    </row>
    <row r="32" spans="1:16" x14ac:dyDescent="0.3">
      <c r="A32" t="s">
        <v>1</v>
      </c>
      <c r="B32">
        <v>1994.3</v>
      </c>
      <c r="C32">
        <v>0</v>
      </c>
      <c r="D32">
        <v>12.13</v>
      </c>
      <c r="E32">
        <v>111721</v>
      </c>
      <c r="F32">
        <v>10.379519999999999</v>
      </c>
      <c r="G32">
        <v>148.9</v>
      </c>
      <c r="H32">
        <v>7.3279687500000001</v>
      </c>
      <c r="L32">
        <v>10.379519999999999</v>
      </c>
      <c r="M32">
        <f>F28</f>
        <v>10.762779999999999</v>
      </c>
      <c r="N32">
        <v>7.3279687500000001</v>
      </c>
      <c r="O32">
        <f>D32/D28</f>
        <v>1.0474956822107082</v>
      </c>
      <c r="P32">
        <f>G32/G28</f>
        <v>1.0285516923785378</v>
      </c>
    </row>
    <row r="33" spans="1:16" x14ac:dyDescent="0.3">
      <c r="A33" t="s">
        <v>1</v>
      </c>
      <c r="B33">
        <v>1994.4</v>
      </c>
      <c r="C33">
        <v>0</v>
      </c>
      <c r="D33">
        <v>12.36</v>
      </c>
      <c r="E33">
        <v>111721</v>
      </c>
      <c r="F33">
        <v>10.195489999999999</v>
      </c>
      <c r="G33">
        <v>149.76666666666699</v>
      </c>
      <c r="H33">
        <v>7.8372131147540998</v>
      </c>
      <c r="L33">
        <v>10.195489999999999</v>
      </c>
      <c r="M33">
        <f>F29</f>
        <v>10.88693</v>
      </c>
      <c r="N33">
        <v>7.8372131147540998</v>
      </c>
      <c r="O33">
        <f>D33/D29</f>
        <v>1.0880281690140845</v>
      </c>
      <c r="P33">
        <f>G33/G29</f>
        <v>1.0260333409454212</v>
      </c>
    </row>
    <row r="34" spans="1:16" x14ac:dyDescent="0.3">
      <c r="A34" t="s">
        <v>1</v>
      </c>
      <c r="B34">
        <v>1995.1</v>
      </c>
      <c r="C34">
        <v>16</v>
      </c>
      <c r="D34">
        <v>12.26</v>
      </c>
      <c r="E34">
        <v>111737</v>
      </c>
      <c r="F34">
        <v>10.29513</v>
      </c>
      <c r="G34">
        <v>150.86666666666699</v>
      </c>
      <c r="H34">
        <v>7.47129032258065</v>
      </c>
      <c r="L34">
        <v>10.29513</v>
      </c>
      <c r="M34">
        <f>F30</f>
        <v>11.01376</v>
      </c>
      <c r="N34">
        <v>7.47129032258065</v>
      </c>
      <c r="O34">
        <f>D34/D30</f>
        <v>1.0541702493551159</v>
      </c>
      <c r="P34">
        <f>G34/G30</f>
        <v>1.0284026357646012</v>
      </c>
    </row>
    <row r="35" spans="1:16" x14ac:dyDescent="0.3">
      <c r="A35" t="s">
        <v>1</v>
      </c>
      <c r="B35">
        <v>1995.2</v>
      </c>
      <c r="C35">
        <v>6</v>
      </c>
      <c r="D35">
        <v>12.17</v>
      </c>
      <c r="E35">
        <v>111743</v>
      </c>
      <c r="F35">
        <v>9.7417850000000001</v>
      </c>
      <c r="G35">
        <v>152.1</v>
      </c>
      <c r="H35">
        <v>6.6001587301587303</v>
      </c>
      <c r="L35">
        <v>9.7417850000000001</v>
      </c>
      <c r="M35">
        <f>F31</f>
        <v>10.937530000000001</v>
      </c>
      <c r="N35">
        <v>6.6001587301587303</v>
      </c>
      <c r="O35">
        <f>D35/D31</f>
        <v>1.0218303946263645</v>
      </c>
      <c r="P35">
        <f>G35/G31</f>
        <v>1.0309534568459129</v>
      </c>
    </row>
    <row r="36" spans="1:16" x14ac:dyDescent="0.3">
      <c r="A36" t="s">
        <v>1</v>
      </c>
      <c r="B36">
        <v>1995.3</v>
      </c>
      <c r="C36">
        <v>0</v>
      </c>
      <c r="D36">
        <v>12.67</v>
      </c>
      <c r="E36">
        <v>111743</v>
      </c>
      <c r="F36">
        <v>9.8103230000000003</v>
      </c>
      <c r="G36">
        <v>152.86666666666699</v>
      </c>
      <c r="H36">
        <v>6.3292063492063502</v>
      </c>
      <c r="L36">
        <v>9.8103230000000003</v>
      </c>
      <c r="M36">
        <f>F32</f>
        <v>10.379519999999999</v>
      </c>
      <c r="N36">
        <v>6.3292063492063502</v>
      </c>
      <c r="O36">
        <f>D36/D32</f>
        <v>1.0445177246496289</v>
      </c>
      <c r="P36">
        <f>G36/G32</f>
        <v>1.0266398029997783</v>
      </c>
    </row>
    <row r="37" spans="1:16" x14ac:dyDescent="0.3">
      <c r="A37" t="s">
        <v>1</v>
      </c>
      <c r="B37">
        <v>1995.4</v>
      </c>
      <c r="C37">
        <v>14</v>
      </c>
      <c r="D37">
        <v>13.21</v>
      </c>
      <c r="E37">
        <v>111757</v>
      </c>
      <c r="F37">
        <v>9.6557410000000008</v>
      </c>
      <c r="G37">
        <v>153.69999999999999</v>
      </c>
      <c r="H37">
        <v>5.8985483870967697</v>
      </c>
      <c r="L37">
        <v>9.6557410000000008</v>
      </c>
      <c r="M37">
        <f>F33</f>
        <v>10.195489999999999</v>
      </c>
      <c r="N37">
        <v>5.8985483870967697</v>
      </c>
      <c r="O37">
        <f>D37/D33</f>
        <v>1.068770226537217</v>
      </c>
      <c r="P37">
        <f>G37/G33</f>
        <v>1.0262630758958358</v>
      </c>
    </row>
    <row r="38" spans="1:16" x14ac:dyDescent="0.3">
      <c r="A38" t="s">
        <v>1</v>
      </c>
      <c r="B38">
        <v>1996.1</v>
      </c>
      <c r="C38">
        <v>176</v>
      </c>
      <c r="D38">
        <v>14.01</v>
      </c>
      <c r="E38">
        <v>111933</v>
      </c>
      <c r="F38">
        <v>8.7117900000000006</v>
      </c>
      <c r="G38">
        <v>155.066666666667</v>
      </c>
      <c r="H38">
        <v>5.9104838709677399</v>
      </c>
      <c r="L38">
        <v>8.7117900000000006</v>
      </c>
      <c r="M38">
        <f>F34</f>
        <v>10.29513</v>
      </c>
      <c r="N38">
        <v>5.9104838709677399</v>
      </c>
      <c r="O38">
        <f>D38/D34</f>
        <v>1.1427406199021206</v>
      </c>
      <c r="P38">
        <f>G38/G34</f>
        <v>1.0278391515687142</v>
      </c>
    </row>
    <row r="39" spans="1:16" x14ac:dyDescent="0.3">
      <c r="A39" t="s">
        <v>1</v>
      </c>
      <c r="B39">
        <v>1996.2</v>
      </c>
      <c r="C39">
        <v>0</v>
      </c>
      <c r="D39">
        <v>14.85</v>
      </c>
      <c r="E39">
        <v>111933</v>
      </c>
      <c r="F39">
        <v>8.6881799999999991</v>
      </c>
      <c r="G39">
        <v>156.4</v>
      </c>
      <c r="H39">
        <v>6.7140624999999998</v>
      </c>
      <c r="L39">
        <v>8.6881799999999991</v>
      </c>
      <c r="M39">
        <f>F35</f>
        <v>9.7417850000000001</v>
      </c>
      <c r="N39">
        <v>6.7140624999999998</v>
      </c>
      <c r="O39">
        <f>D39/D35</f>
        <v>1.220213640098603</v>
      </c>
      <c r="P39">
        <f>G39/G35</f>
        <v>1.0282708744247206</v>
      </c>
    </row>
    <row r="40" spans="1:16" x14ac:dyDescent="0.3">
      <c r="A40" t="s">
        <v>1</v>
      </c>
      <c r="B40">
        <v>1996.3</v>
      </c>
      <c r="C40">
        <v>147</v>
      </c>
      <c r="D40">
        <v>15.24</v>
      </c>
      <c r="E40">
        <v>112080</v>
      </c>
      <c r="F40">
        <v>8.5117989999999999</v>
      </c>
      <c r="G40">
        <v>157.30000000000001</v>
      </c>
      <c r="H40">
        <v>6.7759375000000004</v>
      </c>
      <c r="L40">
        <v>8.5117989999999999</v>
      </c>
      <c r="M40">
        <f>F36</f>
        <v>9.8103230000000003</v>
      </c>
      <c r="N40">
        <v>6.7759375000000004</v>
      </c>
      <c r="O40">
        <f>D40/D36</f>
        <v>1.2028413575374901</v>
      </c>
      <c r="P40">
        <f>G40/G36</f>
        <v>1.0290013083296969</v>
      </c>
    </row>
    <row r="41" spans="1:16" x14ac:dyDescent="0.3">
      <c r="A41" t="s">
        <v>1</v>
      </c>
      <c r="B41">
        <v>1996.4</v>
      </c>
      <c r="C41">
        <v>0</v>
      </c>
      <c r="D41">
        <v>15.64</v>
      </c>
      <c r="E41">
        <v>112080</v>
      </c>
      <c r="F41">
        <v>8.4162099999999995</v>
      </c>
      <c r="G41">
        <v>158.666666666667</v>
      </c>
      <c r="H41">
        <v>6.3541935483870997</v>
      </c>
      <c r="L41">
        <v>8.4162099999999995</v>
      </c>
      <c r="M41">
        <f>F37</f>
        <v>9.6557410000000008</v>
      </c>
      <c r="N41">
        <v>6.3541935483870997</v>
      </c>
      <c r="O41">
        <f>D41/D37</f>
        <v>1.1839515518546555</v>
      </c>
      <c r="P41">
        <f>G41/G37</f>
        <v>1.0323140316634158</v>
      </c>
    </row>
    <row r="42" spans="1:16" x14ac:dyDescent="0.3">
      <c r="A42" t="s">
        <v>1</v>
      </c>
      <c r="B42">
        <v>1997.1</v>
      </c>
      <c r="C42">
        <v>116</v>
      </c>
      <c r="D42">
        <v>16.68</v>
      </c>
      <c r="E42">
        <v>112196</v>
      </c>
      <c r="F42">
        <v>8.5918759999999992</v>
      </c>
      <c r="G42">
        <v>159.63333333333301</v>
      </c>
      <c r="H42">
        <v>6.5670000000000002</v>
      </c>
      <c r="L42">
        <v>8.5918759999999992</v>
      </c>
      <c r="M42">
        <f>F38</f>
        <v>8.7117900000000006</v>
      </c>
      <c r="N42">
        <v>6.5670000000000002</v>
      </c>
      <c r="O42">
        <f>D42/D38</f>
        <v>1.1905781584582442</v>
      </c>
      <c r="P42">
        <f>G42/G38</f>
        <v>1.0294496990541659</v>
      </c>
    </row>
    <row r="43" spans="1:16" x14ac:dyDescent="0.3">
      <c r="A43" t="s">
        <v>1</v>
      </c>
      <c r="B43">
        <v>1997.2</v>
      </c>
      <c r="C43">
        <v>189</v>
      </c>
      <c r="D43">
        <v>17.78</v>
      </c>
      <c r="E43">
        <v>112385</v>
      </c>
      <c r="F43">
        <v>8.6885940000000002</v>
      </c>
      <c r="G43">
        <v>160</v>
      </c>
      <c r="H43">
        <v>6.6996874999999996</v>
      </c>
      <c r="L43">
        <v>8.6885940000000002</v>
      </c>
      <c r="M43">
        <f>F39</f>
        <v>8.6881799999999991</v>
      </c>
      <c r="N43">
        <v>6.6996874999999996</v>
      </c>
      <c r="O43">
        <f>D43/D39</f>
        <v>1.1973063973063973</v>
      </c>
      <c r="P43">
        <f>G43/G39</f>
        <v>1.0230179028132993</v>
      </c>
    </row>
    <row r="44" spans="1:16" x14ac:dyDescent="0.3">
      <c r="A44" t="s">
        <v>1</v>
      </c>
      <c r="B44">
        <v>1997.3</v>
      </c>
      <c r="C44">
        <v>100</v>
      </c>
      <c r="D44">
        <v>18.64</v>
      </c>
      <c r="E44">
        <v>112485</v>
      </c>
      <c r="F44">
        <v>9.4660489999999999</v>
      </c>
      <c r="G44">
        <v>160.80000000000001</v>
      </c>
      <c r="H44">
        <v>6.2421875</v>
      </c>
      <c r="L44">
        <v>9.4660489999999999</v>
      </c>
      <c r="M44">
        <f>F40</f>
        <v>8.5117989999999999</v>
      </c>
      <c r="N44">
        <v>6.2421875</v>
      </c>
      <c r="O44">
        <f>D44/D40</f>
        <v>1.2230971128608925</v>
      </c>
      <c r="P44">
        <f>G44/G40</f>
        <v>1.0222504767959313</v>
      </c>
    </row>
    <row r="45" spans="1:16" x14ac:dyDescent="0.3">
      <c r="A45" t="s">
        <v>1</v>
      </c>
      <c r="B45">
        <v>1997.4</v>
      </c>
      <c r="C45">
        <v>860</v>
      </c>
      <c r="D45">
        <v>19.55</v>
      </c>
      <c r="E45">
        <v>113345</v>
      </c>
      <c r="F45">
        <v>9.4580660000000005</v>
      </c>
      <c r="G45">
        <v>161.666666666667</v>
      </c>
      <c r="H45">
        <v>5.9062903225806496</v>
      </c>
      <c r="L45">
        <v>9.4580660000000005</v>
      </c>
      <c r="M45">
        <f>F41</f>
        <v>8.4162099999999995</v>
      </c>
      <c r="N45">
        <v>5.9062903225806496</v>
      </c>
      <c r="O45">
        <f>D45/D41</f>
        <v>1.25</v>
      </c>
      <c r="P45">
        <f>G45/G41</f>
        <v>1.01890756302521</v>
      </c>
    </row>
    <row r="46" spans="1:16" x14ac:dyDescent="0.3">
      <c r="A46" t="s">
        <v>1</v>
      </c>
      <c r="B46">
        <v>1998.1</v>
      </c>
      <c r="C46">
        <v>333</v>
      </c>
      <c r="D46">
        <v>19.420000000000002</v>
      </c>
      <c r="E46">
        <v>113678</v>
      </c>
      <c r="F46">
        <v>9.4437820000000006</v>
      </c>
      <c r="G46">
        <v>162</v>
      </c>
      <c r="H46">
        <v>5.5909836065573799</v>
      </c>
      <c r="L46">
        <v>9.4437820000000006</v>
      </c>
      <c r="M46">
        <f>F42</f>
        <v>8.5918759999999992</v>
      </c>
      <c r="N46">
        <v>5.5909836065573799</v>
      </c>
      <c r="O46">
        <f>D46/D42</f>
        <v>1.1642685851318946</v>
      </c>
      <c r="P46">
        <f>G46/G42</f>
        <v>1.0148256420964732</v>
      </c>
    </row>
    <row r="47" spans="1:16" x14ac:dyDescent="0.3">
      <c r="A47" t="s">
        <v>1</v>
      </c>
      <c r="B47">
        <v>1998.2</v>
      </c>
      <c r="C47">
        <v>1192</v>
      </c>
      <c r="D47">
        <v>19.28</v>
      </c>
      <c r="E47">
        <v>114870</v>
      </c>
      <c r="F47">
        <v>9.2001150000000003</v>
      </c>
      <c r="G47">
        <v>162.53333333333299</v>
      </c>
      <c r="H47">
        <v>5.5930158730158697</v>
      </c>
      <c r="L47">
        <v>9.2001150000000003</v>
      </c>
      <c r="M47">
        <f>F43</f>
        <v>8.6885940000000002</v>
      </c>
      <c r="N47">
        <v>5.5930158730158697</v>
      </c>
      <c r="O47">
        <f>D47/D43</f>
        <v>1.0843644544431945</v>
      </c>
      <c r="P47">
        <f>G47/G43</f>
        <v>1.0158333333333311</v>
      </c>
    </row>
    <row r="48" spans="1:16" x14ac:dyDescent="0.3">
      <c r="A48" t="s">
        <v>1</v>
      </c>
      <c r="B48">
        <v>1998.3</v>
      </c>
      <c r="C48">
        <v>1739</v>
      </c>
      <c r="D48">
        <v>19.79</v>
      </c>
      <c r="E48">
        <v>116609</v>
      </c>
      <c r="F48">
        <v>8.5219930000000002</v>
      </c>
      <c r="G48">
        <v>163.36666666666699</v>
      </c>
      <c r="H48">
        <v>5.2073437499999997</v>
      </c>
      <c r="L48">
        <v>8.5219930000000002</v>
      </c>
      <c r="M48">
        <f>F44</f>
        <v>9.4660489999999999</v>
      </c>
      <c r="N48">
        <v>5.2073437499999997</v>
      </c>
      <c r="O48">
        <f>D48/D44</f>
        <v>1.061695278969957</v>
      </c>
      <c r="P48">
        <f>G48/G44</f>
        <v>1.0159618573797697</v>
      </c>
    </row>
    <row r="49" spans="1:16" x14ac:dyDescent="0.3">
      <c r="A49" t="s">
        <v>1</v>
      </c>
      <c r="B49">
        <v>1998.4</v>
      </c>
      <c r="C49">
        <v>2180</v>
      </c>
      <c r="D49">
        <v>20.309999999999999</v>
      </c>
      <c r="E49">
        <v>118789</v>
      </c>
      <c r="F49">
        <v>7.9863999999999997</v>
      </c>
      <c r="G49">
        <v>164.13333333333301</v>
      </c>
      <c r="H49">
        <v>4.6619354838709697</v>
      </c>
      <c r="L49">
        <v>7.9863999999999997</v>
      </c>
      <c r="M49">
        <f>F45</f>
        <v>9.4580660000000005</v>
      </c>
      <c r="N49">
        <v>4.6619354838709697</v>
      </c>
      <c r="O49">
        <f>D49/D45</f>
        <v>1.0388746803069053</v>
      </c>
      <c r="P49">
        <f>G49/G45</f>
        <v>1.0152577319587588</v>
      </c>
    </row>
    <row r="50" spans="1:16" x14ac:dyDescent="0.3">
      <c r="A50" t="s">
        <v>1</v>
      </c>
      <c r="B50">
        <v>1999.1</v>
      </c>
      <c r="C50">
        <v>2528</v>
      </c>
      <c r="D50">
        <v>20.38</v>
      </c>
      <c r="E50">
        <v>121317</v>
      </c>
      <c r="F50">
        <v>7.9028520000000002</v>
      </c>
      <c r="G50">
        <v>164.73333333333301</v>
      </c>
      <c r="H50">
        <v>5.0008196721311498</v>
      </c>
      <c r="L50">
        <v>7.9028520000000002</v>
      </c>
      <c r="M50">
        <f>F46</f>
        <v>9.4437820000000006</v>
      </c>
      <c r="N50">
        <v>5.0008196721311498</v>
      </c>
      <c r="O50">
        <f>D50/D46</f>
        <v>1.0494335736354272</v>
      </c>
      <c r="P50">
        <f>G50/G46</f>
        <v>1.0168724279835371</v>
      </c>
    </row>
    <row r="51" spans="1:16" x14ac:dyDescent="0.3">
      <c r="A51" t="s">
        <v>1</v>
      </c>
      <c r="B51">
        <v>1999.2</v>
      </c>
      <c r="C51">
        <v>2164</v>
      </c>
      <c r="D51">
        <v>20.46</v>
      </c>
      <c r="E51">
        <v>123481</v>
      </c>
      <c r="F51">
        <v>7.9873120000000002</v>
      </c>
      <c r="G51">
        <v>165.96666666666701</v>
      </c>
      <c r="H51">
        <v>5.5412499999999998</v>
      </c>
      <c r="L51">
        <v>7.9873120000000002</v>
      </c>
      <c r="M51">
        <f>F47</f>
        <v>9.2001150000000003</v>
      </c>
      <c r="N51">
        <v>5.5412499999999998</v>
      </c>
      <c r="O51">
        <f>D51/D47</f>
        <v>1.0612033195020747</v>
      </c>
      <c r="P51">
        <f>G51/G47</f>
        <v>1.0211238720262552</v>
      </c>
    </row>
    <row r="52" spans="1:16" x14ac:dyDescent="0.3">
      <c r="A52" t="s">
        <v>1</v>
      </c>
      <c r="B52">
        <v>1999.3</v>
      </c>
      <c r="C52">
        <v>3229</v>
      </c>
      <c r="D52">
        <v>20.66</v>
      </c>
      <c r="E52">
        <v>126710</v>
      </c>
      <c r="F52">
        <v>8.0204850000000008</v>
      </c>
      <c r="G52">
        <v>167.2</v>
      </c>
      <c r="H52">
        <v>5.8829687499999999</v>
      </c>
      <c r="L52">
        <v>8.0204850000000008</v>
      </c>
      <c r="M52">
        <f>F48</f>
        <v>8.5219930000000002</v>
      </c>
      <c r="N52">
        <v>5.8829687499999999</v>
      </c>
      <c r="O52">
        <f>D52/D48</f>
        <v>1.0439615967660436</v>
      </c>
      <c r="P52">
        <f>G52/G48</f>
        <v>1.023464599061414</v>
      </c>
    </row>
    <row r="53" spans="1:16" x14ac:dyDescent="0.3">
      <c r="A53" t="s">
        <v>1</v>
      </c>
      <c r="B53">
        <v>1999.4</v>
      </c>
      <c r="C53">
        <v>1495</v>
      </c>
      <c r="D53">
        <v>20.85</v>
      </c>
      <c r="E53">
        <v>128205</v>
      </c>
      <c r="F53">
        <v>8.2998860000000008</v>
      </c>
      <c r="G53">
        <v>168.433333333333</v>
      </c>
      <c r="H53">
        <v>6.14483870967742</v>
      </c>
      <c r="L53">
        <v>8.2998860000000008</v>
      </c>
      <c r="M53">
        <f>F49</f>
        <v>7.9863999999999997</v>
      </c>
      <c r="N53">
        <v>6.14483870967742</v>
      </c>
      <c r="O53">
        <f>D53/D49</f>
        <v>1.0265878877400296</v>
      </c>
      <c r="P53">
        <f>G53/G49</f>
        <v>1.0261982128350933</v>
      </c>
    </row>
    <row r="54" spans="1:16" x14ac:dyDescent="0.3">
      <c r="A54" t="s">
        <v>1</v>
      </c>
      <c r="B54">
        <v>2000.1</v>
      </c>
      <c r="C54">
        <v>1032</v>
      </c>
      <c r="D54">
        <v>20.87</v>
      </c>
      <c r="E54">
        <v>129237</v>
      </c>
      <c r="F54">
        <v>8.6412530000000007</v>
      </c>
      <c r="G54">
        <v>170.1</v>
      </c>
      <c r="H54">
        <v>6.4684126984126999</v>
      </c>
      <c r="L54">
        <v>8.6412530000000007</v>
      </c>
      <c r="M54">
        <f>F50</f>
        <v>7.9028520000000002</v>
      </c>
      <c r="N54">
        <v>6.4684126984126999</v>
      </c>
      <c r="O54">
        <f>D54/D50</f>
        <v>1.0240431795878313</v>
      </c>
      <c r="P54">
        <f>G54/G50</f>
        <v>1.0325779036827216</v>
      </c>
    </row>
    <row r="55" spans="1:16" x14ac:dyDescent="0.3">
      <c r="A55" t="s">
        <v>1</v>
      </c>
      <c r="B55">
        <v>2000.2</v>
      </c>
      <c r="C55">
        <v>1005</v>
      </c>
      <c r="D55">
        <v>20.88</v>
      </c>
      <c r="E55">
        <v>130242</v>
      </c>
      <c r="F55">
        <v>8.4604700000000008</v>
      </c>
      <c r="G55">
        <v>171.433333333333</v>
      </c>
      <c r="H55">
        <v>6.1849206349206298</v>
      </c>
      <c r="L55">
        <v>8.4604700000000008</v>
      </c>
      <c r="M55">
        <f>F51</f>
        <v>7.9873120000000002</v>
      </c>
      <c r="N55">
        <v>6.1849206349206298</v>
      </c>
      <c r="O55">
        <f>D55/D51</f>
        <v>1.0205278592375366</v>
      </c>
      <c r="P55">
        <f>G55/G51</f>
        <v>1.0329383410323316</v>
      </c>
    </row>
    <row r="56" spans="1:16" x14ac:dyDescent="0.3">
      <c r="A56" t="s">
        <v>1</v>
      </c>
      <c r="B56">
        <v>2000.3</v>
      </c>
      <c r="C56">
        <v>597</v>
      </c>
      <c r="D56">
        <v>20.96</v>
      </c>
      <c r="E56">
        <v>130839</v>
      </c>
      <c r="F56">
        <v>8.3760549999999991</v>
      </c>
      <c r="G56">
        <v>173</v>
      </c>
      <c r="H56">
        <v>5.8898412698412699</v>
      </c>
      <c r="L56">
        <v>8.3760549999999991</v>
      </c>
      <c r="M56">
        <f>F52</f>
        <v>8.0204850000000008</v>
      </c>
      <c r="N56">
        <v>5.8898412698412699</v>
      </c>
      <c r="O56">
        <f>D56/D52</f>
        <v>1.0145208131655372</v>
      </c>
      <c r="P56">
        <f>G56/G52</f>
        <v>1.0346889952153111</v>
      </c>
    </row>
    <row r="57" spans="1:16" x14ac:dyDescent="0.3">
      <c r="A57" t="s">
        <v>1</v>
      </c>
      <c r="B57">
        <v>2000.4</v>
      </c>
      <c r="C57">
        <v>192</v>
      </c>
      <c r="D57">
        <v>21.03</v>
      </c>
      <c r="E57">
        <v>131031</v>
      </c>
      <c r="F57">
        <v>8.476801</v>
      </c>
      <c r="G57">
        <v>174.23333333333301</v>
      </c>
      <c r="H57">
        <v>5.5706451612903196</v>
      </c>
      <c r="L57">
        <v>8.476801</v>
      </c>
      <c r="M57">
        <f>F53</f>
        <v>8.2998860000000008</v>
      </c>
      <c r="N57">
        <v>5.5706451612903196</v>
      </c>
      <c r="O57">
        <f>D57/D53</f>
        <v>1.0086330935251799</v>
      </c>
      <c r="P57">
        <f>G57/G53</f>
        <v>1.0344349891153772</v>
      </c>
    </row>
    <row r="58" spans="1:16" x14ac:dyDescent="0.3">
      <c r="A58" t="s">
        <v>1</v>
      </c>
      <c r="B58">
        <v>2001.1</v>
      </c>
      <c r="C58">
        <v>943</v>
      </c>
      <c r="D58">
        <v>20.28</v>
      </c>
      <c r="E58">
        <v>131974</v>
      </c>
      <c r="F58">
        <v>8.2713490000000007</v>
      </c>
      <c r="G58">
        <v>175.9</v>
      </c>
      <c r="H58">
        <v>5.0441935483871001</v>
      </c>
      <c r="L58">
        <v>8.2713490000000007</v>
      </c>
      <c r="M58">
        <f>F54</f>
        <v>8.6412530000000007</v>
      </c>
      <c r="N58">
        <v>5.0441935483871001</v>
      </c>
      <c r="O58">
        <f>D58/D54</f>
        <v>0.97172975563009101</v>
      </c>
      <c r="P58">
        <f>G58/G54</f>
        <v>1.0340975896531452</v>
      </c>
    </row>
    <row r="59" spans="1:16" x14ac:dyDescent="0.3">
      <c r="A59" t="s">
        <v>1</v>
      </c>
      <c r="B59">
        <v>2001.2</v>
      </c>
      <c r="C59">
        <v>755</v>
      </c>
      <c r="D59">
        <v>19.54</v>
      </c>
      <c r="E59">
        <v>132729</v>
      </c>
      <c r="F59">
        <v>8.4654249999999998</v>
      </c>
      <c r="G59">
        <v>177.13333333333301</v>
      </c>
      <c r="H59">
        <v>5.2761904761904797</v>
      </c>
      <c r="L59">
        <v>8.4654249999999998</v>
      </c>
      <c r="M59">
        <f>F55</f>
        <v>8.4604700000000008</v>
      </c>
      <c r="N59">
        <v>5.2761904761904797</v>
      </c>
      <c r="O59">
        <f>D59/D55</f>
        <v>0.93582375478927204</v>
      </c>
      <c r="P59">
        <f>G59/G55</f>
        <v>1.0332490764145441</v>
      </c>
    </row>
    <row r="60" spans="1:16" x14ac:dyDescent="0.3">
      <c r="A60" t="s">
        <v>1</v>
      </c>
      <c r="B60">
        <v>2001.3</v>
      </c>
      <c r="C60">
        <v>1314</v>
      </c>
      <c r="D60">
        <v>19.28</v>
      </c>
      <c r="E60">
        <v>134043</v>
      </c>
      <c r="F60">
        <v>8.5887360000000008</v>
      </c>
      <c r="G60">
        <v>177.63333333333301</v>
      </c>
      <c r="H60">
        <v>4.9957377049180298</v>
      </c>
      <c r="L60">
        <v>8.5887360000000008</v>
      </c>
      <c r="M60">
        <f>F56</f>
        <v>8.3760549999999991</v>
      </c>
      <c r="N60">
        <v>4.9957377049180298</v>
      </c>
      <c r="O60">
        <f>D60/D56</f>
        <v>0.91984732824427484</v>
      </c>
      <c r="P60">
        <f>G60/G56</f>
        <v>1.0267822736030809</v>
      </c>
    </row>
    <row r="61" spans="1:16" x14ac:dyDescent="0.3">
      <c r="A61" t="s">
        <v>1</v>
      </c>
      <c r="B61">
        <v>2001.4</v>
      </c>
      <c r="C61">
        <v>1738</v>
      </c>
      <c r="D61">
        <v>19.04</v>
      </c>
      <c r="E61">
        <v>135781</v>
      </c>
      <c r="F61">
        <v>8.916658</v>
      </c>
      <c r="G61">
        <v>177.5</v>
      </c>
      <c r="H61">
        <v>4.7620967741935498</v>
      </c>
      <c r="L61">
        <v>8.916658</v>
      </c>
      <c r="M61">
        <f>F57</f>
        <v>8.476801</v>
      </c>
      <c r="N61">
        <v>4.7620967741935498</v>
      </c>
      <c r="O61">
        <f>D61/D57</f>
        <v>0.90537327627199227</v>
      </c>
      <c r="P61">
        <f>G61/G57</f>
        <v>1.0187488042854429</v>
      </c>
    </row>
    <row r="62" spans="1:16" x14ac:dyDescent="0.3">
      <c r="A62" t="s">
        <v>1</v>
      </c>
      <c r="B62">
        <v>2002.1</v>
      </c>
      <c r="C62">
        <v>1545</v>
      </c>
      <c r="D62">
        <v>18.16</v>
      </c>
      <c r="E62">
        <v>137326</v>
      </c>
      <c r="F62">
        <v>8.9603560000000009</v>
      </c>
      <c r="G62">
        <v>178.066666666667</v>
      </c>
      <c r="H62">
        <v>5.0791666666666702</v>
      </c>
      <c r="L62">
        <v>8.9603560000000009</v>
      </c>
      <c r="M62">
        <f>F58</f>
        <v>8.2713490000000007</v>
      </c>
      <c r="N62">
        <v>5.0791666666666702</v>
      </c>
      <c r="O62">
        <f>D62/D58</f>
        <v>0.89546351084812614</v>
      </c>
      <c r="P62">
        <f>G62/G58</f>
        <v>1.0123176046996418</v>
      </c>
    </row>
    <row r="63" spans="1:16" x14ac:dyDescent="0.3">
      <c r="A63" t="s">
        <v>1</v>
      </c>
      <c r="B63">
        <v>2002.2</v>
      </c>
      <c r="C63">
        <v>413</v>
      </c>
      <c r="D63">
        <v>17.32</v>
      </c>
      <c r="E63">
        <v>137739</v>
      </c>
      <c r="F63">
        <v>9.0201209999999996</v>
      </c>
      <c r="G63">
        <v>179.46666666666701</v>
      </c>
      <c r="H63">
        <v>5.1060937500000003</v>
      </c>
      <c r="L63">
        <v>9.0201209999999996</v>
      </c>
      <c r="M63">
        <f>F59</f>
        <v>8.4654249999999998</v>
      </c>
      <c r="N63">
        <v>5.1060937500000003</v>
      </c>
      <c r="O63">
        <f>D63/D59</f>
        <v>0.88638689866939613</v>
      </c>
      <c r="P63">
        <f>G63/G59</f>
        <v>1.0131727512231878</v>
      </c>
    </row>
    <row r="64" spans="1:16" x14ac:dyDescent="0.3">
      <c r="A64" t="s">
        <v>1</v>
      </c>
      <c r="B64">
        <v>2002.3</v>
      </c>
      <c r="C64">
        <v>171</v>
      </c>
      <c r="D64">
        <v>17.100000000000001</v>
      </c>
      <c r="E64">
        <v>137910</v>
      </c>
      <c r="F64">
        <v>9.2713429999999999</v>
      </c>
      <c r="G64">
        <v>180.433333333333</v>
      </c>
      <c r="H64">
        <v>4.2723437500000001</v>
      </c>
      <c r="L64">
        <v>9.2713429999999999</v>
      </c>
      <c r="M64">
        <f>F60</f>
        <v>8.5887360000000008</v>
      </c>
      <c r="N64">
        <v>4.2723437500000001</v>
      </c>
      <c r="O64">
        <f>D64/D60</f>
        <v>0.88692946058091293</v>
      </c>
      <c r="P64">
        <f>G64/G60</f>
        <v>1.0157628072809157</v>
      </c>
    </row>
    <row r="65" spans="1:16" x14ac:dyDescent="0.3">
      <c r="A65" t="s">
        <v>1</v>
      </c>
      <c r="B65">
        <v>2002.4</v>
      </c>
      <c r="C65">
        <v>301</v>
      </c>
      <c r="D65">
        <v>16.63</v>
      </c>
      <c r="E65">
        <v>138211</v>
      </c>
      <c r="F65">
        <v>8.9498750000000005</v>
      </c>
      <c r="G65">
        <v>181.5</v>
      </c>
      <c r="H65">
        <v>4.0048387096774203</v>
      </c>
      <c r="L65">
        <v>8.9498750000000005</v>
      </c>
      <c r="M65">
        <f>F61</f>
        <v>8.916658</v>
      </c>
      <c r="N65">
        <v>4.0048387096774203</v>
      </c>
      <c r="O65">
        <f>D65/D61</f>
        <v>0.87342436974789917</v>
      </c>
      <c r="P65">
        <f>G65/G61</f>
        <v>1.0225352112676056</v>
      </c>
    </row>
    <row r="66" spans="1:16" x14ac:dyDescent="0.3">
      <c r="A66" t="s">
        <v>1</v>
      </c>
      <c r="B66">
        <v>2003.1</v>
      </c>
      <c r="C66">
        <v>311</v>
      </c>
      <c r="D66">
        <v>16.059999999999999</v>
      </c>
      <c r="E66">
        <v>138522</v>
      </c>
      <c r="F66">
        <v>8.8479840000000003</v>
      </c>
      <c r="G66">
        <v>183.36666666666699</v>
      </c>
      <c r="H66">
        <v>3.92</v>
      </c>
      <c r="L66">
        <v>8.8479840000000003</v>
      </c>
      <c r="M66">
        <f>F62</f>
        <v>8.9603560000000009</v>
      </c>
      <c r="N66">
        <v>3.92</v>
      </c>
      <c r="O66">
        <f>D66/D62</f>
        <v>0.88436123348017615</v>
      </c>
      <c r="P66">
        <f>G66/G62</f>
        <v>1.0297641332834142</v>
      </c>
    </row>
    <row r="67" spans="1:16" x14ac:dyDescent="0.3">
      <c r="A67" t="s">
        <v>1</v>
      </c>
      <c r="B67">
        <v>2003.2</v>
      </c>
      <c r="C67">
        <v>485</v>
      </c>
      <c r="D67">
        <v>16.18</v>
      </c>
      <c r="E67">
        <v>139007</v>
      </c>
      <c r="F67">
        <v>8.5818159999999999</v>
      </c>
      <c r="G67">
        <v>183.066666666667</v>
      </c>
      <c r="H67">
        <v>3.6206349206349202</v>
      </c>
      <c r="L67">
        <v>8.5818159999999999</v>
      </c>
      <c r="M67">
        <f>F63</f>
        <v>9.0201209999999996</v>
      </c>
      <c r="N67">
        <v>3.6206349206349202</v>
      </c>
      <c r="O67">
        <f>D67/D63</f>
        <v>0.93418013856812931</v>
      </c>
      <c r="P67">
        <f>G67/G63</f>
        <v>1.0200594353640415</v>
      </c>
    </row>
    <row r="68" spans="1:16" x14ac:dyDescent="0.3">
      <c r="A68" t="s">
        <v>1</v>
      </c>
      <c r="B68">
        <v>2003.3</v>
      </c>
      <c r="C68">
        <v>160</v>
      </c>
      <c r="D68">
        <v>16.22</v>
      </c>
      <c r="E68">
        <v>139167</v>
      </c>
      <c r="F68">
        <v>8.1493889999999993</v>
      </c>
      <c r="G68">
        <v>184.433333333333</v>
      </c>
      <c r="H68">
        <v>4.2276562499999999</v>
      </c>
      <c r="L68">
        <v>8.1493889999999993</v>
      </c>
      <c r="M68">
        <f>F64</f>
        <v>9.2713429999999999</v>
      </c>
      <c r="N68">
        <v>4.2276562499999999</v>
      </c>
      <c r="O68">
        <f>D68/D64</f>
        <v>0.94853801169590624</v>
      </c>
      <c r="P68">
        <f>G68/G64</f>
        <v>1.0221688527618695</v>
      </c>
    </row>
    <row r="69" spans="1:16" x14ac:dyDescent="0.3">
      <c r="A69" t="s">
        <v>1</v>
      </c>
      <c r="B69">
        <v>2003.4</v>
      </c>
      <c r="C69">
        <v>221</v>
      </c>
      <c r="D69">
        <v>16.53</v>
      </c>
      <c r="E69">
        <v>139388</v>
      </c>
      <c r="F69">
        <v>8.0673960000000005</v>
      </c>
      <c r="G69">
        <v>185.13333333333301</v>
      </c>
      <c r="H69">
        <v>4.2851612903225798</v>
      </c>
      <c r="L69">
        <v>8.0673960000000005</v>
      </c>
      <c r="M69">
        <f>F65</f>
        <v>8.9498750000000005</v>
      </c>
      <c r="N69">
        <v>4.2851612903225798</v>
      </c>
      <c r="O69">
        <f>D69/D65</f>
        <v>0.99398677089597132</v>
      </c>
      <c r="P69">
        <f>G69/G65</f>
        <v>1.0200183654729091</v>
      </c>
    </row>
    <row r="70" spans="1:16" x14ac:dyDescent="0.3">
      <c r="A70" t="s">
        <v>1</v>
      </c>
      <c r="B70">
        <v>2004.1</v>
      </c>
      <c r="C70">
        <v>24</v>
      </c>
      <c r="D70">
        <v>16.309999999999999</v>
      </c>
      <c r="E70">
        <v>139412</v>
      </c>
      <c r="F70">
        <v>7.8799409999999996</v>
      </c>
      <c r="G70">
        <v>186.7</v>
      </c>
      <c r="H70">
        <v>4.01</v>
      </c>
      <c r="L70">
        <v>7.8799409999999996</v>
      </c>
      <c r="M70">
        <f>F66</f>
        <v>8.8479840000000003</v>
      </c>
      <c r="N70">
        <v>4.01</v>
      </c>
      <c r="O70">
        <f>D70/D66</f>
        <v>1.0155666251556663</v>
      </c>
      <c r="P70">
        <f>G70/G66</f>
        <v>1.0181785129976348</v>
      </c>
    </row>
    <row r="71" spans="1:16" x14ac:dyDescent="0.3">
      <c r="A71" t="s">
        <v>1</v>
      </c>
      <c r="B71">
        <v>2004.2</v>
      </c>
      <c r="C71">
        <v>311</v>
      </c>
      <c r="D71">
        <v>16.23</v>
      </c>
      <c r="E71">
        <v>139723</v>
      </c>
      <c r="F71">
        <v>7.636755</v>
      </c>
      <c r="G71">
        <v>188.166666666667</v>
      </c>
      <c r="H71">
        <v>4.5970967741935498</v>
      </c>
      <c r="L71">
        <v>7.636755</v>
      </c>
      <c r="M71">
        <f>F67</f>
        <v>8.5818159999999999</v>
      </c>
      <c r="N71">
        <v>4.5970967741935498</v>
      </c>
      <c r="O71">
        <f>D71/D67</f>
        <v>1.0030902348578492</v>
      </c>
      <c r="P71">
        <f>G71/G67</f>
        <v>1.0278587035688274</v>
      </c>
    </row>
    <row r="72" spans="1:16" x14ac:dyDescent="0.3">
      <c r="A72" t="s">
        <v>1</v>
      </c>
      <c r="B72">
        <v>2004.3</v>
      </c>
      <c r="C72">
        <v>111</v>
      </c>
      <c r="D72">
        <v>16.16</v>
      </c>
      <c r="E72">
        <v>139834</v>
      </c>
      <c r="F72">
        <v>7.48672</v>
      </c>
      <c r="G72">
        <v>189.36666666666699</v>
      </c>
      <c r="H72">
        <v>4.3014062500000003</v>
      </c>
      <c r="L72">
        <v>7.48672</v>
      </c>
      <c r="M72">
        <f>F68</f>
        <v>8.1493889999999993</v>
      </c>
      <c r="N72">
        <v>4.3014062500000003</v>
      </c>
      <c r="O72">
        <f>D72/D68</f>
        <v>0.996300863131936</v>
      </c>
      <c r="P72">
        <f>G72/G68</f>
        <v>1.0267485993132153</v>
      </c>
    </row>
    <row r="73" spans="1:16" x14ac:dyDescent="0.3">
      <c r="A73" t="s">
        <v>1</v>
      </c>
      <c r="B73">
        <v>2004.4</v>
      </c>
      <c r="C73">
        <v>168</v>
      </c>
      <c r="D73">
        <v>16.079999999999998</v>
      </c>
      <c r="E73">
        <v>140002</v>
      </c>
      <c r="F73">
        <v>7.3494619999999999</v>
      </c>
      <c r="G73">
        <v>191.4</v>
      </c>
      <c r="H73">
        <v>4.1758064516128997</v>
      </c>
      <c r="L73">
        <v>7.3494619999999999</v>
      </c>
      <c r="M73">
        <f>F69</f>
        <v>8.0673960000000005</v>
      </c>
      <c r="N73">
        <v>4.1758064516128997</v>
      </c>
      <c r="O73">
        <f>D73/D69</f>
        <v>0.97277676950998171</v>
      </c>
      <c r="P73">
        <f>G73/G69</f>
        <v>1.033849477853801</v>
      </c>
    </row>
    <row r="74" spans="1:16" x14ac:dyDescent="0.3">
      <c r="A74" t="s">
        <v>1</v>
      </c>
      <c r="B74">
        <v>2005.1</v>
      </c>
      <c r="C74">
        <v>131</v>
      </c>
      <c r="D74">
        <v>16.079999999999998</v>
      </c>
      <c r="E74">
        <v>140133</v>
      </c>
      <c r="F74">
        <v>7.3459219999999998</v>
      </c>
      <c r="G74">
        <v>192.36666666666699</v>
      </c>
      <c r="H74">
        <v>4.3036065573770497</v>
      </c>
      <c r="L74">
        <v>7.3459219999999998</v>
      </c>
      <c r="M74">
        <f>F70</f>
        <v>7.8799409999999996</v>
      </c>
      <c r="N74">
        <v>4.3036065573770497</v>
      </c>
      <c r="O74">
        <f>D74/D70</f>
        <v>0.9858982219497241</v>
      </c>
      <c r="P74">
        <f>G74/G70</f>
        <v>1.0303517229066257</v>
      </c>
    </row>
    <row r="75" spans="1:16" x14ac:dyDescent="0.3">
      <c r="A75" t="s">
        <v>1</v>
      </c>
      <c r="B75">
        <v>2005.2</v>
      </c>
      <c r="C75">
        <v>41</v>
      </c>
      <c r="D75">
        <v>16.100000000000001</v>
      </c>
      <c r="E75">
        <v>140174</v>
      </c>
      <c r="F75">
        <v>7.1428099999999999</v>
      </c>
      <c r="G75">
        <v>193.666666666667</v>
      </c>
      <c r="H75">
        <v>4.1585937499999996</v>
      </c>
      <c r="L75">
        <v>7.1428099999999999</v>
      </c>
      <c r="M75">
        <f>F71</f>
        <v>7.636755</v>
      </c>
      <c r="N75">
        <v>4.1585937499999996</v>
      </c>
      <c r="O75">
        <f>D75/D71</f>
        <v>0.99199014171287747</v>
      </c>
      <c r="P75">
        <f>G75/G71</f>
        <v>1.0292294065544729</v>
      </c>
    </row>
    <row r="76" spans="1:16" x14ac:dyDescent="0.3">
      <c r="A76" t="s">
        <v>1</v>
      </c>
      <c r="B76">
        <v>2005.3</v>
      </c>
      <c r="C76">
        <v>41</v>
      </c>
      <c r="D76">
        <v>16.190000000000001</v>
      </c>
      <c r="E76">
        <v>140215</v>
      </c>
      <c r="F76">
        <v>6.8912269999999998</v>
      </c>
      <c r="G76">
        <v>196.6</v>
      </c>
      <c r="H76">
        <v>4.2151562499999997</v>
      </c>
      <c r="L76">
        <v>6.8912269999999998</v>
      </c>
      <c r="M76">
        <f>F72</f>
        <v>7.48672</v>
      </c>
      <c r="N76">
        <v>4.2151562499999997</v>
      </c>
      <c r="O76">
        <f>D76/D72</f>
        <v>1.0018564356435644</v>
      </c>
      <c r="P76">
        <f>G76/G72</f>
        <v>1.0381975004400616</v>
      </c>
    </row>
    <row r="77" spans="1:16" x14ac:dyDescent="0.3">
      <c r="A77" t="s">
        <v>1</v>
      </c>
      <c r="B77">
        <v>2005.4</v>
      </c>
      <c r="C77">
        <v>199</v>
      </c>
      <c r="D77">
        <v>16.3</v>
      </c>
      <c r="E77">
        <v>140414</v>
      </c>
      <c r="F77">
        <v>6.645931</v>
      </c>
      <c r="G77">
        <v>198.433333333333</v>
      </c>
      <c r="H77">
        <v>4.4881967213114802</v>
      </c>
      <c r="L77">
        <v>6.645931</v>
      </c>
      <c r="M77">
        <f>F73</f>
        <v>7.3494619999999999</v>
      </c>
      <c r="N77">
        <v>4.4881967213114802</v>
      </c>
      <c r="O77">
        <f>D77/D73</f>
        <v>1.0136815920398012</v>
      </c>
      <c r="P77">
        <f>G77/G73</f>
        <v>1.0367467781260866</v>
      </c>
    </row>
    <row r="78" spans="1:16" x14ac:dyDescent="0.3">
      <c r="A78" t="s">
        <v>1</v>
      </c>
      <c r="B78">
        <v>2006.1</v>
      </c>
      <c r="C78">
        <v>580</v>
      </c>
      <c r="D78">
        <v>16.82</v>
      </c>
      <c r="E78">
        <v>140994</v>
      </c>
      <c r="F78">
        <v>6.2943090000000002</v>
      </c>
      <c r="G78">
        <v>199.46666666666701</v>
      </c>
      <c r="H78">
        <v>4.5770967741935502</v>
      </c>
      <c r="L78">
        <v>6.2943090000000002</v>
      </c>
      <c r="M78">
        <f>F74</f>
        <v>7.3459219999999998</v>
      </c>
      <c r="N78">
        <v>4.5770967741935502</v>
      </c>
      <c r="O78">
        <f>D78/D74</f>
        <v>1.0460199004975126</v>
      </c>
      <c r="P78">
        <f>G78/G74</f>
        <v>1.0369086813377231</v>
      </c>
    </row>
    <row r="79" spans="1:16" x14ac:dyDescent="0.3">
      <c r="A79" t="s">
        <v>1</v>
      </c>
      <c r="B79">
        <v>2006.2</v>
      </c>
      <c r="C79">
        <v>470</v>
      </c>
      <c r="D79">
        <v>17.11</v>
      </c>
      <c r="E79">
        <v>141464</v>
      </c>
      <c r="F79">
        <v>6.3125989999999996</v>
      </c>
      <c r="G79">
        <v>201.26666666666699</v>
      </c>
      <c r="H79">
        <v>5.0726984126984096</v>
      </c>
      <c r="L79">
        <v>6.3125989999999996</v>
      </c>
      <c r="M79">
        <f>F75</f>
        <v>7.1428099999999999</v>
      </c>
      <c r="N79">
        <v>5.0726984126984096</v>
      </c>
      <c r="O79">
        <f>D79/D75</f>
        <v>1.0627329192546582</v>
      </c>
      <c r="P79">
        <f>G79/G75</f>
        <v>1.0392426850258174</v>
      </c>
    </row>
    <row r="80" spans="1:16" x14ac:dyDescent="0.3">
      <c r="A80" t="s">
        <v>1</v>
      </c>
      <c r="B80">
        <v>2006.3</v>
      </c>
      <c r="C80">
        <v>867</v>
      </c>
      <c r="D80">
        <v>17.420000000000002</v>
      </c>
      <c r="E80">
        <v>142331</v>
      </c>
      <c r="F80">
        <v>6.1756950000000002</v>
      </c>
      <c r="G80">
        <v>203.166666666667</v>
      </c>
      <c r="H80">
        <v>4.8934920634920704</v>
      </c>
      <c r="L80">
        <v>6.1756950000000002</v>
      </c>
      <c r="M80">
        <f>F76</f>
        <v>6.8912269999999998</v>
      </c>
      <c r="N80">
        <v>4.8934920634920704</v>
      </c>
      <c r="O80">
        <f>D80/D76</f>
        <v>1.0759728227300802</v>
      </c>
      <c r="P80">
        <f>G80/G76</f>
        <v>1.0334011529331995</v>
      </c>
    </row>
    <row r="81" spans="1:16" x14ac:dyDescent="0.3">
      <c r="A81" t="s">
        <v>1</v>
      </c>
      <c r="B81">
        <v>2006.4</v>
      </c>
      <c r="C81">
        <v>479</v>
      </c>
      <c r="D81">
        <v>17.72</v>
      </c>
      <c r="E81">
        <v>142810</v>
      </c>
      <c r="F81">
        <v>6.0807989999999998</v>
      </c>
      <c r="G81">
        <v>202.333333333333</v>
      </c>
      <c r="H81">
        <v>4.6306451612903201</v>
      </c>
      <c r="L81">
        <v>6.0807989999999998</v>
      </c>
      <c r="M81">
        <f>F77</f>
        <v>6.645931</v>
      </c>
      <c r="N81">
        <v>4.6306451612903201</v>
      </c>
      <c r="O81">
        <f>D81/D77</f>
        <v>1.0871165644171779</v>
      </c>
      <c r="P81">
        <f>G81/G77</f>
        <v>1.0196539559885773</v>
      </c>
    </row>
    <row r="82" spans="1:16" x14ac:dyDescent="0.3">
      <c r="A82" t="s">
        <v>1</v>
      </c>
      <c r="B82">
        <v>2007.1</v>
      </c>
      <c r="C82">
        <v>350</v>
      </c>
      <c r="D82">
        <v>18.22</v>
      </c>
      <c r="E82">
        <v>143160</v>
      </c>
      <c r="F82">
        <v>5.9653809999999998</v>
      </c>
      <c r="G82">
        <v>204.31700000000001</v>
      </c>
      <c r="H82">
        <v>4.6790322580645203</v>
      </c>
      <c r="L82">
        <v>5.9653809999999998</v>
      </c>
      <c r="M82">
        <f>F78</f>
        <v>6.2943090000000002</v>
      </c>
      <c r="N82">
        <v>4.6790322580645203</v>
      </c>
      <c r="O82">
        <f>D82/D78</f>
        <v>1.0832342449464922</v>
      </c>
      <c r="P82">
        <f>G82/G78</f>
        <v>1.0243165106951855</v>
      </c>
    </row>
    <row r="83" spans="1:16" x14ac:dyDescent="0.3">
      <c r="A83" t="s">
        <v>1</v>
      </c>
      <c r="B83">
        <v>2007.2</v>
      </c>
      <c r="C83">
        <v>511</v>
      </c>
      <c r="D83">
        <v>18.27</v>
      </c>
      <c r="E83">
        <v>143671</v>
      </c>
      <c r="F83">
        <v>6.0375079999999999</v>
      </c>
      <c r="G83">
        <v>206.631</v>
      </c>
      <c r="H83">
        <v>4.8460937499999996</v>
      </c>
      <c r="L83">
        <v>6.0375079999999999</v>
      </c>
      <c r="M83">
        <f>F79</f>
        <v>6.3125989999999996</v>
      </c>
      <c r="N83">
        <v>4.8460937499999996</v>
      </c>
      <c r="O83">
        <f>D83/D79</f>
        <v>1.0677966101694916</v>
      </c>
      <c r="P83">
        <f>G83/G79</f>
        <v>1.0266528651871465</v>
      </c>
    </row>
    <row r="84" spans="1:16" x14ac:dyDescent="0.3">
      <c r="A84" t="s">
        <v>1</v>
      </c>
      <c r="B84">
        <v>2007.3</v>
      </c>
      <c r="C84">
        <v>900</v>
      </c>
      <c r="D84">
        <v>18.5</v>
      </c>
      <c r="E84">
        <v>144571</v>
      </c>
      <c r="F84">
        <v>6.0893329999999999</v>
      </c>
      <c r="G84">
        <v>207.93899999999999</v>
      </c>
      <c r="H84">
        <v>4.7384126984127004</v>
      </c>
      <c r="L84">
        <v>6.0893329999999999</v>
      </c>
      <c r="M84">
        <f>F80</f>
        <v>6.1756950000000002</v>
      </c>
      <c r="N84">
        <v>4.7384126984127004</v>
      </c>
      <c r="O84">
        <f>D84/D80</f>
        <v>1.0619977037887485</v>
      </c>
      <c r="P84">
        <f>G84/G80</f>
        <v>1.0234897456931895</v>
      </c>
    </row>
    <row r="85" spans="1:16" x14ac:dyDescent="0.3">
      <c r="A85" t="s">
        <v>1</v>
      </c>
      <c r="B85">
        <v>2007.4</v>
      </c>
      <c r="C85">
        <v>618</v>
      </c>
      <c r="D85">
        <v>18.71</v>
      </c>
      <c r="E85">
        <v>145189</v>
      </c>
      <c r="F85">
        <v>6.0118220000000004</v>
      </c>
      <c r="G85">
        <v>210.48966666666701</v>
      </c>
      <c r="H85">
        <v>4.26661290322581</v>
      </c>
      <c r="L85">
        <v>6.0118220000000004</v>
      </c>
      <c r="M85">
        <f>F81</f>
        <v>6.0807989999999998</v>
      </c>
      <c r="N85">
        <v>4.26661290322581</v>
      </c>
      <c r="O85">
        <f>D85/D81</f>
        <v>1.0558690744920995</v>
      </c>
      <c r="P85">
        <f>G85/G81</f>
        <v>1.0403113673805635</v>
      </c>
    </row>
    <row r="86" spans="1:16" x14ac:dyDescent="0.3">
      <c r="A86" t="s">
        <v>1</v>
      </c>
      <c r="B86">
        <v>2008.1</v>
      </c>
      <c r="C86">
        <v>1106</v>
      </c>
      <c r="D86">
        <v>19.170000000000002</v>
      </c>
      <c r="E86">
        <v>146295</v>
      </c>
      <c r="F86">
        <v>5.9383400000000002</v>
      </c>
      <c r="G86">
        <v>212.76966666666701</v>
      </c>
      <c r="H86">
        <v>3.6652459016393402</v>
      </c>
      <c r="L86">
        <v>5.9383400000000002</v>
      </c>
      <c r="M86">
        <f>F82</f>
        <v>5.9653809999999998</v>
      </c>
      <c r="N86">
        <v>3.6652459016393402</v>
      </c>
      <c r="O86">
        <f>D86/D82</f>
        <v>1.0521405049396269</v>
      </c>
      <c r="P86">
        <f>G86/G82</f>
        <v>1.0413703542371266</v>
      </c>
    </row>
    <row r="87" spans="1:16" x14ac:dyDescent="0.3">
      <c r="A87" t="s">
        <v>1</v>
      </c>
      <c r="B87">
        <v>2008.2</v>
      </c>
      <c r="C87">
        <v>105</v>
      </c>
      <c r="D87">
        <v>19.510000000000002</v>
      </c>
      <c r="E87">
        <v>146400</v>
      </c>
      <c r="F87">
        <v>5.4489239999999999</v>
      </c>
      <c r="G87">
        <v>215.53766666666701</v>
      </c>
      <c r="H87">
        <v>3.8815624999999998</v>
      </c>
      <c r="L87">
        <v>5.4489239999999999</v>
      </c>
      <c r="M87">
        <f>F83</f>
        <v>6.0375079999999999</v>
      </c>
      <c r="N87">
        <v>3.8815624999999998</v>
      </c>
      <c r="O87">
        <f>D87/D83</f>
        <v>1.0678708264915162</v>
      </c>
      <c r="P87">
        <f>G87/G83</f>
        <v>1.0431042131464641</v>
      </c>
    </row>
    <row r="88" spans="1:16" x14ac:dyDescent="0.3">
      <c r="A88" t="s">
        <v>1</v>
      </c>
      <c r="B88">
        <v>2008.3</v>
      </c>
      <c r="C88">
        <v>546</v>
      </c>
      <c r="D88">
        <v>19.64</v>
      </c>
      <c r="E88">
        <v>146946</v>
      </c>
      <c r="F88">
        <v>5.0869499999999999</v>
      </c>
      <c r="G88">
        <v>218.86099999999999</v>
      </c>
      <c r="H88">
        <v>3.8621875000000001</v>
      </c>
      <c r="L88">
        <v>5.0869499999999999</v>
      </c>
      <c r="M88">
        <f>F84</f>
        <v>6.0893329999999999</v>
      </c>
      <c r="N88">
        <v>3.8621875000000001</v>
      </c>
      <c r="O88">
        <f>D88/D84</f>
        <v>1.0616216216216217</v>
      </c>
      <c r="P88">
        <f>G88/G84</f>
        <v>1.0525250193566382</v>
      </c>
    </row>
    <row r="89" spans="1:16" x14ac:dyDescent="0.3">
      <c r="A89" t="s">
        <v>1</v>
      </c>
      <c r="B89">
        <v>2008.4</v>
      </c>
      <c r="C89">
        <v>1390</v>
      </c>
      <c r="D89">
        <v>19.670000000000002</v>
      </c>
      <c r="E89">
        <v>148336</v>
      </c>
      <c r="F89">
        <v>5.042719</v>
      </c>
      <c r="G89">
        <v>213.84866666666699</v>
      </c>
      <c r="H89">
        <v>3.2346774193548402</v>
      </c>
      <c r="L89">
        <v>5.042719</v>
      </c>
      <c r="M89">
        <f>F85</f>
        <v>6.0118220000000004</v>
      </c>
      <c r="N89">
        <v>3.2346774193548402</v>
      </c>
      <c r="O89">
        <f>D89/D85</f>
        <v>1.051309460181721</v>
      </c>
      <c r="P89">
        <f>G89/G85</f>
        <v>1.0159580280267122</v>
      </c>
    </row>
    <row r="90" spans="1:16" x14ac:dyDescent="0.3">
      <c r="A90" t="s">
        <v>1</v>
      </c>
      <c r="B90">
        <v>2009.1</v>
      </c>
      <c r="C90">
        <v>704</v>
      </c>
      <c r="D90">
        <v>19.190000000000001</v>
      </c>
      <c r="E90">
        <v>149040</v>
      </c>
      <c r="F90">
        <v>5.2557429999999998</v>
      </c>
      <c r="G90">
        <v>212.37766666666701</v>
      </c>
      <c r="H90">
        <v>2.7362295081967201</v>
      </c>
      <c r="L90">
        <v>5.2557429999999998</v>
      </c>
      <c r="M90">
        <f>F86</f>
        <v>5.9383400000000002</v>
      </c>
      <c r="N90">
        <v>2.7362295081967201</v>
      </c>
      <c r="O90">
        <f>D90/D86</f>
        <v>1.0010432968179446</v>
      </c>
      <c r="P90">
        <f>G90/G86</f>
        <v>0.99815763211861341</v>
      </c>
    </row>
    <row r="91" spans="1:16" x14ac:dyDescent="0.3">
      <c r="A91" t="s">
        <v>1</v>
      </c>
      <c r="B91">
        <v>2009.2</v>
      </c>
      <c r="C91">
        <v>491</v>
      </c>
      <c r="D91">
        <v>18.89</v>
      </c>
      <c r="E91">
        <v>149531</v>
      </c>
      <c r="F91">
        <v>5.7166930000000002</v>
      </c>
      <c r="G91">
        <v>213.50700000000001</v>
      </c>
      <c r="H91">
        <v>3.3207936507936502</v>
      </c>
      <c r="L91">
        <v>5.7166930000000002</v>
      </c>
      <c r="M91">
        <f>F87</f>
        <v>5.4489239999999999</v>
      </c>
      <c r="N91">
        <v>3.3207936507936502</v>
      </c>
      <c r="O91">
        <f>D91/D87</f>
        <v>0.96822142491030239</v>
      </c>
      <c r="P91">
        <f>G91/G87</f>
        <v>0.99057859956418914</v>
      </c>
    </row>
    <row r="92" spans="1:16" x14ac:dyDescent="0.3">
      <c r="A92" t="s">
        <v>1</v>
      </c>
      <c r="B92">
        <v>2009.3</v>
      </c>
      <c r="C92">
        <v>429</v>
      </c>
      <c r="D92">
        <v>18.5</v>
      </c>
      <c r="E92">
        <v>149960</v>
      </c>
      <c r="F92">
        <v>6.3018859999999997</v>
      </c>
      <c r="G92">
        <v>215.34399999999999</v>
      </c>
      <c r="H92">
        <v>3.5178124999999998</v>
      </c>
      <c r="L92">
        <v>6.3018859999999997</v>
      </c>
      <c r="M92">
        <f>F88</f>
        <v>5.0869499999999999</v>
      </c>
      <c r="N92">
        <v>3.5178124999999998</v>
      </c>
      <c r="O92">
        <f>D92/D88</f>
        <v>0.94195519348268841</v>
      </c>
      <c r="P92">
        <f>G92/G88</f>
        <v>0.98393043986822692</v>
      </c>
    </row>
    <row r="93" spans="1:16" x14ac:dyDescent="0.3">
      <c r="A93" t="s">
        <v>1</v>
      </c>
      <c r="B93">
        <v>2009.4</v>
      </c>
      <c r="C93">
        <v>99</v>
      </c>
      <c r="D93">
        <v>18.28</v>
      </c>
      <c r="E93">
        <v>150059</v>
      </c>
      <c r="F93">
        <v>6.5409709999999999</v>
      </c>
      <c r="G93">
        <v>217.03</v>
      </c>
      <c r="H93">
        <v>3.46403225806452</v>
      </c>
      <c r="L93">
        <v>6.5409709999999999</v>
      </c>
      <c r="M93">
        <f>F89</f>
        <v>5.042719</v>
      </c>
      <c r="N93">
        <v>3.46403225806452</v>
      </c>
      <c r="O93">
        <f>D93/D89</f>
        <v>0.92933401118454495</v>
      </c>
      <c r="P93">
        <f>G93/G89</f>
        <v>1.0148765638005677</v>
      </c>
    </row>
    <row r="94" spans="1:16" x14ac:dyDescent="0.3">
      <c r="A94" t="s">
        <v>1</v>
      </c>
      <c r="B94">
        <v>2010.1</v>
      </c>
      <c r="C94">
        <v>12</v>
      </c>
      <c r="D94">
        <v>18.100000000000001</v>
      </c>
      <c r="E94">
        <v>150071</v>
      </c>
      <c r="F94">
        <v>6.6551920000000004</v>
      </c>
      <c r="G94">
        <v>217.374</v>
      </c>
      <c r="H94">
        <v>3.71786885245902</v>
      </c>
      <c r="L94">
        <v>6.6551920000000004</v>
      </c>
      <c r="M94">
        <f>F90</f>
        <v>5.2557429999999998</v>
      </c>
      <c r="N94">
        <v>3.71786885245902</v>
      </c>
      <c r="O94">
        <f>D94/D90</f>
        <v>0.94319958311620633</v>
      </c>
      <c r="P94">
        <f>G94/G90</f>
        <v>1.0235257002854961</v>
      </c>
    </row>
    <row r="95" spans="1:16" x14ac:dyDescent="0.3">
      <c r="A95" t="s">
        <v>1</v>
      </c>
      <c r="B95">
        <v>2010.2</v>
      </c>
      <c r="C95">
        <v>465</v>
      </c>
      <c r="D95">
        <v>17.89</v>
      </c>
      <c r="E95">
        <v>150536</v>
      </c>
      <c r="F95">
        <v>6.6559990000000004</v>
      </c>
      <c r="G95">
        <v>217.297333333333</v>
      </c>
      <c r="H95">
        <v>3.4925000000000002</v>
      </c>
      <c r="L95">
        <v>6.6559990000000004</v>
      </c>
      <c r="M95">
        <f>F91</f>
        <v>5.7166930000000002</v>
      </c>
      <c r="N95">
        <v>3.4925000000000002</v>
      </c>
      <c r="O95">
        <f>D95/D91</f>
        <v>0.94706193753308632</v>
      </c>
      <c r="P95">
        <f>G95/G91</f>
        <v>1.0177527356636222</v>
      </c>
    </row>
    <row r="96" spans="1:16" x14ac:dyDescent="0.3">
      <c r="A96" t="s">
        <v>1</v>
      </c>
      <c r="B96">
        <v>2010.3</v>
      </c>
      <c r="C96">
        <v>18</v>
      </c>
      <c r="D96">
        <v>17.77</v>
      </c>
      <c r="E96">
        <v>150554</v>
      </c>
      <c r="F96">
        <v>6.6521379999999999</v>
      </c>
      <c r="G96">
        <v>217.934333333333</v>
      </c>
      <c r="H96">
        <v>2.7845312500000001</v>
      </c>
      <c r="L96">
        <v>6.6521379999999999</v>
      </c>
      <c r="M96">
        <f>F92</f>
        <v>6.3018859999999997</v>
      </c>
      <c r="N96">
        <v>2.7845312500000001</v>
      </c>
      <c r="O96">
        <f>D96/D92</f>
        <v>0.9605405405405405</v>
      </c>
      <c r="P96">
        <f>G96/G92</f>
        <v>1.0120288159100463</v>
      </c>
    </row>
    <row r="97" spans="1:16" x14ac:dyDescent="0.3">
      <c r="A97" t="s">
        <v>1</v>
      </c>
      <c r="B97">
        <v>2010.4</v>
      </c>
      <c r="C97">
        <v>0</v>
      </c>
      <c r="D97">
        <v>17.68</v>
      </c>
      <c r="E97">
        <v>150554</v>
      </c>
      <c r="F97">
        <v>6.5899089999999996</v>
      </c>
      <c r="G97">
        <v>219.69900000000001</v>
      </c>
      <c r="H97">
        <v>2.87838709677419</v>
      </c>
      <c r="L97">
        <v>6.5899089999999996</v>
      </c>
      <c r="M97">
        <f>F93</f>
        <v>6.5409709999999999</v>
      </c>
      <c r="N97">
        <v>2.87838709677419</v>
      </c>
      <c r="O97">
        <f>D97/D93</f>
        <v>0.96717724288840257</v>
      </c>
      <c r="P97">
        <f>G97/G93</f>
        <v>1.0122978390084321</v>
      </c>
    </row>
    <row r="98" spans="1:16" x14ac:dyDescent="0.3">
      <c r="A98" t="s">
        <v>1</v>
      </c>
      <c r="B98">
        <v>2011.1</v>
      </c>
      <c r="C98">
        <v>24</v>
      </c>
      <c r="D98">
        <v>18.07</v>
      </c>
      <c r="E98">
        <v>150578</v>
      </c>
      <c r="F98">
        <v>6.431476</v>
      </c>
      <c r="G98">
        <v>222.04366666666701</v>
      </c>
      <c r="H98">
        <v>3.4574193548387102</v>
      </c>
      <c r="L98">
        <v>6.431476</v>
      </c>
      <c r="M98">
        <f>F94</f>
        <v>6.6551920000000004</v>
      </c>
      <c r="N98">
        <v>3.4574193548387102</v>
      </c>
      <c r="O98">
        <f>D98/D94</f>
        <v>0.99834254143646406</v>
      </c>
      <c r="P98">
        <f>G98/G94</f>
        <v>1.0214821766479294</v>
      </c>
    </row>
    <row r="99" spans="1:16" x14ac:dyDescent="0.3">
      <c r="A99" t="s">
        <v>1</v>
      </c>
      <c r="B99">
        <v>2011.2</v>
      </c>
      <c r="C99">
        <v>59</v>
      </c>
      <c r="D99">
        <v>17.43</v>
      </c>
      <c r="E99">
        <v>150637</v>
      </c>
      <c r="F99">
        <v>6.2583799999999998</v>
      </c>
      <c r="G99">
        <v>224.56833333333299</v>
      </c>
      <c r="H99">
        <v>3.2014285714285702</v>
      </c>
      <c r="L99">
        <v>6.2583799999999998</v>
      </c>
      <c r="M99">
        <f>F95</f>
        <v>6.6559990000000004</v>
      </c>
      <c r="N99">
        <v>3.2014285714285702</v>
      </c>
      <c r="O99">
        <f>D99/D95</f>
        <v>0.97428731134712121</v>
      </c>
      <c r="P99">
        <f>G99/G95</f>
        <v>1.0334610641026427</v>
      </c>
    </row>
    <row r="100" spans="1:16" x14ac:dyDescent="0.3">
      <c r="A100" t="s">
        <v>1</v>
      </c>
      <c r="B100">
        <v>2011.3</v>
      </c>
      <c r="C100">
        <v>10</v>
      </c>
      <c r="D100">
        <v>18.29</v>
      </c>
      <c r="E100">
        <v>150647</v>
      </c>
      <c r="F100">
        <v>5.9919070000000003</v>
      </c>
      <c r="G100">
        <v>226.03266666666701</v>
      </c>
      <c r="H100">
        <v>2.4142187499999999</v>
      </c>
      <c r="L100">
        <v>5.9919070000000003</v>
      </c>
      <c r="M100">
        <f>F96</f>
        <v>6.6521379999999999</v>
      </c>
      <c r="N100">
        <v>2.4142187499999999</v>
      </c>
      <c r="O100">
        <f>D100/D96</f>
        <v>1.0292628024760833</v>
      </c>
      <c r="P100">
        <f>G100/G96</f>
        <v>1.0371595113512817</v>
      </c>
    </row>
    <row r="101" spans="1:16" x14ac:dyDescent="0.3">
      <c r="A101" t="s">
        <v>1</v>
      </c>
      <c r="B101">
        <v>2011.4</v>
      </c>
      <c r="C101">
        <v>0</v>
      </c>
      <c r="D101">
        <v>17.78</v>
      </c>
      <c r="E101">
        <v>150647</v>
      </c>
      <c r="F101">
        <v>5.8391690000000001</v>
      </c>
      <c r="G101">
        <v>227.047333333333</v>
      </c>
      <c r="H101">
        <v>2.0467213114754101</v>
      </c>
      <c r="L101">
        <v>5.8391690000000001</v>
      </c>
      <c r="M101">
        <f>F97</f>
        <v>6.5899089999999996</v>
      </c>
      <c r="N101">
        <v>2.0467213114754101</v>
      </c>
      <c r="O101">
        <f>D101/D97</f>
        <v>1.005656108597285</v>
      </c>
      <c r="P101">
        <f>G101/G97</f>
        <v>1.0334472771079204</v>
      </c>
    </row>
    <row r="102" spans="1:16" x14ac:dyDescent="0.3">
      <c r="A102" t="s">
        <v>1</v>
      </c>
      <c r="B102">
        <v>2012.1</v>
      </c>
      <c r="C102">
        <v>143</v>
      </c>
      <c r="D102">
        <v>18.100000000000001</v>
      </c>
      <c r="E102">
        <v>150790</v>
      </c>
      <c r="F102">
        <v>5.8134629999999996</v>
      </c>
      <c r="G102">
        <v>228.32599999999999</v>
      </c>
      <c r="H102">
        <v>2.04</v>
      </c>
      <c r="L102">
        <v>5.8134629999999996</v>
      </c>
      <c r="M102">
        <f>F98</f>
        <v>6.431476</v>
      </c>
      <c r="N102">
        <v>2.04</v>
      </c>
      <c r="O102">
        <f>D102/D98</f>
        <v>1.0016602102933039</v>
      </c>
      <c r="P102">
        <f>G102/G98</f>
        <v>1.0282932336132067</v>
      </c>
    </row>
    <row r="103" spans="1:16" x14ac:dyDescent="0.3">
      <c r="A103" t="s">
        <v>1</v>
      </c>
      <c r="B103">
        <v>2012.2</v>
      </c>
      <c r="C103">
        <v>0</v>
      </c>
      <c r="D103">
        <v>17.84</v>
      </c>
      <c r="E103">
        <v>150790</v>
      </c>
      <c r="F103">
        <v>5.9112580000000001</v>
      </c>
      <c r="G103">
        <v>228.80799999999999</v>
      </c>
      <c r="H103">
        <v>1.8257812499999999</v>
      </c>
      <c r="L103">
        <v>5.9112580000000001</v>
      </c>
      <c r="M103">
        <f>F99</f>
        <v>6.2583799999999998</v>
      </c>
      <c r="N103">
        <v>1.8257812499999999</v>
      </c>
      <c r="O103">
        <f>D103/D99</f>
        <v>1.0235226620768789</v>
      </c>
      <c r="P103">
        <f>G103/G99</f>
        <v>1.0188791830252129</v>
      </c>
    </row>
    <row r="104" spans="1:16" x14ac:dyDescent="0.3">
      <c r="A104" t="s">
        <v>1</v>
      </c>
      <c r="B104">
        <v>2012.3</v>
      </c>
      <c r="C104">
        <v>352</v>
      </c>
      <c r="D104">
        <v>18.88</v>
      </c>
      <c r="E104">
        <v>151142</v>
      </c>
      <c r="F104">
        <v>5.9212300000000004</v>
      </c>
      <c r="G104">
        <v>229.84100000000001</v>
      </c>
      <c r="H104">
        <v>1.6412698412698401</v>
      </c>
      <c r="L104">
        <v>5.9212300000000004</v>
      </c>
      <c r="M104">
        <f>F100</f>
        <v>5.9919070000000003</v>
      </c>
      <c r="N104">
        <v>1.6412698412698401</v>
      </c>
      <c r="O104">
        <f>D104/D100</f>
        <v>1.032258064516129</v>
      </c>
      <c r="P104">
        <f>G104/G100</f>
        <v>1.0168485971054315</v>
      </c>
    </row>
    <row r="105" spans="1:16" x14ac:dyDescent="0.3">
      <c r="A105" t="s">
        <v>1</v>
      </c>
      <c r="B105">
        <v>2012.4</v>
      </c>
      <c r="C105">
        <v>120</v>
      </c>
      <c r="D105">
        <v>18.309999999999999</v>
      </c>
      <c r="E105">
        <v>151262</v>
      </c>
      <c r="F105">
        <v>5.9173429999999998</v>
      </c>
      <c r="G105">
        <v>231.369333333333</v>
      </c>
      <c r="H105">
        <v>1.70704918032787</v>
      </c>
      <c r="L105">
        <v>5.9173429999999998</v>
      </c>
      <c r="M105">
        <f>F101</f>
        <v>5.8391690000000001</v>
      </c>
      <c r="N105">
        <v>1.70704918032787</v>
      </c>
      <c r="O105">
        <f>D105/D101</f>
        <v>1.029808773903262</v>
      </c>
      <c r="P105">
        <f>G105/G101</f>
        <v>1.0190356783167094</v>
      </c>
    </row>
    <row r="106" spans="1:16" x14ac:dyDescent="0.3">
      <c r="A106" t="s">
        <v>1</v>
      </c>
      <c r="B106">
        <v>2013.1</v>
      </c>
      <c r="C106">
        <v>75</v>
      </c>
      <c r="D106">
        <v>18.579999999999998</v>
      </c>
      <c r="E106">
        <v>151337</v>
      </c>
      <c r="F106">
        <v>5.8012639999999998</v>
      </c>
      <c r="G106">
        <v>232.29933333333301</v>
      </c>
      <c r="H106">
        <v>1.9510000000000001</v>
      </c>
      <c r="L106">
        <v>5.8012639999999998</v>
      </c>
      <c r="M106">
        <f>F102</f>
        <v>5.8134629999999996</v>
      </c>
      <c r="N106">
        <v>1.9510000000000001</v>
      </c>
      <c r="O106">
        <f>D106/D102</f>
        <v>1.0265193370165744</v>
      </c>
      <c r="P106">
        <f>G106/G102</f>
        <v>1.0174020187509658</v>
      </c>
    </row>
    <row r="107" spans="1:16" x14ac:dyDescent="0.3">
      <c r="A107" t="s">
        <v>1</v>
      </c>
      <c r="B107">
        <v>2013.2</v>
      </c>
      <c r="C107">
        <v>220</v>
      </c>
      <c r="D107">
        <v>19.23</v>
      </c>
      <c r="E107">
        <v>151557</v>
      </c>
      <c r="F107">
        <v>5.7605589999999998</v>
      </c>
      <c r="G107">
        <v>232.04499999999999</v>
      </c>
      <c r="H107">
        <v>1.9862500000000001</v>
      </c>
      <c r="L107">
        <v>5.7605589999999998</v>
      </c>
      <c r="M107">
        <f>F103</f>
        <v>5.9112580000000001</v>
      </c>
      <c r="N107">
        <v>1.9862500000000001</v>
      </c>
      <c r="O107">
        <f>D107/D103</f>
        <v>1.077914798206278</v>
      </c>
      <c r="P107">
        <f>G107/G103</f>
        <v>1.0141472326142442</v>
      </c>
    </row>
    <row r="108" spans="1:16" x14ac:dyDescent="0.3">
      <c r="A108" t="s">
        <v>1</v>
      </c>
      <c r="B108">
        <v>2013.3</v>
      </c>
      <c r="C108">
        <v>10</v>
      </c>
      <c r="D108">
        <v>19.09</v>
      </c>
      <c r="E108">
        <v>151567</v>
      </c>
      <c r="F108">
        <v>5.7827099999999998</v>
      </c>
      <c r="G108">
        <v>233.3</v>
      </c>
      <c r="H108">
        <v>2.7065625</v>
      </c>
      <c r="L108">
        <v>5.7827099999999998</v>
      </c>
      <c r="M108">
        <f>F104</f>
        <v>5.9212300000000004</v>
      </c>
      <c r="N108">
        <v>2.7065625</v>
      </c>
      <c r="O108">
        <f>D108/D104</f>
        <v>1.0111228813559323</v>
      </c>
      <c r="P108">
        <f>G108/G104</f>
        <v>1.0150495342432377</v>
      </c>
    </row>
    <row r="109" spans="1:16" x14ac:dyDescent="0.3">
      <c r="A109" t="s">
        <v>1</v>
      </c>
      <c r="B109">
        <v>2013.4</v>
      </c>
      <c r="C109">
        <v>0</v>
      </c>
      <c r="D109">
        <v>19.77</v>
      </c>
      <c r="E109">
        <v>151567</v>
      </c>
      <c r="F109">
        <v>5.9019550000000001</v>
      </c>
      <c r="G109">
        <v>234.16266666666701</v>
      </c>
      <c r="H109">
        <v>2.7441935483870998</v>
      </c>
      <c r="L109">
        <v>5.9019550000000001</v>
      </c>
      <c r="M109">
        <f>F105</f>
        <v>5.9173429999999998</v>
      </c>
      <c r="N109">
        <v>2.7441935483870998</v>
      </c>
      <c r="O109">
        <f>D109/D105</f>
        <v>1.0797378481703988</v>
      </c>
      <c r="P109">
        <f>G109/G105</f>
        <v>1.0120730491508556</v>
      </c>
    </row>
    <row r="110" spans="1:16" x14ac:dyDescent="0.3">
      <c r="A110" t="s">
        <v>1</v>
      </c>
      <c r="B110">
        <v>2014.1</v>
      </c>
      <c r="C110">
        <v>214</v>
      </c>
      <c r="D110">
        <v>20.47</v>
      </c>
      <c r="E110">
        <v>151781</v>
      </c>
      <c r="F110">
        <v>5.9586389999999998</v>
      </c>
      <c r="G110">
        <v>235.62100000000001</v>
      </c>
      <c r="H110">
        <v>2.7654098360655701</v>
      </c>
      <c r="L110">
        <v>5.9586389999999998</v>
      </c>
      <c r="M110">
        <f>F106</f>
        <v>5.8012639999999998</v>
      </c>
      <c r="N110">
        <v>2.7654098360655701</v>
      </c>
      <c r="O110">
        <f>D110/D106</f>
        <v>1.1017222820236814</v>
      </c>
      <c r="P110">
        <f>G110/G106</f>
        <v>1.0142990796357587</v>
      </c>
    </row>
    <row r="111" spans="1:16" x14ac:dyDescent="0.3">
      <c r="A111" t="s">
        <v>1</v>
      </c>
      <c r="B111">
        <v>2014.2</v>
      </c>
      <c r="C111">
        <v>919</v>
      </c>
      <c r="D111">
        <v>21.15</v>
      </c>
      <c r="E111">
        <v>152700</v>
      </c>
      <c r="F111">
        <v>6.0187619999999997</v>
      </c>
      <c r="G111">
        <v>236.87233333333299</v>
      </c>
      <c r="H111">
        <v>2.6209523809523798</v>
      </c>
      <c r="L111">
        <v>6.0187619999999997</v>
      </c>
      <c r="M111">
        <f>F107</f>
        <v>5.7605589999999998</v>
      </c>
      <c r="N111">
        <v>2.6209523809523798</v>
      </c>
      <c r="O111">
        <f>D111/D107</f>
        <v>1.0998439937597504</v>
      </c>
      <c r="P111">
        <f>G111/G107</f>
        <v>1.0208034361151199</v>
      </c>
    </row>
    <row r="112" spans="1:16" x14ac:dyDescent="0.3">
      <c r="A112" t="s">
        <v>1</v>
      </c>
      <c r="B112">
        <v>2014.3</v>
      </c>
      <c r="C112">
        <v>864</v>
      </c>
      <c r="D112">
        <v>20.97</v>
      </c>
      <c r="E112">
        <v>153564</v>
      </c>
      <c r="F112">
        <v>5.9897369999999999</v>
      </c>
      <c r="G112">
        <v>237.47833333333301</v>
      </c>
      <c r="H112">
        <v>2.49953125</v>
      </c>
      <c r="L112">
        <v>5.9897369999999999</v>
      </c>
      <c r="M112">
        <f>F108</f>
        <v>5.7827099999999998</v>
      </c>
      <c r="N112">
        <v>2.49953125</v>
      </c>
      <c r="O112">
        <f>D112/D108</f>
        <v>1.0984808800419068</v>
      </c>
      <c r="P112">
        <f>G112/G108</f>
        <v>1.0179097013859109</v>
      </c>
    </row>
    <row r="113" spans="1:16" x14ac:dyDescent="0.3">
      <c r="A113" t="s">
        <v>1</v>
      </c>
      <c r="B113">
        <v>2014.4</v>
      </c>
      <c r="C113">
        <v>385</v>
      </c>
      <c r="D113">
        <v>21.66</v>
      </c>
      <c r="E113">
        <v>153949</v>
      </c>
      <c r="F113">
        <v>5.912293</v>
      </c>
      <c r="G113">
        <v>236.88833333333301</v>
      </c>
      <c r="H113">
        <v>2.2759677419354798</v>
      </c>
      <c r="L113">
        <v>5.912293</v>
      </c>
      <c r="M113">
        <f>F109</f>
        <v>5.9019550000000001</v>
      </c>
      <c r="N113">
        <v>2.2759677419354798</v>
      </c>
      <c r="O113">
        <f>D113/D109</f>
        <v>1.095599393019727</v>
      </c>
      <c r="P113">
        <f>G113/G109</f>
        <v>1.0116400564849477</v>
      </c>
    </row>
    <row r="114" spans="1:16" x14ac:dyDescent="0.3">
      <c r="A114" t="s">
        <v>1</v>
      </c>
      <c r="B114">
        <v>2015.1</v>
      </c>
      <c r="C114">
        <v>704</v>
      </c>
      <c r="D114">
        <v>22.16</v>
      </c>
      <c r="E114">
        <v>154653</v>
      </c>
      <c r="F114">
        <v>5.8351980000000001</v>
      </c>
      <c r="G114">
        <v>235.35499999999999</v>
      </c>
      <c r="H114">
        <v>1.9688524590163901</v>
      </c>
      <c r="L114">
        <v>5.8351980000000001</v>
      </c>
      <c r="M114">
        <f>F110</f>
        <v>5.9586389999999998</v>
      </c>
      <c r="N114">
        <v>1.9688524590163901</v>
      </c>
      <c r="O114">
        <f>D114/D110</f>
        <v>1.0825598436736688</v>
      </c>
      <c r="P114">
        <f>G114/G110</f>
        <v>0.99887106836826933</v>
      </c>
    </row>
    <row r="115" spans="1:16" x14ac:dyDescent="0.3">
      <c r="A115" t="s">
        <v>1</v>
      </c>
      <c r="B115">
        <v>2015.2</v>
      </c>
      <c r="C115">
        <v>536</v>
      </c>
      <c r="D115">
        <v>22.1</v>
      </c>
      <c r="E115">
        <v>155189</v>
      </c>
      <c r="F115">
        <v>5.7008010000000002</v>
      </c>
      <c r="G115">
        <v>236.96</v>
      </c>
      <c r="H115">
        <v>2.1643750000000002</v>
      </c>
      <c r="L115">
        <v>5.7008010000000002</v>
      </c>
      <c r="M115">
        <f>F111</f>
        <v>6.0187619999999997</v>
      </c>
      <c r="N115">
        <v>2.1643750000000002</v>
      </c>
      <c r="O115">
        <f>D115/D111</f>
        <v>1.0449172576832153</v>
      </c>
      <c r="P115">
        <f>G115/G111</f>
        <v>1.0003701009123074</v>
      </c>
    </row>
    <row r="116" spans="1:16" x14ac:dyDescent="0.3">
      <c r="A116" t="s">
        <v>1</v>
      </c>
      <c r="B116">
        <v>2015.3</v>
      </c>
      <c r="C116">
        <v>1276</v>
      </c>
      <c r="D116">
        <v>22.54</v>
      </c>
      <c r="E116">
        <v>156465</v>
      </c>
      <c r="F116">
        <v>5.6069170000000002</v>
      </c>
      <c r="G116">
        <v>237.85499999999999</v>
      </c>
      <c r="H116">
        <v>2.223125</v>
      </c>
      <c r="L116">
        <v>5.6069170000000002</v>
      </c>
      <c r="M116">
        <f>F112</f>
        <v>5.9897369999999999</v>
      </c>
      <c r="N116">
        <v>2.223125</v>
      </c>
      <c r="O116">
        <f>D116/D112</f>
        <v>1.0748688602765857</v>
      </c>
      <c r="P116">
        <f>G116/G112</f>
        <v>1.0015861096100007</v>
      </c>
    </row>
    <row r="117" spans="1:16" x14ac:dyDescent="0.3">
      <c r="A117" t="s">
        <v>1</v>
      </c>
      <c r="B117">
        <v>2015.4</v>
      </c>
      <c r="C117">
        <v>1075</v>
      </c>
      <c r="D117">
        <v>22.94</v>
      </c>
      <c r="E117">
        <v>157540</v>
      </c>
      <c r="F117">
        <v>5.5717590000000001</v>
      </c>
      <c r="G117">
        <v>237.83699999999999</v>
      </c>
      <c r="H117">
        <v>2.1904838709677401</v>
      </c>
      <c r="L117">
        <v>5.5717590000000001</v>
      </c>
      <c r="M117">
        <f>F113</f>
        <v>5.912293</v>
      </c>
      <c r="N117">
        <v>2.1904838709677401</v>
      </c>
      <c r="O117">
        <f>D117/D113</f>
        <v>1.059095106186519</v>
      </c>
      <c r="P117">
        <f>G117/G113</f>
        <v>1.0040046998234062</v>
      </c>
    </row>
    <row r="118" spans="1:16" x14ac:dyDescent="0.3">
      <c r="A118" t="s">
        <v>1</v>
      </c>
      <c r="B118">
        <v>2016.1</v>
      </c>
      <c r="C118">
        <v>626</v>
      </c>
      <c r="D118">
        <v>23.15</v>
      </c>
      <c r="E118">
        <v>158166</v>
      </c>
      <c r="F118">
        <v>5.6148210000000001</v>
      </c>
      <c r="G118">
        <v>237.689333333333</v>
      </c>
      <c r="H118">
        <v>1.9142619999999999</v>
      </c>
      <c r="L118">
        <v>5.6148210000000001</v>
      </c>
      <c r="M118">
        <f>F114</f>
        <v>5.8351980000000001</v>
      </c>
      <c r="N118">
        <v>1.9142619999999999</v>
      </c>
      <c r="O118">
        <f>D118/D114</f>
        <v>1.0446750902527075</v>
      </c>
      <c r="P118">
        <f>G118/G114</f>
        <v>1.0099183502935267</v>
      </c>
    </row>
    <row r="119" spans="1:16" x14ac:dyDescent="0.3">
      <c r="A119" t="s">
        <v>1</v>
      </c>
      <c r="B119">
        <v>2016.2</v>
      </c>
      <c r="C119">
        <v>174</v>
      </c>
      <c r="D119">
        <v>23.11</v>
      </c>
      <c r="E119">
        <v>158340</v>
      </c>
      <c r="F119">
        <v>5.6039760000000003</v>
      </c>
      <c r="G119">
        <v>239.59033333333301</v>
      </c>
      <c r="H119">
        <v>1.750156</v>
      </c>
      <c r="L119">
        <v>5.6039760000000003</v>
      </c>
      <c r="M119">
        <f>F115</f>
        <v>5.7008010000000002</v>
      </c>
      <c r="N119">
        <v>1.750156</v>
      </c>
      <c r="O119">
        <f>D119/D115</f>
        <v>1.0457013574660632</v>
      </c>
      <c r="P119">
        <f>G119/G115</f>
        <v>1.0111003263560643</v>
      </c>
    </row>
    <row r="120" spans="1:16" x14ac:dyDescent="0.3">
      <c r="A120" t="s">
        <v>1</v>
      </c>
      <c r="B120">
        <v>2016.3</v>
      </c>
      <c r="C120">
        <v>1359</v>
      </c>
      <c r="D120">
        <v>23.45</v>
      </c>
      <c r="E120">
        <v>159699</v>
      </c>
      <c r="F120">
        <v>5.5490820000000003</v>
      </c>
      <c r="G120">
        <v>240.607333333333</v>
      </c>
      <c r="H120">
        <v>1.5643750000000001</v>
      </c>
      <c r="L120">
        <v>5.5490820000000003</v>
      </c>
      <c r="M120">
        <f>F116</f>
        <v>5.6069170000000002</v>
      </c>
      <c r="N120">
        <v>1.5643750000000001</v>
      </c>
      <c r="O120">
        <f>D120/D116</f>
        <v>1.0403726708074534</v>
      </c>
      <c r="P120">
        <f>G120/G116</f>
        <v>1.011571475618898</v>
      </c>
    </row>
    <row r="121" spans="1:16" x14ac:dyDescent="0.3">
      <c r="A121" t="s">
        <v>1</v>
      </c>
      <c r="B121">
        <v>2016.4</v>
      </c>
      <c r="C121">
        <v>439</v>
      </c>
      <c r="D121">
        <v>23.48</v>
      </c>
      <c r="E121">
        <v>160138</v>
      </c>
      <c r="F121">
        <v>5.2898389999999997</v>
      </c>
      <c r="G121">
        <v>242.13466666666699</v>
      </c>
      <c r="H121">
        <v>2.1386889999999998</v>
      </c>
      <c r="L121">
        <v>5.2898389999999997</v>
      </c>
      <c r="M121">
        <f>F117</f>
        <v>5.5717590000000001</v>
      </c>
      <c r="N121">
        <v>2.1386889999999998</v>
      </c>
      <c r="O121">
        <f>D121/D117</f>
        <v>1.023539668700959</v>
      </c>
      <c r="P121">
        <f>G121/G117</f>
        <v>1.0180697985034581</v>
      </c>
    </row>
    <row r="122" spans="1:16" x14ac:dyDescent="0.3">
      <c r="A122" t="s">
        <v>1</v>
      </c>
      <c r="B122">
        <v>2017.1</v>
      </c>
      <c r="C122">
        <v>1362</v>
      </c>
      <c r="D122">
        <v>23.77</v>
      </c>
      <c r="E122">
        <v>161500</v>
      </c>
      <c r="F122">
        <v>5.039917</v>
      </c>
      <c r="G122">
        <v>243.838666666667</v>
      </c>
      <c r="H122">
        <v>2.4466130000000001</v>
      </c>
      <c r="L122">
        <v>5.039917</v>
      </c>
      <c r="M122">
        <f>F118</f>
        <v>5.6148210000000001</v>
      </c>
      <c r="N122">
        <v>2.4466130000000001</v>
      </c>
      <c r="O122">
        <f>D122/D118</f>
        <v>1.0267818574514038</v>
      </c>
      <c r="P122">
        <f>G122/G118</f>
        <v>1.0258713054014512</v>
      </c>
    </row>
    <row r="123" spans="1:16" x14ac:dyDescent="0.3">
      <c r="A123" t="s">
        <v>1</v>
      </c>
      <c r="B123">
        <v>2017.2</v>
      </c>
      <c r="C123">
        <v>601</v>
      </c>
      <c r="D123">
        <v>23.98</v>
      </c>
      <c r="E123">
        <v>162101</v>
      </c>
      <c r="F123">
        <v>4.8113109999999999</v>
      </c>
      <c r="G123">
        <v>244.12</v>
      </c>
      <c r="H123">
        <v>2.2609520000000001</v>
      </c>
      <c r="L123">
        <v>4.8113109999999999</v>
      </c>
      <c r="M123">
        <f>F119</f>
        <v>5.6039760000000003</v>
      </c>
      <c r="N123">
        <v>2.2609520000000001</v>
      </c>
      <c r="O123">
        <f>D123/D119</f>
        <v>1.0376460406750325</v>
      </c>
      <c r="P123">
        <f>G123/G119</f>
        <v>1.018905882402046</v>
      </c>
    </row>
    <row r="124" spans="1:16" x14ac:dyDescent="0.3">
      <c r="A124" t="s">
        <v>1</v>
      </c>
      <c r="B124">
        <v>2017.3</v>
      </c>
      <c r="C124">
        <v>656</v>
      </c>
      <c r="D124">
        <v>24.05</v>
      </c>
      <c r="E124">
        <v>162757</v>
      </c>
      <c r="F124">
        <v>4.6972750000000003</v>
      </c>
      <c r="G124">
        <v>245.28700000000001</v>
      </c>
      <c r="H124">
        <v>2.2414290000000001</v>
      </c>
      <c r="L124">
        <v>4.6972750000000003</v>
      </c>
      <c r="M124">
        <f>F120</f>
        <v>5.5490820000000003</v>
      </c>
      <c r="N124">
        <v>2.2414290000000001</v>
      </c>
      <c r="O124">
        <f>D124/D120</f>
        <v>1.0255863539445629</v>
      </c>
      <c r="P124">
        <f>G124/G120</f>
        <v>1.019449393340742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AF5F-43B6-4277-9B63-E5BED44B02D7}">
  <dimension ref="A1:I145"/>
  <sheetViews>
    <sheetView workbookViewId="0">
      <selection activeCell="N36" sqref="N36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0.90168057584137473</v>
      </c>
    </row>
    <row r="5" spans="1:9" x14ac:dyDescent="0.3">
      <c r="A5" s="2" t="s">
        <v>21</v>
      </c>
      <c r="B5" s="2">
        <v>0.81302786084963308</v>
      </c>
    </row>
    <row r="6" spans="1:9" x14ac:dyDescent="0.3">
      <c r="A6" s="2" t="s">
        <v>22</v>
      </c>
      <c r="B6" s="2">
        <v>0.80815032678484089</v>
      </c>
    </row>
    <row r="7" spans="1:9" x14ac:dyDescent="0.3">
      <c r="A7" s="2" t="s">
        <v>23</v>
      </c>
      <c r="B7" s="2">
        <v>0.73478160732494247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269.98704480166134</v>
      </c>
      <c r="D12" s="2">
        <v>89.99568160055378</v>
      </c>
      <c r="E12" s="2">
        <v>166.68829987644057</v>
      </c>
      <c r="F12" s="2">
        <v>1.0427506314297346E-41</v>
      </c>
    </row>
    <row r="13" spans="1:9" x14ac:dyDescent="0.3">
      <c r="A13" s="2" t="s">
        <v>27</v>
      </c>
      <c r="B13" s="2">
        <v>115</v>
      </c>
      <c r="C13" s="2">
        <v>62.088961203247983</v>
      </c>
      <c r="D13" s="2">
        <v>0.53990401046302594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332.07600600490935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4.1982002513012544</v>
      </c>
      <c r="C17" s="2">
        <v>0.84202726312852794</v>
      </c>
      <c r="D17" s="2">
        <v>4.9858246105986677</v>
      </c>
      <c r="E17" s="2">
        <v>2.2030367343178703E-6</v>
      </c>
      <c r="F17" s="2">
        <v>2.5303062986811797</v>
      </c>
      <c r="G17" s="2">
        <v>5.8660942039213291</v>
      </c>
      <c r="H17" s="2">
        <v>2.5303062986811797</v>
      </c>
      <c r="I17" s="2">
        <v>5.8660942039213291</v>
      </c>
    </row>
    <row r="18" spans="1:9" x14ac:dyDescent="0.3">
      <c r="A18" s="2" t="s">
        <v>42</v>
      </c>
      <c r="B18" s="2">
        <v>0.80544028766169695</v>
      </c>
      <c r="C18" s="2">
        <v>5.4406320149611907E-2</v>
      </c>
      <c r="D18" s="2">
        <v>14.80416770417145</v>
      </c>
      <c r="E18" s="2">
        <v>2.102844897756962E-28</v>
      </c>
      <c r="F18" s="2">
        <v>0.69767183842563207</v>
      </c>
      <c r="G18" s="2">
        <v>0.91320873689776183</v>
      </c>
      <c r="H18" s="2">
        <v>0.69767183842563207</v>
      </c>
      <c r="I18" s="2">
        <v>0.91320873689776183</v>
      </c>
    </row>
    <row r="19" spans="1:9" x14ac:dyDescent="0.3">
      <c r="A19" s="2" t="s">
        <v>43</v>
      </c>
      <c r="B19" s="2">
        <v>0.12301427733122648</v>
      </c>
      <c r="C19" s="2">
        <v>4.1190610412701986E-2</v>
      </c>
      <c r="D19" s="2">
        <v>2.9864640533050331</v>
      </c>
      <c r="E19" s="2">
        <v>3.4495786610855704E-3</v>
      </c>
      <c r="F19" s="2">
        <v>4.1423605603073149E-2</v>
      </c>
      <c r="G19" s="2">
        <v>0.20460494905937981</v>
      </c>
      <c r="H19" s="2">
        <v>4.1423605603073149E-2</v>
      </c>
      <c r="I19" s="2">
        <v>0.20460494905937981</v>
      </c>
    </row>
    <row r="20" spans="1:9" ht="15" thickBot="1" x14ac:dyDescent="0.35">
      <c r="A20" s="3" t="s">
        <v>44</v>
      </c>
      <c r="B20" s="3">
        <v>-3.5382127218267803</v>
      </c>
      <c r="C20" s="3">
        <v>0.75060330702609868</v>
      </c>
      <c r="D20" s="3">
        <v>-4.7138251173515755</v>
      </c>
      <c r="E20" s="3">
        <v>6.8724186248908485E-6</v>
      </c>
      <c r="F20" s="3">
        <v>-5.0250134127616102</v>
      </c>
      <c r="G20" s="3">
        <v>-2.0514120308919503</v>
      </c>
      <c r="H20" s="3">
        <v>-5.0250134127616102</v>
      </c>
      <c r="I20" s="3">
        <v>-2.0514120308919503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7.8189878836158062</v>
      </c>
      <c r="C27" s="2">
        <v>-0.26444688361580582</v>
      </c>
    </row>
    <row r="28" spans="1:9" x14ac:dyDescent="0.3">
      <c r="A28" s="2">
        <v>2</v>
      </c>
      <c r="B28" s="2">
        <v>7.9278071170876956</v>
      </c>
      <c r="C28" s="2">
        <v>-0.51158211708769574</v>
      </c>
    </row>
    <row r="29" spans="1:9" x14ac:dyDescent="0.3">
      <c r="A29" s="2">
        <v>3</v>
      </c>
      <c r="B29" s="2">
        <v>7.9923250856634516</v>
      </c>
      <c r="C29" s="2">
        <v>-0.74168608566345195</v>
      </c>
    </row>
    <row r="30" spans="1:9" x14ac:dyDescent="0.3">
      <c r="A30" s="2">
        <v>4</v>
      </c>
      <c r="B30" s="2">
        <v>7.7774653432988199</v>
      </c>
      <c r="C30" s="2">
        <v>-0.47741934329881985</v>
      </c>
    </row>
    <row r="31" spans="1:9" x14ac:dyDescent="0.3">
      <c r="A31" s="2">
        <v>5</v>
      </c>
      <c r="B31" s="2">
        <v>7.9059857202367727</v>
      </c>
      <c r="C31" s="2">
        <v>-1.0480057202367723</v>
      </c>
    </row>
    <row r="32" spans="1:9" x14ac:dyDescent="0.3">
      <c r="A32" s="2">
        <v>6</v>
      </c>
      <c r="B32" s="2">
        <v>7.8391801160185732</v>
      </c>
      <c r="C32" s="2">
        <v>-1.2199141160185736</v>
      </c>
    </row>
    <row r="33" spans="1:3" x14ac:dyDescent="0.3">
      <c r="A33" s="2">
        <v>7</v>
      </c>
      <c r="B33" s="2">
        <v>7.6449724286349756</v>
      </c>
      <c r="C33" s="2">
        <v>-1.195713428634976</v>
      </c>
    </row>
    <row r="34" spans="1:3" x14ac:dyDescent="0.3">
      <c r="A34" s="2">
        <v>8</v>
      </c>
      <c r="B34" s="2">
        <v>7.6357103781895947</v>
      </c>
      <c r="C34" s="2">
        <v>-1.4676123781895951</v>
      </c>
    </row>
    <row r="35" spans="1:3" x14ac:dyDescent="0.3">
      <c r="A35" s="2">
        <v>9</v>
      </c>
      <c r="B35" s="2">
        <v>7.2595970231335727</v>
      </c>
      <c r="C35" s="2">
        <v>-0.99322102313357252</v>
      </c>
    </row>
    <row r="36" spans="1:3" x14ac:dyDescent="0.3">
      <c r="A36" s="2">
        <v>10</v>
      </c>
      <c r="B36" s="2">
        <v>7.0267927905228209</v>
      </c>
      <c r="C36" s="2">
        <v>-0.73721879052282091</v>
      </c>
    </row>
    <row r="37" spans="1:3" x14ac:dyDescent="0.3">
      <c r="A37" s="2">
        <v>11</v>
      </c>
      <c r="B37" s="2">
        <v>6.8738059044425803</v>
      </c>
      <c r="C37" s="2">
        <v>-0.68175390444257999</v>
      </c>
    </row>
    <row r="38" spans="1:3" x14ac:dyDescent="0.3">
      <c r="A38" s="2">
        <v>12</v>
      </c>
      <c r="B38" s="2">
        <v>6.6169361393802415</v>
      </c>
      <c r="C38" s="2">
        <v>-0.20612013938024187</v>
      </c>
    </row>
    <row r="39" spans="1:3" x14ac:dyDescent="0.3">
      <c r="A39" s="2">
        <v>13</v>
      </c>
      <c r="B39" s="2">
        <v>6.657853905669306</v>
      </c>
      <c r="C39" s="2">
        <v>9.6030943306937289E-3</v>
      </c>
    </row>
    <row r="40" spans="1:3" x14ac:dyDescent="0.3">
      <c r="A40" s="2">
        <v>14</v>
      </c>
      <c r="B40" s="2">
        <v>6.7082967044418149</v>
      </c>
      <c r="C40" s="2">
        <v>0.34465329555818514</v>
      </c>
    </row>
    <row r="41" spans="1:3" x14ac:dyDescent="0.3">
      <c r="A41" s="2">
        <v>15</v>
      </c>
      <c r="B41" s="2">
        <v>6.6490191993001453</v>
      </c>
      <c r="C41" s="2">
        <v>0.76804080069985492</v>
      </c>
    </row>
    <row r="42" spans="1:3" x14ac:dyDescent="0.3">
      <c r="A42" s="2">
        <v>16</v>
      </c>
      <c r="B42" s="2">
        <v>6.8493912246372748</v>
      </c>
      <c r="C42" s="2">
        <v>0.92837677536272523</v>
      </c>
    </row>
    <row r="43" spans="1:3" x14ac:dyDescent="0.3">
      <c r="A43" s="2">
        <v>17</v>
      </c>
      <c r="B43" s="2">
        <v>7.1181409875720307</v>
      </c>
      <c r="C43" s="2">
        <v>0.78563501242796896</v>
      </c>
    </row>
    <row r="44" spans="1:3" x14ac:dyDescent="0.3">
      <c r="A44" s="2">
        <v>18</v>
      </c>
      <c r="B44" s="2">
        <v>7.5414275742283694</v>
      </c>
      <c r="C44" s="2">
        <v>0.67287242577163031</v>
      </c>
    </row>
    <row r="45" spans="1:3" x14ac:dyDescent="0.3">
      <c r="A45" s="2">
        <v>19</v>
      </c>
      <c r="B45" s="2">
        <v>7.8267692866927785</v>
      </c>
      <c r="C45" s="2">
        <v>0.69581671330722195</v>
      </c>
    </row>
    <row r="46" spans="1:3" x14ac:dyDescent="0.3">
      <c r="A46" s="2">
        <v>20</v>
      </c>
      <c r="B46" s="2">
        <v>8.0483584809584148</v>
      </c>
      <c r="C46" s="2">
        <v>0.9650685190415853</v>
      </c>
    </row>
    <row r="47" spans="1:3" x14ac:dyDescent="0.3">
      <c r="A47" s="2">
        <v>21</v>
      </c>
      <c r="B47" s="2">
        <v>7.9885939112730142</v>
      </c>
      <c r="C47" s="2">
        <v>1.5320950887269866</v>
      </c>
    </row>
    <row r="48" spans="1:3" x14ac:dyDescent="0.3">
      <c r="A48" s="2">
        <v>22</v>
      </c>
      <c r="B48" s="2">
        <v>7.9838451002979296</v>
      </c>
      <c r="C48" s="2">
        <v>1.863136899702071</v>
      </c>
    </row>
    <row r="49" spans="1:3" x14ac:dyDescent="0.3">
      <c r="A49" s="2">
        <v>23</v>
      </c>
      <c r="B49" s="2">
        <v>8.1113405882132241</v>
      </c>
      <c r="C49" s="2">
        <v>1.5473664117867756</v>
      </c>
    </row>
    <row r="50" spans="1:3" x14ac:dyDescent="0.3">
      <c r="A50" s="2">
        <v>24</v>
      </c>
      <c r="B50" s="2">
        <v>8.5581037018508557</v>
      </c>
      <c r="C50" s="2">
        <v>0.89231329814914417</v>
      </c>
    </row>
    <row r="51" spans="1:3" x14ac:dyDescent="0.3">
      <c r="A51" s="2">
        <v>25</v>
      </c>
      <c r="B51" s="2">
        <v>9.0585193551074639</v>
      </c>
      <c r="C51" s="2">
        <v>0.15151064489253585</v>
      </c>
    </row>
    <row r="52" spans="1:3" x14ac:dyDescent="0.3">
      <c r="A52" s="2">
        <v>26</v>
      </c>
      <c r="B52" s="2">
        <v>9.4837250924735503</v>
      </c>
      <c r="C52" s="2">
        <v>-0.55210009247354996</v>
      </c>
    </row>
    <row r="53" spans="1:3" x14ac:dyDescent="0.3">
      <c r="A53" s="2">
        <v>27</v>
      </c>
      <c r="B53" s="2">
        <v>9.3419840930944638</v>
      </c>
      <c r="C53" s="2">
        <v>-0.31226609309446296</v>
      </c>
    </row>
    <row r="54" spans="1:3" x14ac:dyDescent="0.3">
      <c r="A54" s="2">
        <v>28</v>
      </c>
      <c r="B54" s="2">
        <v>9.2928400808325549</v>
      </c>
      <c r="C54" s="2">
        <v>-0.19228708083255519</v>
      </c>
    </row>
    <row r="55" spans="1:3" x14ac:dyDescent="0.3">
      <c r="A55" s="2">
        <v>29</v>
      </c>
      <c r="B55" s="2">
        <v>9.1159029405662544</v>
      </c>
      <c r="C55" s="2">
        <v>-0.18232394056625445</v>
      </c>
    </row>
    <row r="56" spans="1:3" x14ac:dyDescent="0.3">
      <c r="A56" s="2">
        <v>30</v>
      </c>
      <c r="B56" s="2">
        <v>8.8088851650318531</v>
      </c>
      <c r="C56" s="2">
        <v>-3.2212165031852535E-2</v>
      </c>
    </row>
    <row r="57" spans="1:3" x14ac:dyDescent="0.3">
      <c r="A57" s="2">
        <v>31</v>
      </c>
      <c r="B57" s="2">
        <v>8.6750568694394374</v>
      </c>
      <c r="C57" s="2">
        <v>0.16938313056056309</v>
      </c>
    </row>
    <row r="58" spans="1:3" x14ac:dyDescent="0.3">
      <c r="A58" s="2">
        <v>32</v>
      </c>
      <c r="B58" s="2">
        <v>8.667252965467199</v>
      </c>
      <c r="C58" s="2">
        <v>-1.5089654671989194E-3</v>
      </c>
    </row>
    <row r="59" spans="1:3" x14ac:dyDescent="0.3">
      <c r="A59" s="2">
        <v>33</v>
      </c>
      <c r="B59" s="2">
        <v>8.3803422870435469</v>
      </c>
      <c r="C59" s="2">
        <v>-4.7682287043546268E-2</v>
      </c>
    </row>
    <row r="60" spans="1:3" x14ac:dyDescent="0.3">
      <c r="A60" s="2">
        <v>34</v>
      </c>
      <c r="B60" s="2">
        <v>8.4520068575244256</v>
      </c>
      <c r="C60" s="2">
        <v>-0.38079885752442522</v>
      </c>
    </row>
    <row r="61" spans="1:3" x14ac:dyDescent="0.3">
      <c r="A61" s="2">
        <v>35</v>
      </c>
      <c r="B61" s="2">
        <v>8.5945384350885892</v>
      </c>
      <c r="C61" s="2">
        <v>-0.90729543508858956</v>
      </c>
    </row>
    <row r="62" spans="1:3" x14ac:dyDescent="0.3">
      <c r="A62" s="2">
        <v>36</v>
      </c>
      <c r="B62" s="2">
        <v>8.2403437873700423</v>
      </c>
      <c r="C62" s="2">
        <v>-0.65918078737004215</v>
      </c>
    </row>
    <row r="63" spans="1:3" x14ac:dyDescent="0.3">
      <c r="A63" s="2">
        <v>37</v>
      </c>
      <c r="B63" s="2">
        <v>8.1350675502141634</v>
      </c>
      <c r="C63" s="2">
        <v>-0.24655255021416345</v>
      </c>
    </row>
    <row r="64" spans="1:3" x14ac:dyDescent="0.3">
      <c r="A64" s="2">
        <v>38</v>
      </c>
      <c r="B64" s="2">
        <v>7.7087608591757046</v>
      </c>
      <c r="C64" s="2">
        <v>0.40621314082429549</v>
      </c>
    </row>
    <row r="65" spans="1:3" x14ac:dyDescent="0.3">
      <c r="A65" s="2">
        <v>39</v>
      </c>
      <c r="B65" s="2">
        <v>7.2930813150079725</v>
      </c>
      <c r="C65" s="2">
        <v>1.2647906849920272</v>
      </c>
    </row>
    <row r="66" spans="1:3" x14ac:dyDescent="0.3">
      <c r="A66" s="2">
        <v>40</v>
      </c>
      <c r="B66" s="2">
        <v>7.1402077306333851</v>
      </c>
      <c r="C66" s="2">
        <v>1.6547672693666158</v>
      </c>
    </row>
    <row r="67" spans="1:3" x14ac:dyDescent="0.3">
      <c r="A67" s="2">
        <v>41</v>
      </c>
      <c r="B67" s="2">
        <v>7.2911996932070817</v>
      </c>
      <c r="C67" s="2">
        <v>1.5833963067929187</v>
      </c>
    </row>
    <row r="68" spans="1:3" x14ac:dyDescent="0.3">
      <c r="A68" s="2">
        <v>42</v>
      </c>
      <c r="B68" s="2">
        <v>7.6946054856855</v>
      </c>
      <c r="C68" s="2">
        <v>0.75206851431449984</v>
      </c>
    </row>
    <row r="69" spans="1:3" x14ac:dyDescent="0.3">
      <c r="A69" s="2">
        <v>43</v>
      </c>
      <c r="B69" s="2">
        <v>8.0903743986150385</v>
      </c>
      <c r="C69" s="2">
        <v>-9.9532398615038709E-2</v>
      </c>
    </row>
    <row r="70" spans="1:3" x14ac:dyDescent="0.3">
      <c r="A70" s="2">
        <v>44</v>
      </c>
      <c r="B70" s="2">
        <v>8.1634241894699109</v>
      </c>
      <c r="C70" s="2">
        <v>-0.60861818946991075</v>
      </c>
    </row>
    <row r="71" spans="1:3" x14ac:dyDescent="0.3">
      <c r="A71" s="2">
        <v>45</v>
      </c>
      <c r="B71" s="2">
        <v>8.1300859107471251</v>
      </c>
      <c r="C71" s="2">
        <v>-1.2146479107471251</v>
      </c>
    </row>
    <row r="72" spans="1:3" x14ac:dyDescent="0.3">
      <c r="A72" s="2">
        <v>46</v>
      </c>
      <c r="B72" s="2">
        <v>7.7135545035544872</v>
      </c>
      <c r="C72" s="2">
        <v>-0.70716350355448743</v>
      </c>
    </row>
    <row r="73" spans="1:3" x14ac:dyDescent="0.3">
      <c r="A73" s="2">
        <v>47</v>
      </c>
      <c r="B73" s="2">
        <v>7.4375100892750021</v>
      </c>
      <c r="C73" s="2">
        <v>-0.45822008927500235</v>
      </c>
    </row>
    <row r="74" spans="1:3" x14ac:dyDescent="0.3">
      <c r="A74" s="2">
        <v>48</v>
      </c>
      <c r="B74" s="2">
        <v>7.0540604784096832</v>
      </c>
      <c r="C74" s="2">
        <v>-0.16608647840968338</v>
      </c>
    </row>
    <row r="75" spans="1:3" x14ac:dyDescent="0.3">
      <c r="A75" s="2">
        <v>49</v>
      </c>
      <c r="B75" s="2">
        <v>6.7407610500647657</v>
      </c>
      <c r="C75" s="2">
        <v>0.2013469499352345</v>
      </c>
    </row>
    <row r="76" spans="1:3" x14ac:dyDescent="0.3">
      <c r="A76" s="2">
        <v>50</v>
      </c>
      <c r="B76" s="2">
        <v>6.6934586627983448</v>
      </c>
      <c r="C76" s="2">
        <v>0.22105433720165557</v>
      </c>
    </row>
    <row r="77" spans="1:3" x14ac:dyDescent="0.3">
      <c r="A77" s="2">
        <v>51</v>
      </c>
      <c r="B77" s="2">
        <v>6.6633567588473799</v>
      </c>
      <c r="C77" s="2">
        <v>0.24611424115262004</v>
      </c>
    </row>
    <row r="78" spans="1:3" x14ac:dyDescent="0.3">
      <c r="A78" s="2">
        <v>52</v>
      </c>
      <c r="B78" s="2">
        <v>6.4169302105964761</v>
      </c>
      <c r="C78" s="2">
        <v>0.57626578940352413</v>
      </c>
    </row>
    <row r="79" spans="1:3" x14ac:dyDescent="0.3">
      <c r="A79" s="2">
        <v>53</v>
      </c>
      <c r="B79" s="2">
        <v>6.0575920979428162</v>
      </c>
      <c r="C79" s="2">
        <v>1.3600229020571835</v>
      </c>
    </row>
    <row r="80" spans="1:3" x14ac:dyDescent="0.3">
      <c r="A80" s="2">
        <v>54</v>
      </c>
      <c r="B80" s="2">
        <v>6.1769875700507395</v>
      </c>
      <c r="C80" s="2">
        <v>1.5489354299492604</v>
      </c>
    </row>
    <row r="81" spans="1:3" x14ac:dyDescent="0.3">
      <c r="A81" s="2">
        <v>55</v>
      </c>
      <c r="B81" s="2">
        <v>6.2352687126094866</v>
      </c>
      <c r="C81" s="2">
        <v>1.692487287390513</v>
      </c>
    </row>
    <row r="82" spans="1:3" x14ac:dyDescent="0.3">
      <c r="A82" s="2">
        <v>56</v>
      </c>
      <c r="B82" s="2">
        <v>6.5981407476319047</v>
      </c>
      <c r="C82" s="2">
        <v>1.5232262523680946</v>
      </c>
    </row>
    <row r="83" spans="1:3" x14ac:dyDescent="0.3">
      <c r="A83" s="2">
        <v>57</v>
      </c>
      <c r="B83" s="2">
        <v>7.2497593758996652</v>
      </c>
      <c r="C83" s="2">
        <v>0.96023462410033478</v>
      </c>
    </row>
    <row r="84" spans="1:3" x14ac:dyDescent="0.3">
      <c r="A84" s="2">
        <v>58</v>
      </c>
      <c r="B84" s="2">
        <v>7.6548802282535142</v>
      </c>
      <c r="C84" s="2">
        <v>0.62607677174648657</v>
      </c>
    </row>
    <row r="85" spans="1:3" x14ac:dyDescent="0.3">
      <c r="A85" s="2">
        <v>59</v>
      </c>
      <c r="B85" s="2">
        <v>7.5996676420713829</v>
      </c>
      <c r="C85" s="2">
        <v>0.78128435792861772</v>
      </c>
    </row>
    <row r="86" spans="1:3" x14ac:dyDescent="0.3">
      <c r="A86" s="2">
        <v>60</v>
      </c>
      <c r="B86" s="2">
        <v>7.8002088147586903</v>
      </c>
      <c r="C86" s="2">
        <v>0.64817218524130915</v>
      </c>
    </row>
    <row r="87" spans="1:3" x14ac:dyDescent="0.3">
      <c r="A87" s="2">
        <v>61</v>
      </c>
      <c r="B87" s="2">
        <v>7.9755681935652172</v>
      </c>
      <c r="C87" s="2">
        <v>0.35574980643478238</v>
      </c>
    </row>
    <row r="88" spans="1:3" x14ac:dyDescent="0.3">
      <c r="A88" s="2">
        <v>62</v>
      </c>
      <c r="B88" s="2">
        <v>8.042556830375057</v>
      </c>
      <c r="C88" s="2">
        <v>0.26424116962494359</v>
      </c>
    </row>
    <row r="89" spans="1:3" x14ac:dyDescent="0.3">
      <c r="A89" s="2">
        <v>63</v>
      </c>
      <c r="B89" s="2">
        <v>8.3644594357999011</v>
      </c>
      <c r="C89" s="2">
        <v>-0.42260543579990095</v>
      </c>
    </row>
    <row r="90" spans="1:3" x14ac:dyDescent="0.3">
      <c r="A90" s="2">
        <v>64</v>
      </c>
      <c r="B90" s="2">
        <v>8.5324960702062711</v>
      </c>
      <c r="C90" s="2">
        <v>-0.68442907020627075</v>
      </c>
    </row>
    <row r="91" spans="1:3" x14ac:dyDescent="0.3">
      <c r="A91" s="2">
        <v>65</v>
      </c>
      <c r="B91" s="2">
        <v>8.4272392476358391</v>
      </c>
      <c r="C91" s="2">
        <v>-0.82744324763583865</v>
      </c>
    </row>
    <row r="92" spans="1:3" x14ac:dyDescent="0.3">
      <c r="A92" s="2">
        <v>66</v>
      </c>
      <c r="B92" s="2">
        <v>8.3607544995528755</v>
      </c>
      <c r="C92" s="2">
        <v>-1.1472724995528756</v>
      </c>
    </row>
    <row r="93" spans="1:3" x14ac:dyDescent="0.3">
      <c r="A93" s="2">
        <v>67</v>
      </c>
      <c r="B93" s="2">
        <v>7.8813360165730089</v>
      </c>
      <c r="C93" s="2">
        <v>-0.77286001657300929</v>
      </c>
    </row>
    <row r="94" spans="1:3" x14ac:dyDescent="0.3">
      <c r="A94" s="2">
        <v>68</v>
      </c>
      <c r="B94" s="2">
        <v>7.6365660715239043</v>
      </c>
      <c r="C94" s="2">
        <v>-0.82892207152390451</v>
      </c>
    </row>
    <row r="95" spans="1:3" x14ac:dyDescent="0.3">
      <c r="A95" s="2">
        <v>69</v>
      </c>
      <c r="B95" s="2">
        <v>7.191380765399753</v>
      </c>
      <c r="C95" s="2">
        <v>-0.57673676539975283</v>
      </c>
    </row>
    <row r="96" spans="1:3" x14ac:dyDescent="0.3">
      <c r="A96" s="2">
        <v>70</v>
      </c>
      <c r="B96" s="2">
        <v>6.8094149073325063</v>
      </c>
      <c r="C96" s="2">
        <v>-0.36939690733250607</v>
      </c>
    </row>
    <row r="97" spans="1:3" x14ac:dyDescent="0.3">
      <c r="A97" s="2">
        <v>71</v>
      </c>
      <c r="B97" s="2">
        <v>6.6368542882693378</v>
      </c>
      <c r="C97" s="2">
        <v>-0.36871128826933752</v>
      </c>
    </row>
    <row r="98" spans="1:3" x14ac:dyDescent="0.3">
      <c r="A98" s="2">
        <v>72</v>
      </c>
      <c r="B98" s="2">
        <v>6.3361844900362616</v>
      </c>
      <c r="C98" s="2">
        <v>-0.25703049003626166</v>
      </c>
    </row>
    <row r="99" spans="1:3" x14ac:dyDescent="0.3">
      <c r="A99" s="2">
        <v>73</v>
      </c>
      <c r="B99" s="2">
        <v>6.1908789544675189</v>
      </c>
      <c r="C99" s="2">
        <v>-0.17764395446751902</v>
      </c>
    </row>
    <row r="100" spans="1:3" x14ac:dyDescent="0.3">
      <c r="A100" s="2">
        <v>74</v>
      </c>
      <c r="B100" s="2">
        <v>6.091007478275051</v>
      </c>
      <c r="C100" s="2">
        <v>-0.14770647827505101</v>
      </c>
    </row>
    <row r="101" spans="1:3" x14ac:dyDescent="0.3">
      <c r="A101" s="2">
        <v>75</v>
      </c>
      <c r="B101" s="2">
        <v>5.9033491925506398</v>
      </c>
      <c r="C101" s="2">
        <v>6.2868074493600545E-3</v>
      </c>
    </row>
    <row r="102" spans="1:3" x14ac:dyDescent="0.3">
      <c r="A102" s="2">
        <v>76</v>
      </c>
      <c r="B102" s="2">
        <v>5.4835728800838295</v>
      </c>
      <c r="C102" s="2">
        <v>0.22640511991617096</v>
      </c>
    </row>
    <row r="103" spans="1:3" x14ac:dyDescent="0.3">
      <c r="A103" s="2">
        <v>77</v>
      </c>
      <c r="B103" s="2">
        <v>5.4628332421053702</v>
      </c>
      <c r="C103" s="2">
        <v>-4.5370242105370551E-2</v>
      </c>
    </row>
    <row r="104" spans="1:3" x14ac:dyDescent="0.3">
      <c r="A104" s="2">
        <v>78</v>
      </c>
      <c r="B104" s="2">
        <v>5.3745805904255164</v>
      </c>
      <c r="C104" s="2">
        <v>-0.34090359042551643</v>
      </c>
    </row>
    <row r="105" spans="1:3" x14ac:dyDescent="0.3">
      <c r="A105" s="2">
        <v>79</v>
      </c>
      <c r="B105" s="2">
        <v>5.059661370119457</v>
      </c>
      <c r="C105" s="2">
        <v>-0.41310537011945669</v>
      </c>
    </row>
    <row r="106" spans="1:3" x14ac:dyDescent="0.3">
      <c r="A106" s="2">
        <v>80</v>
      </c>
      <c r="B106" s="2">
        <v>5.0814534235757174</v>
      </c>
      <c r="C106" s="2">
        <v>-0.62478942357571743</v>
      </c>
    </row>
    <row r="107" spans="1:3" x14ac:dyDescent="0.3">
      <c r="A107" s="2">
        <v>81</v>
      </c>
      <c r="B107" s="2">
        <v>4.7132991712889512</v>
      </c>
      <c r="C107" s="2">
        <v>-0.46069417128895118</v>
      </c>
    </row>
    <row r="108" spans="1:3" x14ac:dyDescent="0.3">
      <c r="A108" s="2">
        <v>82</v>
      </c>
      <c r="B108" s="2">
        <v>4.4442103477367949</v>
      </c>
      <c r="C108" s="2">
        <v>-0.19690934773679469</v>
      </c>
    </row>
    <row r="109" spans="1:3" x14ac:dyDescent="0.3">
      <c r="A109" s="2">
        <v>83</v>
      </c>
      <c r="B109" s="2">
        <v>4.5354118747205927</v>
      </c>
      <c r="C109" s="2">
        <v>-0.30782587472059308</v>
      </c>
    </row>
    <row r="110" spans="1:3" x14ac:dyDescent="0.3">
      <c r="A110" s="2">
        <v>84</v>
      </c>
      <c r="B110" s="2">
        <v>4.5316044749733653</v>
      </c>
      <c r="C110" s="2">
        <v>-0.11988447497336541</v>
      </c>
    </row>
    <row r="111" spans="1:3" x14ac:dyDescent="0.3">
      <c r="A111" s="2">
        <v>85</v>
      </c>
      <c r="B111" s="2">
        <v>4.8166876360403474</v>
      </c>
      <c r="C111" s="2">
        <v>8.8679363959652591E-2</v>
      </c>
    </row>
    <row r="112" spans="1:3" x14ac:dyDescent="0.3">
      <c r="A112" s="2">
        <v>86</v>
      </c>
      <c r="B112" s="2">
        <v>5.3349126057078973</v>
      </c>
      <c r="C112" s="2">
        <v>0.27692239429210286</v>
      </c>
    </row>
    <row r="113" spans="1:3" x14ac:dyDescent="0.3">
      <c r="A113" s="2">
        <v>87</v>
      </c>
      <c r="B113" s="2">
        <v>5.305306674447591</v>
      </c>
      <c r="C113" s="2">
        <v>0.96420832555240921</v>
      </c>
    </row>
    <row r="114" spans="1:3" x14ac:dyDescent="0.3">
      <c r="A114" s="2">
        <v>88</v>
      </c>
      <c r="B114" s="2">
        <v>5.3727775545209315</v>
      </c>
      <c r="C114" s="2">
        <v>1.3679404454790687</v>
      </c>
    </row>
    <row r="115" spans="1:3" x14ac:dyDescent="0.3">
      <c r="A115" s="2">
        <v>89</v>
      </c>
      <c r="B115" s="2">
        <v>5.5698980281866319</v>
      </c>
      <c r="C115" s="2">
        <v>1.3092729718133684</v>
      </c>
    </row>
    <row r="116" spans="1:3" x14ac:dyDescent="0.3">
      <c r="A116" s="2">
        <v>90</v>
      </c>
      <c r="B116" s="2">
        <v>5.7743119952222486</v>
      </c>
      <c r="C116" s="2">
        <v>0.9841270047777515</v>
      </c>
    </row>
    <row r="117" spans="1:3" x14ac:dyDescent="0.3">
      <c r="A117" s="2">
        <v>91</v>
      </c>
      <c r="B117" s="2">
        <v>6.2487773055796927</v>
      </c>
      <c r="C117" s="2">
        <v>0.36557469442030754</v>
      </c>
    </row>
    <row r="118" spans="1:3" x14ac:dyDescent="0.3">
      <c r="A118" s="2">
        <v>92</v>
      </c>
      <c r="B118" s="2">
        <v>6.6347586642288974</v>
      </c>
      <c r="C118" s="2">
        <v>-0.27446766422889723</v>
      </c>
    </row>
    <row r="119" spans="1:3" x14ac:dyDescent="0.3">
      <c r="A119" s="2">
        <v>93</v>
      </c>
      <c r="B119" s="2">
        <v>6.7539248074270688</v>
      </c>
      <c r="C119" s="2">
        <v>-0.66812780742706845</v>
      </c>
    </row>
    <row r="120" spans="1:3" x14ac:dyDescent="0.3">
      <c r="A120" s="2">
        <v>94</v>
      </c>
      <c r="B120" s="2">
        <v>6.4060320008882314</v>
      </c>
      <c r="C120" s="2">
        <v>-0.63186000088823135</v>
      </c>
    </row>
    <row r="121" spans="1:3" x14ac:dyDescent="0.3">
      <c r="A121" s="2">
        <v>95</v>
      </c>
      <c r="B121" s="2">
        <v>6.1331574092164125</v>
      </c>
      <c r="C121" s="2">
        <v>-0.68056240921641287</v>
      </c>
    </row>
    <row r="122" spans="1:3" x14ac:dyDescent="0.3">
      <c r="A122" s="2">
        <v>96</v>
      </c>
      <c r="B122" s="2">
        <v>5.7760954755003082</v>
      </c>
      <c r="C122" s="2">
        <v>-0.59709147550030828</v>
      </c>
    </row>
    <row r="123" spans="1:3" x14ac:dyDescent="0.3">
      <c r="A123" s="2">
        <v>97</v>
      </c>
      <c r="B123" s="2">
        <v>5.5788565268444241</v>
      </c>
      <c r="C123" s="2">
        <v>-0.52704452684442415</v>
      </c>
    </row>
    <row r="124" spans="1:3" x14ac:dyDescent="0.3">
      <c r="A124" s="2">
        <v>98</v>
      </c>
      <c r="B124" s="2">
        <v>5.3157178280166217</v>
      </c>
      <c r="C124" s="2">
        <v>-0.35879882801662166</v>
      </c>
    </row>
    <row r="125" spans="1:3" x14ac:dyDescent="0.3">
      <c r="A125" s="2">
        <v>99</v>
      </c>
      <c r="B125" s="2">
        <v>5.0553348808329108</v>
      </c>
      <c r="C125" s="2">
        <v>-0.12158688083291125</v>
      </c>
    </row>
    <row r="126" spans="1:3" x14ac:dyDescent="0.3">
      <c r="A126" s="2">
        <v>100</v>
      </c>
      <c r="B126" s="2">
        <v>4.8228646944263884</v>
      </c>
      <c r="C126" s="2">
        <v>0.10551030557361152</v>
      </c>
    </row>
    <row r="127" spans="1:3" x14ac:dyDescent="0.3">
      <c r="A127" s="2">
        <v>101</v>
      </c>
      <c r="B127" s="2">
        <v>4.7671866087693919</v>
      </c>
      <c r="C127" s="2">
        <v>3.449639123060777E-2</v>
      </c>
    </row>
    <row r="128" spans="1:3" x14ac:dyDescent="0.3">
      <c r="A128" s="2">
        <v>102</v>
      </c>
      <c r="B128" s="2">
        <v>4.8636693464967848</v>
      </c>
      <c r="C128" s="2">
        <v>-0.1444283464967846</v>
      </c>
    </row>
    <row r="129" spans="1:3" x14ac:dyDescent="0.3">
      <c r="A129" s="2">
        <v>103</v>
      </c>
      <c r="B129" s="2">
        <v>4.9583741618480683</v>
      </c>
      <c r="C129" s="2">
        <v>-0.29368716184806853</v>
      </c>
    </row>
    <row r="130" spans="1:3" x14ac:dyDescent="0.3">
      <c r="A130" s="2">
        <v>104</v>
      </c>
      <c r="B130" s="2">
        <v>4.9717645505202244</v>
      </c>
      <c r="C130" s="2">
        <v>-0.42584055052022407</v>
      </c>
    </row>
    <row r="131" spans="1:3" x14ac:dyDescent="0.3">
      <c r="A131" s="2">
        <v>105</v>
      </c>
      <c r="B131" s="2">
        <v>4.752891727556074</v>
      </c>
      <c r="C131" s="2">
        <v>-0.26701472755607369</v>
      </c>
    </row>
    <row r="132" spans="1:3" x14ac:dyDescent="0.3">
      <c r="A132" s="2">
        <v>106</v>
      </c>
      <c r="B132" s="2">
        <v>4.7147831576156731</v>
      </c>
      <c r="C132" s="2">
        <v>-0.29997915761567295</v>
      </c>
    </row>
    <row r="133" spans="1:3" x14ac:dyDescent="0.3">
      <c r="A133" s="2">
        <v>107</v>
      </c>
      <c r="B133" s="2">
        <v>4.390640656979075</v>
      </c>
      <c r="C133" s="2">
        <v>-2.2538656979074645E-2</v>
      </c>
    </row>
    <row r="134" spans="1:3" x14ac:dyDescent="0.3">
      <c r="A134" s="2">
        <v>108</v>
      </c>
      <c r="B134" s="2">
        <v>4.3988985704124337</v>
      </c>
      <c r="C134" s="2">
        <v>-2.7905570412433356E-2</v>
      </c>
    </row>
    <row r="135" spans="1:3" x14ac:dyDescent="0.3">
      <c r="A135" s="2">
        <v>109</v>
      </c>
      <c r="B135" s="2">
        <v>4.3955073100003297</v>
      </c>
      <c r="C135" s="2">
        <v>-0.12502931000032991</v>
      </c>
    </row>
    <row r="136" spans="1:3" x14ac:dyDescent="0.3">
      <c r="A136" s="2">
        <v>110</v>
      </c>
      <c r="B136" s="2">
        <v>4.245396460246722</v>
      </c>
      <c r="C136" s="2">
        <v>-2.8386460246721867E-2</v>
      </c>
    </row>
    <row r="137" spans="1:3" x14ac:dyDescent="0.3">
      <c r="A137" s="2">
        <v>111</v>
      </c>
      <c r="B137" s="2">
        <v>4.3352268572100501</v>
      </c>
      <c r="C137" s="2">
        <v>-0.23274685721005017</v>
      </c>
    </row>
    <row r="138" spans="1:3" x14ac:dyDescent="0.3">
      <c r="A138" s="2">
        <v>112</v>
      </c>
      <c r="B138" s="2">
        <v>4.2756658083677239</v>
      </c>
      <c r="C138" s="2">
        <v>-0.33515080836772393</v>
      </c>
    </row>
    <row r="139" spans="1:3" x14ac:dyDescent="0.3">
      <c r="A139" s="2">
        <v>113</v>
      </c>
      <c r="B139" s="2">
        <v>4.1284284284339074</v>
      </c>
      <c r="C139" s="2">
        <v>-0.18938942843390727</v>
      </c>
    </row>
    <row r="140" spans="1:3" x14ac:dyDescent="0.3">
      <c r="A140" s="2">
        <v>114</v>
      </c>
      <c r="B140" s="2">
        <v>4.1576069846874066</v>
      </c>
      <c r="C140" s="2">
        <v>-0.35810598468740684</v>
      </c>
    </row>
    <row r="141" spans="1:3" x14ac:dyDescent="0.3">
      <c r="A141" s="2">
        <v>115</v>
      </c>
      <c r="B141" s="2">
        <v>4.1763197482430208</v>
      </c>
      <c r="C141" s="2">
        <v>-0.43329074824302083</v>
      </c>
    </row>
    <row r="142" spans="1:3" x14ac:dyDescent="0.3">
      <c r="A142" s="2">
        <v>116</v>
      </c>
      <c r="B142" s="2">
        <v>4.0911051767817739</v>
      </c>
      <c r="C142" s="2">
        <v>-0.45181117678177385</v>
      </c>
    </row>
    <row r="143" spans="1:3" x14ac:dyDescent="0.3">
      <c r="A143" s="2">
        <v>117</v>
      </c>
      <c r="B143" s="2">
        <v>4.0862509326963323</v>
      </c>
      <c r="C143" s="2">
        <v>-0.44846793269633212</v>
      </c>
    </row>
    <row r="144" spans="1:3" x14ac:dyDescent="0.3">
      <c r="A144" s="2">
        <v>118</v>
      </c>
      <c r="B144" s="2">
        <v>3.909547079202357</v>
      </c>
      <c r="C144" s="2">
        <v>-0.23702607920235685</v>
      </c>
    </row>
    <row r="145" spans="1:3" ht="15" thickBot="1" x14ac:dyDescent="0.35">
      <c r="A145" s="3">
        <v>119</v>
      </c>
      <c r="B145" s="3">
        <v>3.8339099303338133</v>
      </c>
      <c r="C145" s="3">
        <v>-0.13799393033381335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4C53-B2AA-45DA-8010-5531DB1FCDFB}">
  <dimension ref="A1:I146"/>
  <sheetViews>
    <sheetView workbookViewId="0">
      <selection activeCell="B18" sqref="B18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0.91298833052076467</v>
      </c>
    </row>
    <row r="5" spans="1:9" x14ac:dyDescent="0.3">
      <c r="A5" s="2" t="s">
        <v>21</v>
      </c>
      <c r="B5" s="2">
        <v>0.83354769166709308</v>
      </c>
    </row>
    <row r="6" spans="1:9" x14ac:dyDescent="0.3">
      <c r="A6" s="2" t="s">
        <v>22</v>
      </c>
      <c r="B6" s="2">
        <v>0.8277072597957631</v>
      </c>
    </row>
    <row r="7" spans="1:9" x14ac:dyDescent="0.3">
      <c r="A7" s="2" t="s">
        <v>23</v>
      </c>
      <c r="B7" s="2">
        <v>0.69632379127369115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276.80118826341993</v>
      </c>
      <c r="D12" s="2">
        <v>69.200297065854983</v>
      </c>
      <c r="E12" s="2">
        <v>142.7202148798057</v>
      </c>
      <c r="F12" s="2">
        <v>1.9923746334075565E-43</v>
      </c>
    </row>
    <row r="13" spans="1:9" x14ac:dyDescent="0.3">
      <c r="A13" s="2" t="s">
        <v>27</v>
      </c>
      <c r="B13" s="2">
        <v>114</v>
      </c>
      <c r="C13" s="2">
        <v>55.274817741489429</v>
      </c>
      <c r="D13" s="2">
        <v>0.48486682229376693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332.07600600490935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29.253254817384903</v>
      </c>
      <c r="C17" s="2">
        <v>6.7309203679189507</v>
      </c>
      <c r="D17" s="2">
        <v>4.3461002683692946</v>
      </c>
      <c r="E17" s="2">
        <v>3.0248638647007429E-5</v>
      </c>
      <c r="F17" s="2">
        <v>15.919353410248622</v>
      </c>
      <c r="G17" s="2">
        <v>42.587156224521181</v>
      </c>
      <c r="H17" s="2">
        <v>15.919353410248622</v>
      </c>
      <c r="I17" s="2">
        <v>42.587156224521181</v>
      </c>
    </row>
    <row r="18" spans="1:9" x14ac:dyDescent="0.3">
      <c r="A18" s="2" t="s">
        <v>42</v>
      </c>
      <c r="B18" s="2">
        <v>0.77762864846074686</v>
      </c>
      <c r="C18" s="2">
        <v>5.2089750112191954E-2</v>
      </c>
      <c r="D18" s="2">
        <v>14.92863081097288</v>
      </c>
      <c r="E18" s="2">
        <v>1.3772433535112961E-28</v>
      </c>
      <c r="F18" s="2">
        <v>0.67443925468500743</v>
      </c>
      <c r="G18" s="2">
        <v>0.8808180422364863</v>
      </c>
      <c r="H18" s="2">
        <v>0.67443925468500743</v>
      </c>
      <c r="I18" s="2">
        <v>0.8808180422364863</v>
      </c>
    </row>
    <row r="19" spans="1:9" x14ac:dyDescent="0.3">
      <c r="A19" s="2" t="s">
        <v>43</v>
      </c>
      <c r="B19" s="2">
        <v>0.24424366301956793</v>
      </c>
      <c r="C19" s="2">
        <v>5.0689822361746933E-2</v>
      </c>
      <c r="D19" s="2">
        <v>4.8183965072224515</v>
      </c>
      <c r="E19" s="2">
        <v>4.4966843267069233E-6</v>
      </c>
      <c r="F19" s="2">
        <v>0.14382751533518276</v>
      </c>
      <c r="G19" s="2">
        <v>0.34465981070395313</v>
      </c>
      <c r="H19" s="2">
        <v>0.14382751533518276</v>
      </c>
      <c r="I19" s="2">
        <v>0.34465981070395313</v>
      </c>
    </row>
    <row r="20" spans="1:9" x14ac:dyDescent="0.3">
      <c r="A20" s="2" t="s">
        <v>44</v>
      </c>
      <c r="B20" s="2">
        <v>-2.550896359358013</v>
      </c>
      <c r="C20" s="2">
        <v>0.7585082729498307</v>
      </c>
      <c r="D20" s="2">
        <v>-3.3630435557908998</v>
      </c>
      <c r="E20" s="2">
        <v>1.0502863673432412E-3</v>
      </c>
      <c r="F20" s="2">
        <v>-4.0534954060225985</v>
      </c>
      <c r="G20" s="2">
        <v>-1.0482973126934272</v>
      </c>
      <c r="H20" s="2">
        <v>-4.0534954060225985</v>
      </c>
      <c r="I20" s="2">
        <v>-1.0482973126934272</v>
      </c>
    </row>
    <row r="21" spans="1:9" ht="15" thickBot="1" x14ac:dyDescent="0.35">
      <c r="A21" s="3" t="s">
        <v>61</v>
      </c>
      <c r="B21" s="3">
        <v>-25.804413211554131</v>
      </c>
      <c r="C21" s="3">
        <v>6.8833457598074252</v>
      </c>
      <c r="D21" s="3">
        <v>-3.7488183961684438</v>
      </c>
      <c r="E21" s="3">
        <v>2.8067376631843324E-4</v>
      </c>
      <c r="F21" s="3">
        <v>-39.440268146037432</v>
      </c>
      <c r="G21" s="3">
        <v>-12.168558277070829</v>
      </c>
      <c r="H21" s="3">
        <v>-39.440268146037432</v>
      </c>
      <c r="I21" s="3">
        <v>-12.168558277070829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7.8882126055230408</v>
      </c>
      <c r="C28" s="2">
        <v>-0.33367160552304043</v>
      </c>
    </row>
    <row r="29" spans="1:9" x14ac:dyDescent="0.3">
      <c r="A29" s="2">
        <v>2</v>
      </c>
      <c r="B29" s="2">
        <v>8.0476211109797156</v>
      </c>
      <c r="C29" s="2">
        <v>-0.63139611097971571</v>
      </c>
    </row>
    <row r="30" spans="1:9" x14ac:dyDescent="0.3">
      <c r="A30" s="2">
        <v>3</v>
      </c>
      <c r="B30" s="2">
        <v>8.081094346804047</v>
      </c>
      <c r="C30" s="2">
        <v>-0.83045534680404742</v>
      </c>
    </row>
    <row r="31" spans="1:9" x14ac:dyDescent="0.3">
      <c r="A31" s="2">
        <v>4</v>
      </c>
      <c r="B31" s="2">
        <v>7.8092069602567555</v>
      </c>
      <c r="C31" s="2">
        <v>-0.5091609602567555</v>
      </c>
    </row>
    <row r="32" spans="1:9" x14ac:dyDescent="0.3">
      <c r="A32" s="2">
        <v>5</v>
      </c>
      <c r="B32" s="2">
        <v>7.8364899148848863</v>
      </c>
      <c r="C32" s="2">
        <v>-0.97850991488488592</v>
      </c>
    </row>
    <row r="33" spans="1:3" x14ac:dyDescent="0.3">
      <c r="A33" s="2">
        <v>6</v>
      </c>
      <c r="B33" s="2">
        <v>7.5651859611876944</v>
      </c>
      <c r="C33" s="2">
        <v>-0.94591996118769472</v>
      </c>
    </row>
    <row r="34" spans="1:3" x14ac:dyDescent="0.3">
      <c r="A34" s="2">
        <v>7</v>
      </c>
      <c r="B34" s="2">
        <v>7.4086017857651143</v>
      </c>
      <c r="C34" s="2">
        <v>-0.95934278576511467</v>
      </c>
    </row>
    <row r="35" spans="1:3" x14ac:dyDescent="0.3">
      <c r="A35" s="2">
        <v>8</v>
      </c>
      <c r="B35" s="2">
        <v>7.4007592409484637</v>
      </c>
      <c r="C35" s="2">
        <v>-1.2326612409484641</v>
      </c>
    </row>
    <row r="36" spans="1:3" x14ac:dyDescent="0.3">
      <c r="A36" s="2">
        <v>9</v>
      </c>
      <c r="B36" s="2">
        <v>6.9666638508643715</v>
      </c>
      <c r="C36" s="2">
        <v>-0.70028785086437129</v>
      </c>
    </row>
    <row r="37" spans="1:3" x14ac:dyDescent="0.3">
      <c r="A37" s="2">
        <v>10</v>
      </c>
      <c r="B37" s="2">
        <v>6.9583201415589784</v>
      </c>
      <c r="C37" s="2">
        <v>-0.66874614155897838</v>
      </c>
    </row>
    <row r="38" spans="1:3" x14ac:dyDescent="0.3">
      <c r="A38" s="2">
        <v>11</v>
      </c>
      <c r="B38" s="2">
        <v>6.5656157552012893</v>
      </c>
      <c r="C38" s="2">
        <v>-0.37356375520128893</v>
      </c>
    </row>
    <row r="39" spans="1:3" x14ac:dyDescent="0.3">
      <c r="A39" s="2">
        <v>12</v>
      </c>
      <c r="B39" s="2">
        <v>6.0953856797792696</v>
      </c>
      <c r="C39" s="2">
        <v>0.31543032022073003</v>
      </c>
    </row>
    <row r="40" spans="1:3" x14ac:dyDescent="0.3">
      <c r="A40" s="2">
        <v>13</v>
      </c>
      <c r="B40" s="2">
        <v>6.3472370715527902</v>
      </c>
      <c r="C40" s="2">
        <v>0.32021992844720959</v>
      </c>
    </row>
    <row r="41" spans="1:3" x14ac:dyDescent="0.3">
      <c r="A41" s="2">
        <v>14</v>
      </c>
      <c r="B41" s="2">
        <v>6.5105134384560515</v>
      </c>
      <c r="C41" s="2">
        <v>0.54243656154394859</v>
      </c>
    </row>
    <row r="42" spans="1:3" x14ac:dyDescent="0.3">
      <c r="A42" s="2">
        <v>15</v>
      </c>
      <c r="B42" s="2">
        <v>6.6779283904022755</v>
      </c>
      <c r="C42" s="2">
        <v>0.73913160959772473</v>
      </c>
    </row>
    <row r="43" spans="1:3" x14ac:dyDescent="0.3">
      <c r="A43" s="2">
        <v>16</v>
      </c>
      <c r="B43" s="2">
        <v>7.0001524248792499</v>
      </c>
      <c r="C43" s="2">
        <v>0.77761557512075008</v>
      </c>
    </row>
    <row r="44" spans="1:3" x14ac:dyDescent="0.3">
      <c r="A44" s="2">
        <v>17</v>
      </c>
      <c r="B44" s="2">
        <v>7.2569742390255634</v>
      </c>
      <c r="C44" s="2">
        <v>0.64680176097443631</v>
      </c>
    </row>
    <row r="45" spans="1:3" x14ac:dyDescent="0.3">
      <c r="A45" s="2">
        <v>18</v>
      </c>
      <c r="B45" s="2">
        <v>7.6024612872883317</v>
      </c>
      <c r="C45" s="2">
        <v>0.61183871271166801</v>
      </c>
    </row>
    <row r="46" spans="1:3" x14ac:dyDescent="0.3">
      <c r="A46" s="2">
        <v>19</v>
      </c>
      <c r="B46" s="2">
        <v>7.761791721133406</v>
      </c>
      <c r="C46" s="2">
        <v>0.76079427886659445</v>
      </c>
    </row>
    <row r="47" spans="1:3" x14ac:dyDescent="0.3">
      <c r="A47" s="2">
        <v>20</v>
      </c>
      <c r="B47" s="2">
        <v>7.9992909208705356</v>
      </c>
      <c r="C47" s="2">
        <v>1.0141360791294645</v>
      </c>
    </row>
    <row r="48" spans="1:3" x14ac:dyDescent="0.3">
      <c r="A48" s="2">
        <v>21</v>
      </c>
      <c r="B48" s="2">
        <v>7.8928354387126731</v>
      </c>
      <c r="C48" s="2">
        <v>1.6278535612873277</v>
      </c>
    </row>
    <row r="49" spans="1:3" x14ac:dyDescent="0.3">
      <c r="A49" s="2">
        <v>22</v>
      </c>
      <c r="B49" s="2">
        <v>7.9209569395716315</v>
      </c>
      <c r="C49" s="2">
        <v>1.9260250604283691</v>
      </c>
    </row>
    <row r="50" spans="1:3" x14ac:dyDescent="0.3">
      <c r="A50" s="2">
        <v>23</v>
      </c>
      <c r="B50" s="2">
        <v>8.0950183941542164</v>
      </c>
      <c r="C50" s="2">
        <v>1.5636886058457833</v>
      </c>
    </row>
    <row r="51" spans="1:3" x14ac:dyDescent="0.3">
      <c r="A51" s="2">
        <v>24</v>
      </c>
      <c r="B51" s="2">
        <v>8.5262524468774679</v>
      </c>
      <c r="C51" s="2">
        <v>0.92416455312253198</v>
      </c>
    </row>
    <row r="52" spans="1:3" x14ac:dyDescent="0.3">
      <c r="A52" s="2">
        <v>25</v>
      </c>
      <c r="B52" s="2">
        <v>9.1199910628143535</v>
      </c>
      <c r="C52" s="2">
        <v>9.0038937185646262E-2</v>
      </c>
    </row>
    <row r="53" spans="1:3" x14ac:dyDescent="0.3">
      <c r="A53" s="2">
        <v>26</v>
      </c>
      <c r="B53" s="2">
        <v>9.6867506454995578</v>
      </c>
      <c r="C53" s="2">
        <v>-0.75512564549955741</v>
      </c>
    </row>
    <row r="54" spans="1:3" x14ac:dyDescent="0.3">
      <c r="A54" s="2">
        <v>27</v>
      </c>
      <c r="B54" s="2">
        <v>9.4626326012920785</v>
      </c>
      <c r="C54" s="2">
        <v>-0.43291460129207771</v>
      </c>
    </row>
    <row r="55" spans="1:3" x14ac:dyDescent="0.3">
      <c r="A55" s="2">
        <v>28</v>
      </c>
      <c r="B55" s="2">
        <v>9.5303814532989968</v>
      </c>
      <c r="C55" s="2">
        <v>-0.4298284532989971</v>
      </c>
    </row>
    <row r="56" spans="1:3" x14ac:dyDescent="0.3">
      <c r="A56" s="2">
        <v>29</v>
      </c>
      <c r="B56" s="2">
        <v>9.2374156934261755</v>
      </c>
      <c r="C56" s="2">
        <v>-0.30383669342617559</v>
      </c>
    </row>
    <row r="57" spans="1:3" x14ac:dyDescent="0.3">
      <c r="A57" s="2">
        <v>30</v>
      </c>
      <c r="B57" s="2">
        <v>8.7599078562228492</v>
      </c>
      <c r="C57" s="2">
        <v>1.6765143777151437E-2</v>
      </c>
    </row>
    <row r="58" spans="1:3" x14ac:dyDescent="0.3">
      <c r="A58" s="2">
        <v>31</v>
      </c>
      <c r="B58" s="2">
        <v>8.7519052028531625</v>
      </c>
      <c r="C58" s="2">
        <v>9.2534797146837988E-2</v>
      </c>
    </row>
    <row r="59" spans="1:3" x14ac:dyDescent="0.3">
      <c r="A59" s="2">
        <v>32</v>
      </c>
      <c r="B59" s="2">
        <v>8.7029591762372007</v>
      </c>
      <c r="C59" s="2">
        <v>-3.7215176237200609E-2</v>
      </c>
    </row>
    <row r="60" spans="1:3" x14ac:dyDescent="0.3">
      <c r="A60" s="2">
        <v>33</v>
      </c>
      <c r="B60" s="2">
        <v>8.4244119642360928</v>
      </c>
      <c r="C60" s="2">
        <v>-9.1751964236092221E-2</v>
      </c>
    </row>
    <row r="61" spans="1:3" x14ac:dyDescent="0.3">
      <c r="A61" s="2">
        <v>34</v>
      </c>
      <c r="B61" s="2">
        <v>8.5590386068340791</v>
      </c>
      <c r="C61" s="2">
        <v>-0.48783060683407875</v>
      </c>
    </row>
    <row r="62" spans="1:3" x14ac:dyDescent="0.3">
      <c r="A62" s="2">
        <v>35</v>
      </c>
      <c r="B62" s="2">
        <v>8.6659203578736772</v>
      </c>
      <c r="C62" s="2">
        <v>-0.9786773578736776</v>
      </c>
    </row>
    <row r="63" spans="1:3" x14ac:dyDescent="0.3">
      <c r="A63" s="2">
        <v>36</v>
      </c>
      <c r="B63" s="2">
        <v>8.224281296314075</v>
      </c>
      <c r="C63" s="2">
        <v>-0.64311829631407491</v>
      </c>
    </row>
    <row r="64" spans="1:3" x14ac:dyDescent="0.3">
      <c r="A64" s="2">
        <v>37</v>
      </c>
      <c r="B64" s="2">
        <v>8.1897993741153279</v>
      </c>
      <c r="C64" s="2">
        <v>-0.30128437411532794</v>
      </c>
    </row>
    <row r="65" spans="1:3" x14ac:dyDescent="0.3">
      <c r="A65" s="2">
        <v>38</v>
      </c>
      <c r="B65" s="2">
        <v>8.0175692134449896</v>
      </c>
      <c r="C65" s="2">
        <v>9.7404786555010503E-2</v>
      </c>
    </row>
    <row r="66" spans="1:3" x14ac:dyDescent="0.3">
      <c r="A66" s="2">
        <v>39</v>
      </c>
      <c r="B66" s="2">
        <v>7.5909000534998192</v>
      </c>
      <c r="C66" s="2">
        <v>0.96697194650018048</v>
      </c>
    </row>
    <row r="67" spans="1:3" x14ac:dyDescent="0.3">
      <c r="A67" s="2">
        <v>40</v>
      </c>
      <c r="B67" s="2">
        <v>7.4938045317234341</v>
      </c>
      <c r="C67" s="2">
        <v>1.3011704682765668</v>
      </c>
    </row>
    <row r="68" spans="1:3" x14ac:dyDescent="0.3">
      <c r="A68" s="2">
        <v>41</v>
      </c>
      <c r="B68" s="2">
        <v>7.7194772809080625</v>
      </c>
      <c r="C68" s="2">
        <v>1.1551187190919379</v>
      </c>
    </row>
    <row r="69" spans="1:3" x14ac:dyDescent="0.3">
      <c r="A69" s="2">
        <v>42</v>
      </c>
      <c r="B69" s="2">
        <v>8.0292276058075807</v>
      </c>
      <c r="C69" s="2">
        <v>0.41744639419241913</v>
      </c>
    </row>
    <row r="70" spans="1:3" x14ac:dyDescent="0.3">
      <c r="A70" s="2">
        <v>43</v>
      </c>
      <c r="B70" s="2">
        <v>8.3384746370207488</v>
      </c>
      <c r="C70" s="2">
        <v>-0.34763263702074898</v>
      </c>
    </row>
    <row r="71" spans="1:3" x14ac:dyDescent="0.3">
      <c r="A71" s="2">
        <v>44</v>
      </c>
      <c r="B71" s="2">
        <v>8.371163900344154</v>
      </c>
      <c r="C71" s="2">
        <v>-0.8163579003441539</v>
      </c>
    </row>
    <row r="72" spans="1:3" x14ac:dyDescent="0.3">
      <c r="A72" s="2">
        <v>45</v>
      </c>
      <c r="B72" s="2">
        <v>8.3738582437122595</v>
      </c>
      <c r="C72" s="2">
        <v>-1.4584202437122595</v>
      </c>
    </row>
    <row r="73" spans="1:3" x14ac:dyDescent="0.3">
      <c r="A73" s="2">
        <v>46</v>
      </c>
      <c r="B73" s="2">
        <v>7.9636427829998517</v>
      </c>
      <c r="C73" s="2">
        <v>-0.95725178299985192</v>
      </c>
    </row>
    <row r="74" spans="1:3" x14ac:dyDescent="0.3">
      <c r="A74" s="2">
        <v>47</v>
      </c>
      <c r="B74" s="2">
        <v>7.6676098533298607</v>
      </c>
      <c r="C74" s="2">
        <v>-0.6883198533298609</v>
      </c>
    </row>
    <row r="75" spans="1:3" x14ac:dyDescent="0.3">
      <c r="A75" s="2">
        <v>48</v>
      </c>
      <c r="B75" s="2">
        <v>7.2754819852797112</v>
      </c>
      <c r="C75" s="2">
        <v>-0.38750798527971142</v>
      </c>
    </row>
    <row r="76" spans="1:3" x14ac:dyDescent="0.3">
      <c r="A76" s="2">
        <v>49</v>
      </c>
      <c r="B76" s="2">
        <v>6.809398356391636</v>
      </c>
      <c r="C76" s="2">
        <v>0.13270964360836413</v>
      </c>
    </row>
    <row r="77" spans="1:3" x14ac:dyDescent="0.3">
      <c r="A77" s="2">
        <v>50</v>
      </c>
      <c r="B77" s="2">
        <v>6.739808129469413</v>
      </c>
      <c r="C77" s="2">
        <v>0.17470487053058736</v>
      </c>
    </row>
    <row r="78" spans="1:3" x14ac:dyDescent="0.3">
      <c r="A78" s="2">
        <v>51</v>
      </c>
      <c r="B78" s="2">
        <v>6.6216927658763147</v>
      </c>
      <c r="C78" s="2">
        <v>0.28777823412368519</v>
      </c>
    </row>
    <row r="79" spans="1:3" x14ac:dyDescent="0.3">
      <c r="A79" s="2">
        <v>52</v>
      </c>
      <c r="B79" s="2">
        <v>6.3829477974645101</v>
      </c>
      <c r="C79" s="2">
        <v>0.61024820253549006</v>
      </c>
    </row>
    <row r="80" spans="1:3" x14ac:dyDescent="0.3">
      <c r="A80" s="2">
        <v>53</v>
      </c>
      <c r="B80" s="2">
        <v>6.0613558069802451</v>
      </c>
      <c r="C80" s="2">
        <v>1.3562591930197545</v>
      </c>
    </row>
    <row r="81" spans="1:3" x14ac:dyDescent="0.3">
      <c r="A81" s="2">
        <v>54</v>
      </c>
      <c r="B81" s="2">
        <v>6.1999839554390661</v>
      </c>
      <c r="C81" s="2">
        <v>1.5259390445609338</v>
      </c>
    </row>
    <row r="82" spans="1:3" x14ac:dyDescent="0.3">
      <c r="A82" s="2">
        <v>55</v>
      </c>
      <c r="B82" s="2">
        <v>6.3642551352353145</v>
      </c>
      <c r="C82" s="2">
        <v>1.5635008647646851</v>
      </c>
    </row>
    <row r="83" spans="1:3" x14ac:dyDescent="0.3">
      <c r="A83" s="2">
        <v>56</v>
      </c>
      <c r="B83" s="2">
        <v>6.8133136703716062</v>
      </c>
      <c r="C83" s="2">
        <v>1.3080533296283932</v>
      </c>
    </row>
    <row r="84" spans="1:3" x14ac:dyDescent="0.3">
      <c r="A84" s="2">
        <v>57</v>
      </c>
      <c r="B84" s="2">
        <v>7.5819632418968226</v>
      </c>
      <c r="C84" s="2">
        <v>0.62803075810317743</v>
      </c>
    </row>
    <row r="85" spans="1:3" x14ac:dyDescent="0.3">
      <c r="A85" s="2">
        <v>58</v>
      </c>
      <c r="B85" s="2">
        <v>7.9168783726399816</v>
      </c>
      <c r="C85" s="2">
        <v>0.36407862736001917</v>
      </c>
    </row>
    <row r="86" spans="1:3" x14ac:dyDescent="0.3">
      <c r="A86" s="2">
        <v>59</v>
      </c>
      <c r="B86" s="2">
        <v>7.720292317967818</v>
      </c>
      <c r="C86" s="2">
        <v>0.66065968203218262</v>
      </c>
    </row>
    <row r="87" spans="1:3" x14ac:dyDescent="0.3">
      <c r="A87" s="2">
        <v>60</v>
      </c>
      <c r="B87" s="2">
        <v>7.6866338956858584</v>
      </c>
      <c r="C87" s="2">
        <v>0.76174710431414105</v>
      </c>
    </row>
    <row r="88" spans="1:3" x14ac:dyDescent="0.3">
      <c r="A88" s="2">
        <v>61</v>
      </c>
      <c r="B88" s="2">
        <v>7.6307794177969797</v>
      </c>
      <c r="C88" s="2">
        <v>0.7005385822030199</v>
      </c>
    </row>
    <row r="89" spans="1:3" x14ac:dyDescent="0.3">
      <c r="A89" s="2">
        <v>62</v>
      </c>
      <c r="B89" s="2">
        <v>7.8969069221521444</v>
      </c>
      <c r="C89" s="2">
        <v>0.40989107784785617</v>
      </c>
    </row>
    <row r="90" spans="1:3" x14ac:dyDescent="0.3">
      <c r="A90" s="2">
        <v>63</v>
      </c>
      <c r="B90" s="2">
        <v>8.1886711469910942</v>
      </c>
      <c r="C90" s="2">
        <v>-0.24681714699109403</v>
      </c>
    </row>
    <row r="91" spans="1:3" x14ac:dyDescent="0.3">
      <c r="A91" s="2">
        <v>64</v>
      </c>
      <c r="B91" s="2">
        <v>8.3875350689118555</v>
      </c>
      <c r="C91" s="2">
        <v>-0.53946806891185517</v>
      </c>
    </row>
    <row r="92" spans="1:3" x14ac:dyDescent="0.3">
      <c r="A92" s="2">
        <v>65</v>
      </c>
      <c r="B92" s="2">
        <v>8.2932683401192904</v>
      </c>
      <c r="C92" s="2">
        <v>-0.69347234011928993</v>
      </c>
    </row>
    <row r="93" spans="1:3" x14ac:dyDescent="0.3">
      <c r="A93" s="2">
        <v>66</v>
      </c>
      <c r="B93" s="2">
        <v>8.0820413907619617</v>
      </c>
      <c r="C93" s="2">
        <v>-0.86855939076196176</v>
      </c>
    </row>
    <row r="94" spans="1:3" x14ac:dyDescent="0.3">
      <c r="A94" s="2">
        <v>67</v>
      </c>
      <c r="B94" s="2">
        <v>7.6471782790497755</v>
      </c>
      <c r="C94" s="2">
        <v>-0.53870227904977597</v>
      </c>
    </row>
    <row r="95" spans="1:3" x14ac:dyDescent="0.3">
      <c r="A95" s="2">
        <v>68</v>
      </c>
      <c r="B95" s="2">
        <v>7.249467545026075</v>
      </c>
      <c r="C95" s="2">
        <v>-0.44182354502607524</v>
      </c>
    </row>
    <row r="96" spans="1:3" x14ac:dyDescent="0.3">
      <c r="A96" s="2">
        <v>69</v>
      </c>
      <c r="B96" s="2">
        <v>6.9897511394902203</v>
      </c>
      <c r="C96" s="2">
        <v>-0.37510713949022012</v>
      </c>
    </row>
    <row r="97" spans="1:3" x14ac:dyDescent="0.3">
      <c r="A97" s="2">
        <v>70</v>
      </c>
      <c r="B97" s="2">
        <v>6.6446923737332817</v>
      </c>
      <c r="C97" s="2">
        <v>-0.20467437373328146</v>
      </c>
    </row>
    <row r="98" spans="1:3" x14ac:dyDescent="0.3">
      <c r="A98" s="2">
        <v>71</v>
      </c>
      <c r="B98" s="2">
        <v>6.2769859117869657</v>
      </c>
      <c r="C98" s="2">
        <v>-8.8429117869655016E-3</v>
      </c>
    </row>
    <row r="99" spans="1:3" x14ac:dyDescent="0.3">
      <c r="A99" s="2">
        <v>72</v>
      </c>
      <c r="B99" s="2">
        <v>6.0808779137837341</v>
      </c>
      <c r="C99" s="2">
        <v>-1.7239137837341545E-3</v>
      </c>
    </row>
    <row r="100" spans="1:3" x14ac:dyDescent="0.3">
      <c r="A100" s="2">
        <v>73</v>
      </c>
      <c r="B100" s="2">
        <v>5.9477603791750546</v>
      </c>
      <c r="C100" s="2">
        <v>6.5474620824945262E-2</v>
      </c>
    </row>
    <row r="101" spans="1:3" x14ac:dyDescent="0.3">
      <c r="A101" s="2">
        <v>74</v>
      </c>
      <c r="B101" s="2">
        <v>5.858232409151416</v>
      </c>
      <c r="C101" s="2">
        <v>8.506859084858398E-2</v>
      </c>
    </row>
    <row r="102" spans="1:3" x14ac:dyDescent="0.3">
      <c r="A102" s="2">
        <v>75</v>
      </c>
      <c r="B102" s="2">
        <v>5.8119504166980995</v>
      </c>
      <c r="C102" s="2">
        <v>9.7685583301900358E-2</v>
      </c>
    </row>
    <row r="103" spans="1:3" x14ac:dyDescent="0.3">
      <c r="A103" s="2">
        <v>76</v>
      </c>
      <c r="B103" s="2">
        <v>5.7859413125787285</v>
      </c>
      <c r="C103" s="2">
        <v>-7.5963312578728015E-2</v>
      </c>
    </row>
    <row r="104" spans="1:3" x14ac:dyDescent="0.3">
      <c r="A104" s="2">
        <v>77</v>
      </c>
      <c r="B104" s="2">
        <v>5.6452191595232506</v>
      </c>
      <c r="C104" s="2">
        <v>-0.2277561595232509</v>
      </c>
    </row>
    <row r="105" spans="1:3" x14ac:dyDescent="0.3">
      <c r="A105" s="2">
        <v>78</v>
      </c>
      <c r="B105" s="2">
        <v>5.5335190784349706</v>
      </c>
      <c r="C105" s="2">
        <v>-0.49984207843497064</v>
      </c>
    </row>
    <row r="106" spans="1:3" x14ac:dyDescent="0.3">
      <c r="A106" s="2">
        <v>79</v>
      </c>
      <c r="B106" s="2">
        <v>5.3647181171643084</v>
      </c>
      <c r="C106" s="2">
        <v>-0.718162117164308</v>
      </c>
    </row>
    <row r="107" spans="1:3" x14ac:dyDescent="0.3">
      <c r="A107" s="2">
        <v>80</v>
      </c>
      <c r="B107" s="2">
        <v>4.8336450374106938</v>
      </c>
      <c r="C107" s="2">
        <v>-0.37698103741069389</v>
      </c>
    </row>
    <row r="108" spans="1:3" x14ac:dyDescent="0.3">
      <c r="A108" s="2">
        <v>81</v>
      </c>
      <c r="B108" s="2">
        <v>4.38974097683775</v>
      </c>
      <c r="C108" s="2">
        <v>-0.13713597683775003</v>
      </c>
    </row>
    <row r="109" spans="1:3" x14ac:dyDescent="0.3">
      <c r="A109" s="2">
        <v>82</v>
      </c>
      <c r="B109" s="2">
        <v>4.1090644188892362</v>
      </c>
      <c r="C109" s="2">
        <v>0.13823658111076398</v>
      </c>
    </row>
    <row r="110" spans="1:3" x14ac:dyDescent="0.3">
      <c r="A110" s="2">
        <v>83</v>
      </c>
      <c r="B110" s="2">
        <v>3.8524642692568385</v>
      </c>
      <c r="C110" s="2">
        <v>0.37512173074316113</v>
      </c>
    </row>
    <row r="111" spans="1:3" x14ac:dyDescent="0.3">
      <c r="A111" s="2">
        <v>84</v>
      </c>
      <c r="B111" s="2">
        <v>4.6582986353951554</v>
      </c>
      <c r="C111" s="2">
        <v>-0.24657863539515557</v>
      </c>
    </row>
    <row r="112" spans="1:3" x14ac:dyDescent="0.3">
      <c r="A112" s="2">
        <v>85</v>
      </c>
      <c r="B112" s="2">
        <v>5.2054357500191912</v>
      </c>
      <c r="C112" s="2">
        <v>-0.3000687500191912</v>
      </c>
    </row>
    <row r="113" spans="1:3" x14ac:dyDescent="0.3">
      <c r="A113" s="2">
        <v>86</v>
      </c>
      <c r="B113" s="2">
        <v>5.8645134778237029</v>
      </c>
      <c r="C113" s="2">
        <v>-0.25267847782370279</v>
      </c>
    </row>
    <row r="114" spans="1:3" x14ac:dyDescent="0.3">
      <c r="A114" s="2">
        <v>87</v>
      </c>
      <c r="B114" s="2">
        <v>6.0414854734220498</v>
      </c>
      <c r="C114" s="2">
        <v>0.22802952657795039</v>
      </c>
    </row>
    <row r="115" spans="1:3" x14ac:dyDescent="0.3">
      <c r="A115" s="2">
        <v>88</v>
      </c>
      <c r="B115" s="2">
        <v>5.3194802504163157</v>
      </c>
      <c r="C115" s="2">
        <v>1.4212377495836845</v>
      </c>
    </row>
    <row r="116" spans="1:3" x14ac:dyDescent="0.3">
      <c r="A116" s="2">
        <v>89</v>
      </c>
      <c r="B116" s="2">
        <v>5.3751149029203553</v>
      </c>
      <c r="C116" s="2">
        <v>1.504056097079645</v>
      </c>
    </row>
    <row r="117" spans="1:3" x14ac:dyDescent="0.3">
      <c r="A117" s="2">
        <v>90</v>
      </c>
      <c r="B117" s="2">
        <v>5.7755318186862112</v>
      </c>
      <c r="C117" s="2">
        <v>0.98290718131378885</v>
      </c>
    </row>
    <row r="118" spans="1:3" x14ac:dyDescent="0.3">
      <c r="A118" s="2">
        <v>91</v>
      </c>
      <c r="B118" s="2">
        <v>6.2846987732617379</v>
      </c>
      <c r="C118" s="2">
        <v>0.32965322673826236</v>
      </c>
    </row>
    <row r="119" spans="1:3" x14ac:dyDescent="0.3">
      <c r="A119" s="2">
        <v>92</v>
      </c>
      <c r="B119" s="2">
        <v>6.6634316769189716</v>
      </c>
      <c r="C119" s="2">
        <v>-0.30314067691897151</v>
      </c>
    </row>
    <row r="120" spans="1:3" x14ac:dyDescent="0.3">
      <c r="A120" s="2">
        <v>93</v>
      </c>
      <c r="B120" s="2">
        <v>6.6296877437925374</v>
      </c>
      <c r="C120" s="2">
        <v>-0.5438907437925371</v>
      </c>
    </row>
    <row r="121" spans="1:3" x14ac:dyDescent="0.3">
      <c r="A121" s="2">
        <v>94</v>
      </c>
      <c r="B121" s="2">
        <v>6.0061661299199187</v>
      </c>
      <c r="C121" s="2">
        <v>-0.23199412991991863</v>
      </c>
    </row>
    <row r="122" spans="1:3" x14ac:dyDescent="0.3">
      <c r="A122" s="2">
        <v>95</v>
      </c>
      <c r="B122" s="2">
        <v>5.5631675141598009</v>
      </c>
      <c r="C122" s="2">
        <v>-0.11057251415980129</v>
      </c>
    </row>
    <row r="123" spans="1:3" x14ac:dyDescent="0.3">
      <c r="A123" s="2">
        <v>96</v>
      </c>
      <c r="B123" s="2">
        <v>5.2943320353488801</v>
      </c>
      <c r="C123" s="2">
        <v>-0.11532803534888014</v>
      </c>
    </row>
    <row r="124" spans="1:3" x14ac:dyDescent="0.3">
      <c r="A124" s="2">
        <v>97</v>
      </c>
      <c r="B124" s="2">
        <v>5.230023667081845</v>
      </c>
      <c r="C124" s="2">
        <v>-0.17821166708184499</v>
      </c>
    </row>
    <row r="125" spans="1:3" x14ac:dyDescent="0.3">
      <c r="A125" s="2">
        <v>98</v>
      </c>
      <c r="B125" s="2">
        <v>5.1885413935723541</v>
      </c>
      <c r="C125" s="2">
        <v>-0.23162239357235404</v>
      </c>
    </row>
    <row r="126" spans="1:3" x14ac:dyDescent="0.3">
      <c r="A126" s="2">
        <v>99</v>
      </c>
      <c r="B126" s="2">
        <v>4.961181109345624</v>
      </c>
      <c r="C126" s="2">
        <v>-2.7433109345624374E-2</v>
      </c>
    </row>
    <row r="127" spans="1:3" x14ac:dyDescent="0.3">
      <c r="A127" s="2">
        <v>100</v>
      </c>
      <c r="B127" s="2">
        <v>4.6934948786759136</v>
      </c>
      <c r="C127" s="2">
        <v>0.23488012132408631</v>
      </c>
    </row>
    <row r="128" spans="1:3" x14ac:dyDescent="0.3">
      <c r="A128" s="2">
        <v>101</v>
      </c>
      <c r="B128" s="2">
        <v>4.7084076177186205</v>
      </c>
      <c r="C128" s="2">
        <v>9.3275382281379215E-2</v>
      </c>
    </row>
    <row r="129" spans="1:3" x14ac:dyDescent="0.3">
      <c r="A129" s="2">
        <v>102</v>
      </c>
      <c r="B129" s="2">
        <v>4.8487502628262362</v>
      </c>
      <c r="C129" s="2">
        <v>-0.12950926282623598</v>
      </c>
    </row>
    <row r="130" spans="1:3" x14ac:dyDescent="0.3">
      <c r="A130" s="2">
        <v>103</v>
      </c>
      <c r="B130" s="2">
        <v>5.0012303475325872</v>
      </c>
      <c r="C130" s="2">
        <v>-0.33654334753258741</v>
      </c>
    </row>
    <row r="131" spans="1:3" x14ac:dyDescent="0.3">
      <c r="A131" s="2">
        <v>104</v>
      </c>
      <c r="B131" s="2">
        <v>5.0924862420158412</v>
      </c>
      <c r="C131" s="2">
        <v>-0.54656224201584092</v>
      </c>
    </row>
    <row r="132" spans="1:3" x14ac:dyDescent="0.3">
      <c r="A132" s="2">
        <v>105</v>
      </c>
      <c r="B132" s="2">
        <v>4.8555965199548652</v>
      </c>
      <c r="C132" s="2">
        <v>-0.36971951995486485</v>
      </c>
    </row>
    <row r="133" spans="1:3" x14ac:dyDescent="0.3">
      <c r="A133" s="2">
        <v>106</v>
      </c>
      <c r="B133" s="2">
        <v>4.6215733691649135</v>
      </c>
      <c r="C133" s="2">
        <v>-0.20676936916491329</v>
      </c>
    </row>
    <row r="134" spans="1:3" x14ac:dyDescent="0.3">
      <c r="A134" s="2">
        <v>107</v>
      </c>
      <c r="B134" s="2">
        <v>4.4329202518597235</v>
      </c>
      <c r="C134" s="2">
        <v>-6.4818251859723119E-2</v>
      </c>
    </row>
    <row r="135" spans="1:3" x14ac:dyDescent="0.3">
      <c r="A135" s="2">
        <v>108</v>
      </c>
      <c r="B135" s="2">
        <v>4.5424924003352807</v>
      </c>
      <c r="C135" s="2">
        <v>-0.17149940033528033</v>
      </c>
    </row>
    <row r="136" spans="1:3" x14ac:dyDescent="0.3">
      <c r="A136" s="2">
        <v>109</v>
      </c>
      <c r="B136" s="2">
        <v>4.8099443994928244</v>
      </c>
      <c r="C136" s="2">
        <v>-0.5394663994928246</v>
      </c>
    </row>
    <row r="137" spans="1:3" x14ac:dyDescent="0.3">
      <c r="A137" s="2">
        <v>110</v>
      </c>
      <c r="B137" s="2">
        <v>4.6794568329219253</v>
      </c>
      <c r="C137" s="2">
        <v>-0.46244683292192512</v>
      </c>
    </row>
    <row r="138" spans="1:3" x14ac:dyDescent="0.3">
      <c r="A138" s="2">
        <v>111</v>
      </c>
      <c r="B138" s="2">
        <v>4.7127835620803538</v>
      </c>
      <c r="C138" s="2">
        <v>-0.61030356208035386</v>
      </c>
    </row>
    <row r="139" spans="1:3" x14ac:dyDescent="0.3">
      <c r="A139" s="2">
        <v>112</v>
      </c>
      <c r="B139" s="2">
        <v>4.602924196304599</v>
      </c>
      <c r="C139" s="2">
        <v>-0.66240919630459905</v>
      </c>
    </row>
    <row r="140" spans="1:3" x14ac:dyDescent="0.3">
      <c r="A140" s="2">
        <v>113</v>
      </c>
      <c r="B140" s="2">
        <v>4.2814107393502496</v>
      </c>
      <c r="C140" s="2">
        <v>-0.34237173935024945</v>
      </c>
    </row>
    <row r="141" spans="1:3" x14ac:dyDescent="0.3">
      <c r="A141" s="2">
        <v>114</v>
      </c>
      <c r="B141" s="2">
        <v>4.2358893005458178</v>
      </c>
      <c r="C141" s="2">
        <v>-0.43638830054581801</v>
      </c>
    </row>
    <row r="142" spans="1:3" x14ac:dyDescent="0.3">
      <c r="A142" s="2">
        <v>115</v>
      </c>
      <c r="B142" s="2">
        <v>4.185767639962517</v>
      </c>
      <c r="C142" s="2">
        <v>-0.44273863996251706</v>
      </c>
    </row>
    <row r="143" spans="1:3" x14ac:dyDescent="0.3">
      <c r="A143" s="2">
        <v>116</v>
      </c>
      <c r="B143" s="2">
        <v>4.0140864800999481</v>
      </c>
      <c r="C143" s="2">
        <v>-0.37479248009994803</v>
      </c>
    </row>
    <row r="144" spans="1:3" x14ac:dyDescent="0.3">
      <c r="A144" s="2">
        <v>117</v>
      </c>
      <c r="B144" s="2">
        <v>3.8568821408461957</v>
      </c>
      <c r="C144" s="2">
        <v>-0.21909914084619553</v>
      </c>
    </row>
    <row r="145" spans="1:3" x14ac:dyDescent="0.3">
      <c r="A145" s="2">
        <v>118</v>
      </c>
      <c r="B145" s="2">
        <v>3.8528635982758992</v>
      </c>
      <c r="C145" s="2">
        <v>-0.18034259827589905</v>
      </c>
    </row>
    <row r="146" spans="1:3" ht="15" thickBot="1" x14ac:dyDescent="0.35">
      <c r="A146" s="3">
        <v>119</v>
      </c>
      <c r="B146" s="3">
        <v>3.7701489520434066</v>
      </c>
      <c r="C146" s="3">
        <v>-7.423295204340663E-2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3983-FB4B-4B80-8D2D-A851844FA6D6}">
  <dimension ref="A1:P124"/>
  <sheetViews>
    <sheetView topLeftCell="A6" workbookViewId="0">
      <selection activeCell="P6" sqref="P6:P124"/>
    </sheetView>
  </sheetViews>
  <sheetFormatPr defaultRowHeight="14.4" x14ac:dyDescent="0.3"/>
  <cols>
    <col min="1" max="1" width="8.77734375" bestFit="1" customWidth="1"/>
    <col min="2" max="2" width="7" bestFit="1" customWidth="1"/>
    <col min="3" max="3" width="6.33203125" bestFit="1" customWidth="1"/>
    <col min="4" max="4" width="6" bestFit="1" customWidth="1"/>
    <col min="5" max="5" width="7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6</v>
      </c>
      <c r="B2">
        <v>1987.1</v>
      </c>
      <c r="C2">
        <v>2627</v>
      </c>
      <c r="D2">
        <v>35.85</v>
      </c>
      <c r="E2">
        <v>412387</v>
      </c>
      <c r="F2">
        <v>7.8389740000000003</v>
      </c>
      <c r="G2">
        <v>111.8</v>
      </c>
      <c r="H2">
        <v>7.1954098360655703</v>
      </c>
      <c r="L2">
        <v>7.8389740000000003</v>
      </c>
      <c r="N2">
        <v>7.1954098360655703</v>
      </c>
    </row>
    <row r="3" spans="1:16" x14ac:dyDescent="0.3">
      <c r="A3" t="s">
        <v>6</v>
      </c>
      <c r="B3">
        <v>1987.2</v>
      </c>
      <c r="C3">
        <v>1286</v>
      </c>
      <c r="D3">
        <v>36.520000000000003</v>
      </c>
      <c r="E3">
        <v>413673</v>
      </c>
      <c r="F3">
        <v>7.8726609999999999</v>
      </c>
      <c r="G3">
        <v>113.066666666667</v>
      </c>
      <c r="H3">
        <v>8.3426984126984092</v>
      </c>
      <c r="L3">
        <v>7.8726609999999999</v>
      </c>
      <c r="N3">
        <v>8.3426984126984092</v>
      </c>
    </row>
    <row r="4" spans="1:16" x14ac:dyDescent="0.3">
      <c r="A4" t="s">
        <v>6</v>
      </c>
      <c r="B4">
        <v>1987.3</v>
      </c>
      <c r="C4">
        <v>3334</v>
      </c>
      <c r="D4">
        <v>37.020000000000003</v>
      </c>
      <c r="E4">
        <v>417007</v>
      </c>
      <c r="F4">
        <v>7.8685780000000003</v>
      </c>
      <c r="G4">
        <v>114.26666666666701</v>
      </c>
      <c r="H4">
        <v>8.8696874999999995</v>
      </c>
      <c r="L4">
        <v>7.8685780000000003</v>
      </c>
      <c r="N4">
        <v>8.8696874999999995</v>
      </c>
    </row>
    <row r="5" spans="1:16" x14ac:dyDescent="0.3">
      <c r="A5" t="s">
        <v>6</v>
      </c>
      <c r="B5">
        <v>1987.4</v>
      </c>
      <c r="C5">
        <v>5300</v>
      </c>
      <c r="D5">
        <v>37.020000000000003</v>
      </c>
      <c r="E5">
        <v>422307</v>
      </c>
      <c r="F5">
        <v>7.605213</v>
      </c>
      <c r="G5">
        <v>115.333333333333</v>
      </c>
      <c r="H5">
        <v>9.1290322580645196</v>
      </c>
      <c r="L5">
        <v>7.605213</v>
      </c>
      <c r="N5">
        <v>9.1290322580645196</v>
      </c>
    </row>
    <row r="6" spans="1:16" x14ac:dyDescent="0.3">
      <c r="A6" t="s">
        <v>6</v>
      </c>
      <c r="B6">
        <v>1988.1</v>
      </c>
      <c r="C6">
        <v>3826</v>
      </c>
      <c r="D6">
        <v>37.770000000000003</v>
      </c>
      <c r="E6">
        <v>426133</v>
      </c>
      <c r="F6">
        <v>7.5545410000000004</v>
      </c>
      <c r="G6">
        <v>116.23333333333299</v>
      </c>
      <c r="H6">
        <v>8.4109677419354902</v>
      </c>
      <c r="L6">
        <v>7.5545410000000004</v>
      </c>
      <c r="M6">
        <f>F2</f>
        <v>7.8389740000000003</v>
      </c>
      <c r="N6">
        <v>8.4109677419354902</v>
      </c>
      <c r="O6">
        <f>D6/D2</f>
        <v>1.0535564853556485</v>
      </c>
      <c r="P6">
        <f>G6/G2</f>
        <v>1.039654144305304</v>
      </c>
    </row>
    <row r="7" spans="1:16" x14ac:dyDescent="0.3">
      <c r="A7" t="s">
        <v>6</v>
      </c>
      <c r="B7">
        <v>1988.2</v>
      </c>
      <c r="C7">
        <v>2201</v>
      </c>
      <c r="D7">
        <v>38.270000000000003</v>
      </c>
      <c r="E7">
        <v>428334</v>
      </c>
      <c r="F7">
        <v>7.4162249999999998</v>
      </c>
      <c r="G7">
        <v>117.566666666667</v>
      </c>
      <c r="H7">
        <v>8.9128571428571401</v>
      </c>
      <c r="L7">
        <v>7.4162249999999998</v>
      </c>
      <c r="M7">
        <f>F3</f>
        <v>7.8726609999999999</v>
      </c>
      <c r="N7">
        <v>8.9128571428571401</v>
      </c>
      <c r="O7">
        <f>D7/D3</f>
        <v>1.0479189485213583</v>
      </c>
      <c r="P7">
        <f>G7/G3</f>
        <v>1.0397995283018866</v>
      </c>
    </row>
    <row r="8" spans="1:16" x14ac:dyDescent="0.3">
      <c r="A8" t="s">
        <v>6</v>
      </c>
      <c r="B8">
        <v>1988.3</v>
      </c>
      <c r="C8">
        <v>1771</v>
      </c>
      <c r="D8">
        <v>38.33</v>
      </c>
      <c r="E8">
        <v>430105</v>
      </c>
      <c r="F8">
        <v>7.2506389999999996</v>
      </c>
      <c r="G8">
        <v>119</v>
      </c>
      <c r="H8">
        <v>9.1035937499999999</v>
      </c>
      <c r="L8">
        <v>7.2506389999999996</v>
      </c>
      <c r="M8">
        <f>F4</f>
        <v>7.8685780000000003</v>
      </c>
      <c r="N8">
        <v>9.1035937499999999</v>
      </c>
      <c r="O8">
        <f>D8/D4</f>
        <v>1.0353862776877363</v>
      </c>
      <c r="P8">
        <f>G8/G4</f>
        <v>1.041423570595096</v>
      </c>
    </row>
    <row r="9" spans="1:16" x14ac:dyDescent="0.3">
      <c r="A9" t="s">
        <v>6</v>
      </c>
      <c r="B9">
        <v>1988.4</v>
      </c>
      <c r="C9">
        <v>2673</v>
      </c>
      <c r="D9">
        <v>38.17</v>
      </c>
      <c r="E9">
        <v>432778</v>
      </c>
      <c r="F9">
        <v>7.300046</v>
      </c>
      <c r="G9">
        <v>120.3</v>
      </c>
      <c r="H9">
        <v>8.9570491803278696</v>
      </c>
      <c r="L9">
        <v>7.300046</v>
      </c>
      <c r="M9">
        <f>F5</f>
        <v>7.605213</v>
      </c>
      <c r="N9">
        <v>8.9570491803278696</v>
      </c>
      <c r="O9">
        <f>D9/D5</f>
        <v>1.0310642895732036</v>
      </c>
      <c r="P9">
        <f>G9/G5</f>
        <v>1.0430635838150319</v>
      </c>
    </row>
    <row r="10" spans="1:16" x14ac:dyDescent="0.3">
      <c r="A10" t="s">
        <v>6</v>
      </c>
      <c r="B10">
        <v>1989.1</v>
      </c>
      <c r="C10">
        <v>2067</v>
      </c>
      <c r="D10">
        <v>37.47</v>
      </c>
      <c r="E10">
        <v>434845</v>
      </c>
      <c r="F10">
        <v>6.8579800000000004</v>
      </c>
      <c r="G10">
        <v>121.666666666667</v>
      </c>
      <c r="H10">
        <v>9.2116393442623004</v>
      </c>
      <c r="L10">
        <v>6.8579800000000004</v>
      </c>
      <c r="M10">
        <f>F6</f>
        <v>7.5545410000000004</v>
      </c>
      <c r="N10">
        <v>9.2116393442623004</v>
      </c>
      <c r="O10">
        <f>D10/D6</f>
        <v>0.99205718824463851</v>
      </c>
      <c r="P10">
        <f>G10/G6</f>
        <v>1.0467450530542073</v>
      </c>
    </row>
    <row r="11" spans="1:16" x14ac:dyDescent="0.3">
      <c r="A11" t="s">
        <v>6</v>
      </c>
      <c r="B11">
        <v>1989.2</v>
      </c>
      <c r="C11">
        <v>4499</v>
      </c>
      <c r="D11">
        <v>36.880000000000003</v>
      </c>
      <c r="E11">
        <v>439344</v>
      </c>
      <c r="F11">
        <v>6.6192659999999997</v>
      </c>
      <c r="G11">
        <v>123.633333333333</v>
      </c>
      <c r="H11">
        <v>8.7579687499999999</v>
      </c>
      <c r="L11">
        <v>6.6192659999999997</v>
      </c>
      <c r="M11">
        <f>F7</f>
        <v>7.4162249999999998</v>
      </c>
      <c r="N11">
        <v>8.7579687499999999</v>
      </c>
      <c r="O11">
        <f>D11/D7</f>
        <v>0.9636791220276979</v>
      </c>
      <c r="P11">
        <f>G11/G7</f>
        <v>1.0516019279841167</v>
      </c>
    </row>
    <row r="12" spans="1:16" x14ac:dyDescent="0.3">
      <c r="A12" t="s">
        <v>6</v>
      </c>
      <c r="B12">
        <v>1989.3</v>
      </c>
      <c r="C12">
        <v>1020</v>
      </c>
      <c r="D12">
        <v>36.729999999999997</v>
      </c>
      <c r="E12">
        <v>440364</v>
      </c>
      <c r="F12">
        <v>6.4492589999999996</v>
      </c>
      <c r="G12">
        <v>124.6</v>
      </c>
      <c r="H12">
        <v>8.1074603174603208</v>
      </c>
      <c r="L12">
        <v>6.4492589999999996</v>
      </c>
      <c r="M12">
        <f>F8</f>
        <v>7.2506389999999996</v>
      </c>
      <c r="N12">
        <v>8.1074603174603208</v>
      </c>
      <c r="O12">
        <f>D12/D8</f>
        <v>0.95825723975997912</v>
      </c>
      <c r="P12">
        <f>G12/G8</f>
        <v>1.0470588235294118</v>
      </c>
    </row>
    <row r="13" spans="1:16" x14ac:dyDescent="0.3">
      <c r="A13" t="s">
        <v>6</v>
      </c>
      <c r="B13">
        <v>1989.4</v>
      </c>
      <c r="C13">
        <v>4925</v>
      </c>
      <c r="D13">
        <v>36.840000000000003</v>
      </c>
      <c r="E13">
        <v>445289</v>
      </c>
      <c r="F13">
        <v>6.1680979999999996</v>
      </c>
      <c r="G13">
        <v>125.866666666667</v>
      </c>
      <c r="H13">
        <v>7.9070967741935503</v>
      </c>
      <c r="L13">
        <v>6.1680979999999996</v>
      </c>
      <c r="M13">
        <f>F9</f>
        <v>7.300046</v>
      </c>
      <c r="N13">
        <v>7.9070967741935503</v>
      </c>
      <c r="O13">
        <f>D13/D9</f>
        <v>0.96515588158239463</v>
      </c>
      <c r="P13">
        <f>G13/G9</f>
        <v>1.0462732058742061</v>
      </c>
    </row>
    <row r="14" spans="1:16" x14ac:dyDescent="0.3">
      <c r="A14" t="s">
        <v>6</v>
      </c>
      <c r="B14">
        <v>1990.1</v>
      </c>
      <c r="C14">
        <v>2236</v>
      </c>
      <c r="D14">
        <v>37.049999999999997</v>
      </c>
      <c r="E14">
        <v>447525</v>
      </c>
      <c r="F14">
        <v>6.2663760000000002</v>
      </c>
      <c r="G14">
        <v>128.03333333333299</v>
      </c>
      <c r="H14">
        <v>8.4238709677419301</v>
      </c>
      <c r="L14">
        <v>6.2663760000000002</v>
      </c>
      <c r="M14">
        <f>F10</f>
        <v>6.8579800000000004</v>
      </c>
      <c r="N14">
        <v>8.4238709677419301</v>
      </c>
      <c r="O14">
        <f>D14/D10</f>
        <v>0.98879103282626102</v>
      </c>
      <c r="P14">
        <f>G14/G10</f>
        <v>1.0523287671232819</v>
      </c>
    </row>
    <row r="15" spans="1:16" x14ac:dyDescent="0.3">
      <c r="A15" t="s">
        <v>6</v>
      </c>
      <c r="B15">
        <v>1990.2</v>
      </c>
      <c r="C15">
        <v>3414</v>
      </c>
      <c r="D15">
        <v>37.21</v>
      </c>
      <c r="E15">
        <v>450939</v>
      </c>
      <c r="F15">
        <v>6.289574</v>
      </c>
      <c r="G15">
        <v>129.30000000000001</v>
      </c>
      <c r="H15">
        <v>8.6741269841269801</v>
      </c>
      <c r="L15">
        <v>6.289574</v>
      </c>
      <c r="M15">
        <f>F11</f>
        <v>6.6192659999999997</v>
      </c>
      <c r="N15">
        <v>8.6741269841269801</v>
      </c>
      <c r="O15">
        <f>D15/D11</f>
        <v>1.0089479392624729</v>
      </c>
      <c r="P15">
        <f>G15/G11</f>
        <v>1.0458344567268836</v>
      </c>
    </row>
    <row r="16" spans="1:16" x14ac:dyDescent="0.3">
      <c r="A16" t="s">
        <v>6</v>
      </c>
      <c r="B16">
        <v>1990.3</v>
      </c>
      <c r="C16">
        <v>1614</v>
      </c>
      <c r="D16">
        <v>37.26</v>
      </c>
      <c r="E16">
        <v>452553</v>
      </c>
      <c r="F16">
        <v>6.1920520000000003</v>
      </c>
      <c r="G16">
        <v>131.53333333333299</v>
      </c>
      <c r="H16">
        <v>8.7012698412698395</v>
      </c>
      <c r="L16">
        <v>6.1920520000000003</v>
      </c>
      <c r="M16">
        <f>F12</f>
        <v>6.4492589999999996</v>
      </c>
      <c r="N16">
        <v>8.7012698412698395</v>
      </c>
      <c r="O16">
        <f>D16/D12</f>
        <v>1.0144296215627553</v>
      </c>
      <c r="P16">
        <f>G16/G12</f>
        <v>1.0556447298020304</v>
      </c>
    </row>
    <row r="17" spans="1:16" x14ac:dyDescent="0.3">
      <c r="A17" t="s">
        <v>6</v>
      </c>
      <c r="B17">
        <v>1990.4</v>
      </c>
      <c r="C17">
        <v>44</v>
      </c>
      <c r="D17">
        <v>37.31</v>
      </c>
      <c r="E17">
        <v>452597</v>
      </c>
      <c r="F17">
        <v>6.4108159999999996</v>
      </c>
      <c r="G17">
        <v>133.76666666666699</v>
      </c>
      <c r="H17">
        <v>8.4059677419354895</v>
      </c>
      <c r="L17">
        <v>6.4108159999999996</v>
      </c>
      <c r="M17">
        <f>F13</f>
        <v>6.1680979999999996</v>
      </c>
      <c r="N17">
        <v>8.4059677419354895</v>
      </c>
      <c r="O17">
        <f>D17/D13</f>
        <v>1.0127578718783929</v>
      </c>
      <c r="P17">
        <f>G17/G13</f>
        <v>1.0627648305084743</v>
      </c>
    </row>
    <row r="18" spans="1:16" x14ac:dyDescent="0.3">
      <c r="A18" t="s">
        <v>6</v>
      </c>
      <c r="B18">
        <v>1991.1</v>
      </c>
      <c r="C18">
        <v>259</v>
      </c>
      <c r="D18">
        <v>37.43</v>
      </c>
      <c r="E18">
        <v>452856</v>
      </c>
      <c r="F18">
        <v>6.6674569999999997</v>
      </c>
      <c r="G18">
        <v>134.76666666666699</v>
      </c>
      <c r="H18">
        <v>8.0231666666666595</v>
      </c>
      <c r="L18">
        <v>6.6674569999999997</v>
      </c>
      <c r="M18">
        <f>F14</f>
        <v>6.2663760000000002</v>
      </c>
      <c r="N18">
        <v>8.0231666666666595</v>
      </c>
      <c r="O18">
        <f>D18/D14</f>
        <v>1.0102564102564102</v>
      </c>
      <c r="P18">
        <f>G18/G14</f>
        <v>1.0525904712314555</v>
      </c>
    </row>
    <row r="19" spans="1:16" x14ac:dyDescent="0.3">
      <c r="A19" t="s">
        <v>6</v>
      </c>
      <c r="B19">
        <v>1991.2</v>
      </c>
      <c r="C19">
        <v>834</v>
      </c>
      <c r="D19">
        <v>37.39</v>
      </c>
      <c r="E19">
        <v>453690</v>
      </c>
      <c r="F19">
        <v>7.0529500000000001</v>
      </c>
      <c r="G19">
        <v>135.566666666667</v>
      </c>
      <c r="H19">
        <v>8.1254687499999996</v>
      </c>
      <c r="L19">
        <v>7.0529500000000001</v>
      </c>
      <c r="M19">
        <f>F15</f>
        <v>6.289574</v>
      </c>
      <c r="N19">
        <v>8.1254687499999996</v>
      </c>
      <c r="O19">
        <f>D19/D15</f>
        <v>1.0048374092985757</v>
      </c>
      <c r="P19">
        <f>G19/G15</f>
        <v>1.0484660995101855</v>
      </c>
    </row>
    <row r="20" spans="1:16" x14ac:dyDescent="0.3">
      <c r="A20" t="s">
        <v>6</v>
      </c>
      <c r="B20">
        <v>1991.3</v>
      </c>
      <c r="C20">
        <v>0</v>
      </c>
      <c r="D20">
        <v>37.01</v>
      </c>
      <c r="E20">
        <v>453690</v>
      </c>
      <c r="F20">
        <v>7.4170600000000002</v>
      </c>
      <c r="G20">
        <v>136.6</v>
      </c>
      <c r="H20">
        <v>7.95</v>
      </c>
      <c r="L20">
        <v>7.4170600000000002</v>
      </c>
      <c r="M20">
        <f>F16</f>
        <v>6.1920520000000003</v>
      </c>
      <c r="N20">
        <v>7.95</v>
      </c>
      <c r="O20">
        <f>D20/D16</f>
        <v>0.99329039184111645</v>
      </c>
      <c r="P20">
        <f>G20/G16</f>
        <v>1.0385200202736975</v>
      </c>
    </row>
    <row r="21" spans="1:16" x14ac:dyDescent="0.3">
      <c r="A21" t="s">
        <v>6</v>
      </c>
      <c r="B21">
        <v>1991.4</v>
      </c>
      <c r="C21">
        <v>430</v>
      </c>
      <c r="D21">
        <v>36.020000000000003</v>
      </c>
      <c r="E21">
        <v>454120</v>
      </c>
      <c r="F21">
        <v>7.777768</v>
      </c>
      <c r="G21">
        <v>137.73333333333301</v>
      </c>
      <c r="H21">
        <v>7.3449999999999998</v>
      </c>
      <c r="L21">
        <v>7.777768</v>
      </c>
      <c r="M21">
        <f>F17</f>
        <v>6.4108159999999996</v>
      </c>
      <c r="N21">
        <v>7.3449999999999998</v>
      </c>
      <c r="O21">
        <f>D21/D17</f>
        <v>0.96542481908335565</v>
      </c>
      <c r="P21">
        <f>G21/G17</f>
        <v>1.0296536257164166</v>
      </c>
    </row>
    <row r="22" spans="1:16" x14ac:dyDescent="0.3">
      <c r="A22" t="s">
        <v>6</v>
      </c>
      <c r="B22">
        <v>1992.1</v>
      </c>
      <c r="C22">
        <v>0</v>
      </c>
      <c r="D22">
        <v>35.43</v>
      </c>
      <c r="E22">
        <v>454120</v>
      </c>
      <c r="F22">
        <v>7.9037759999999997</v>
      </c>
      <c r="G22">
        <v>138.666666666667</v>
      </c>
      <c r="H22">
        <v>7.3069354838709701</v>
      </c>
      <c r="L22">
        <v>7.9037759999999997</v>
      </c>
      <c r="M22">
        <f>F18</f>
        <v>6.6674569999999997</v>
      </c>
      <c r="N22">
        <v>7.3069354838709701</v>
      </c>
      <c r="O22">
        <f>D22/D18</f>
        <v>0.9465669249265295</v>
      </c>
      <c r="P22">
        <f>G22/G18</f>
        <v>1.0289389067524115</v>
      </c>
    </row>
    <row r="23" spans="1:16" x14ac:dyDescent="0.3">
      <c r="A23" t="s">
        <v>6</v>
      </c>
      <c r="B23">
        <v>1992.2</v>
      </c>
      <c r="C23">
        <v>1934</v>
      </c>
      <c r="D23">
        <v>34.29</v>
      </c>
      <c r="E23">
        <v>456054</v>
      </c>
      <c r="F23">
        <v>8.2142999999999997</v>
      </c>
      <c r="G23">
        <v>139.73333333333301</v>
      </c>
      <c r="H23">
        <v>7.3760317460317504</v>
      </c>
      <c r="L23">
        <v>8.2142999999999997</v>
      </c>
      <c r="M23">
        <f>F19</f>
        <v>7.0529500000000001</v>
      </c>
      <c r="N23">
        <v>7.3760317460317504</v>
      </c>
      <c r="O23">
        <f>D23/D19</f>
        <v>0.91709013105108317</v>
      </c>
      <c r="P23">
        <f>G23/G19</f>
        <v>1.0307351856405162</v>
      </c>
    </row>
    <row r="24" spans="1:16" x14ac:dyDescent="0.3">
      <c r="A24" t="s">
        <v>6</v>
      </c>
      <c r="B24">
        <v>1992.3</v>
      </c>
      <c r="C24">
        <v>0</v>
      </c>
      <c r="D24">
        <v>33.049999999999997</v>
      </c>
      <c r="E24">
        <v>456054</v>
      </c>
      <c r="F24">
        <v>8.5225860000000004</v>
      </c>
      <c r="G24">
        <v>140.80000000000001</v>
      </c>
      <c r="H24">
        <v>6.6187500000000004</v>
      </c>
      <c r="L24">
        <v>8.5225860000000004</v>
      </c>
      <c r="M24">
        <f>F20</f>
        <v>7.4170600000000002</v>
      </c>
      <c r="N24">
        <v>6.6187500000000004</v>
      </c>
      <c r="O24">
        <f>D24/D20</f>
        <v>0.89300189138070785</v>
      </c>
      <c r="P24">
        <f>G24/G20</f>
        <v>1.0307467057101025</v>
      </c>
    </row>
    <row r="25" spans="1:16" x14ac:dyDescent="0.3">
      <c r="A25" t="s">
        <v>6</v>
      </c>
      <c r="B25">
        <v>1992.4</v>
      </c>
      <c r="C25">
        <v>2457</v>
      </c>
      <c r="D25">
        <v>33.020000000000003</v>
      </c>
      <c r="E25">
        <v>458511</v>
      </c>
      <c r="F25">
        <v>9.0134270000000001</v>
      </c>
      <c r="G25">
        <v>142.03333333333299</v>
      </c>
      <c r="H25">
        <v>6.7403225806451603</v>
      </c>
      <c r="L25">
        <v>9.0134270000000001</v>
      </c>
      <c r="M25">
        <f>F21</f>
        <v>7.777768</v>
      </c>
      <c r="N25">
        <v>6.7403225806451603</v>
      </c>
      <c r="O25">
        <f>D25/D21</f>
        <v>0.91671293725707936</v>
      </c>
      <c r="P25">
        <f>G25/G21</f>
        <v>1.0312197483059051</v>
      </c>
    </row>
    <row r="26" spans="1:16" x14ac:dyDescent="0.3">
      <c r="A26" t="s">
        <v>6</v>
      </c>
      <c r="B26">
        <v>1993.1</v>
      </c>
      <c r="C26">
        <v>0</v>
      </c>
      <c r="D26">
        <v>33.5</v>
      </c>
      <c r="E26">
        <v>458511</v>
      </c>
      <c r="F26">
        <v>9.5206890000000008</v>
      </c>
      <c r="G26">
        <v>143.066666666667</v>
      </c>
      <c r="H26">
        <v>6.25819672131147</v>
      </c>
      <c r="L26">
        <v>9.5206890000000008</v>
      </c>
      <c r="M26">
        <f>F22</f>
        <v>7.9037759999999997</v>
      </c>
      <c r="N26">
        <v>6.25819672131147</v>
      </c>
      <c r="O26">
        <f>D26/D22</f>
        <v>0.94552639006491679</v>
      </c>
      <c r="P26">
        <f>G26/G22</f>
        <v>1.0317307692307691</v>
      </c>
    </row>
    <row r="27" spans="1:16" x14ac:dyDescent="0.3">
      <c r="A27" t="s">
        <v>6</v>
      </c>
      <c r="B27">
        <v>1993.2</v>
      </c>
      <c r="C27">
        <v>0</v>
      </c>
      <c r="D27">
        <v>34.57</v>
      </c>
      <c r="E27">
        <v>458511</v>
      </c>
      <c r="F27">
        <v>9.8469820000000006</v>
      </c>
      <c r="G27">
        <v>144.1</v>
      </c>
      <c r="H27">
        <v>5.9880952380952399</v>
      </c>
      <c r="L27">
        <v>9.8469820000000006</v>
      </c>
      <c r="M27">
        <f>F23</f>
        <v>8.2142999999999997</v>
      </c>
      <c r="N27">
        <v>5.9880952380952399</v>
      </c>
      <c r="O27">
        <f>D27/D23</f>
        <v>1.0081656459609216</v>
      </c>
      <c r="P27">
        <f>G27/G23</f>
        <v>1.0312500000000024</v>
      </c>
    </row>
    <row r="28" spans="1:16" x14ac:dyDescent="0.3">
      <c r="A28" t="s">
        <v>6</v>
      </c>
      <c r="B28">
        <v>1993.3</v>
      </c>
      <c r="C28">
        <v>0</v>
      </c>
      <c r="D28">
        <v>34.020000000000003</v>
      </c>
      <c r="E28">
        <v>458511</v>
      </c>
      <c r="F28">
        <v>9.6587069999999997</v>
      </c>
      <c r="G28">
        <v>144.76666666666699</v>
      </c>
      <c r="H28">
        <v>5.6153124999999999</v>
      </c>
      <c r="L28">
        <v>9.6587069999999997</v>
      </c>
      <c r="M28">
        <f>F24</f>
        <v>8.5225860000000004</v>
      </c>
      <c r="N28">
        <v>5.6153124999999999</v>
      </c>
      <c r="O28">
        <f>D28/D24</f>
        <v>1.0293494704992439</v>
      </c>
      <c r="P28">
        <f>G28/G24</f>
        <v>1.0281723484848506</v>
      </c>
    </row>
    <row r="29" spans="1:16" x14ac:dyDescent="0.3">
      <c r="A29" t="s">
        <v>6</v>
      </c>
      <c r="B29">
        <v>1993.4</v>
      </c>
      <c r="C29">
        <v>0</v>
      </c>
      <c r="D29">
        <v>33.51</v>
      </c>
      <c r="E29">
        <v>458511</v>
      </c>
      <c r="F29">
        <v>9.4504169999999998</v>
      </c>
      <c r="G29">
        <v>145.96666666666701</v>
      </c>
      <c r="H29">
        <v>5.6159677419354797</v>
      </c>
      <c r="L29">
        <v>9.4504169999999998</v>
      </c>
      <c r="M29">
        <f>F25</f>
        <v>9.0134270000000001</v>
      </c>
      <c r="N29">
        <v>5.6159677419354797</v>
      </c>
      <c r="O29">
        <f>D29/D25</f>
        <v>1.0148394912174439</v>
      </c>
      <c r="P29">
        <f>G29/G25</f>
        <v>1.0276930298052149</v>
      </c>
    </row>
    <row r="30" spans="1:16" x14ac:dyDescent="0.3">
      <c r="A30" t="s">
        <v>6</v>
      </c>
      <c r="B30">
        <v>1994.1</v>
      </c>
      <c r="C30">
        <v>0</v>
      </c>
      <c r="D30">
        <v>33.68</v>
      </c>
      <c r="E30">
        <v>458511</v>
      </c>
      <c r="F30">
        <v>9.2100299999999997</v>
      </c>
      <c r="G30">
        <v>146.69999999999999</v>
      </c>
      <c r="H30">
        <v>6.09032258064516</v>
      </c>
      <c r="L30">
        <v>9.2100299999999997</v>
      </c>
      <c r="M30">
        <f>F26</f>
        <v>9.5206890000000008</v>
      </c>
      <c r="N30">
        <v>6.09032258064516</v>
      </c>
      <c r="O30">
        <f>D30/D26</f>
        <v>1.0053731343283583</v>
      </c>
      <c r="P30">
        <f>G30/G26</f>
        <v>1.0253960857409108</v>
      </c>
    </row>
    <row r="31" spans="1:16" x14ac:dyDescent="0.3">
      <c r="A31" t="s">
        <v>6</v>
      </c>
      <c r="B31">
        <v>1994.2</v>
      </c>
      <c r="C31">
        <v>0</v>
      </c>
      <c r="D31">
        <v>34.369999999999997</v>
      </c>
      <c r="E31">
        <v>458511</v>
      </c>
      <c r="F31">
        <v>8.9316250000000004</v>
      </c>
      <c r="G31">
        <v>147.53333333333299</v>
      </c>
      <c r="H31">
        <v>7.0895161290322601</v>
      </c>
      <c r="L31">
        <v>8.9316250000000004</v>
      </c>
      <c r="M31">
        <f>F27</f>
        <v>9.8469820000000006</v>
      </c>
      <c r="N31">
        <v>7.0895161290322601</v>
      </c>
      <c r="O31">
        <f>D31/D27</f>
        <v>0.99421463696846968</v>
      </c>
      <c r="P31">
        <f>G31/G27</f>
        <v>1.0238260467268077</v>
      </c>
    </row>
    <row r="32" spans="1:16" x14ac:dyDescent="0.3">
      <c r="A32" t="s">
        <v>6</v>
      </c>
      <c r="B32">
        <v>1994.3</v>
      </c>
      <c r="C32">
        <v>0</v>
      </c>
      <c r="D32">
        <v>34.01</v>
      </c>
      <c r="E32">
        <v>458511</v>
      </c>
      <c r="F32">
        <v>9.0297180000000008</v>
      </c>
      <c r="G32">
        <v>148.9</v>
      </c>
      <c r="H32">
        <v>7.3279687500000001</v>
      </c>
      <c r="L32">
        <v>9.0297180000000008</v>
      </c>
      <c r="M32">
        <f>F28</f>
        <v>9.6587069999999997</v>
      </c>
      <c r="N32">
        <v>7.3279687500000001</v>
      </c>
      <c r="O32">
        <f>D32/D28</f>
        <v>0.99970605526161072</v>
      </c>
      <c r="P32">
        <f>G32/G28</f>
        <v>1.0285516923785378</v>
      </c>
    </row>
    <row r="33" spans="1:16" x14ac:dyDescent="0.3">
      <c r="A33" t="s">
        <v>6</v>
      </c>
      <c r="B33">
        <v>1994.4</v>
      </c>
      <c r="C33">
        <v>0</v>
      </c>
      <c r="D33">
        <v>32.97</v>
      </c>
      <c r="E33">
        <v>458511</v>
      </c>
      <c r="F33">
        <v>9.1005529999999997</v>
      </c>
      <c r="G33">
        <v>149.76666666666699</v>
      </c>
      <c r="H33">
        <v>7.8372131147540998</v>
      </c>
      <c r="L33">
        <v>9.1005529999999997</v>
      </c>
      <c r="M33">
        <f>F29</f>
        <v>9.4504169999999998</v>
      </c>
      <c r="N33">
        <v>7.8372131147540998</v>
      </c>
      <c r="O33">
        <f>D33/D29</f>
        <v>0.9838854073410922</v>
      </c>
      <c r="P33">
        <f>G33/G29</f>
        <v>1.0260333409454212</v>
      </c>
    </row>
    <row r="34" spans="1:16" x14ac:dyDescent="0.3">
      <c r="A34" t="s">
        <v>6</v>
      </c>
      <c r="B34">
        <v>1995.1</v>
      </c>
      <c r="C34">
        <v>44</v>
      </c>
      <c r="D34">
        <v>32.549999999999997</v>
      </c>
      <c r="E34">
        <v>458555</v>
      </c>
      <c r="F34">
        <v>8.9335789999999999</v>
      </c>
      <c r="G34">
        <v>150.86666666666699</v>
      </c>
      <c r="H34">
        <v>7.47129032258065</v>
      </c>
      <c r="L34">
        <v>8.9335789999999999</v>
      </c>
      <c r="M34">
        <f>F30</f>
        <v>9.2100299999999997</v>
      </c>
      <c r="N34">
        <v>7.47129032258065</v>
      </c>
      <c r="O34">
        <f>D34/D30</f>
        <v>0.96644893111638952</v>
      </c>
      <c r="P34">
        <f>G34/G30</f>
        <v>1.0284026357646012</v>
      </c>
    </row>
    <row r="35" spans="1:16" x14ac:dyDescent="0.3">
      <c r="A35" t="s">
        <v>6</v>
      </c>
      <c r="B35">
        <v>1995.2</v>
      </c>
      <c r="C35">
        <v>0</v>
      </c>
      <c r="D35">
        <v>32.979999999999997</v>
      </c>
      <c r="E35">
        <v>458555</v>
      </c>
      <c r="F35">
        <v>8.7766730000000006</v>
      </c>
      <c r="G35">
        <v>152.1</v>
      </c>
      <c r="H35">
        <v>6.6001587301587303</v>
      </c>
      <c r="L35">
        <v>8.7766730000000006</v>
      </c>
      <c r="M35">
        <f>F31</f>
        <v>8.9316250000000004</v>
      </c>
      <c r="N35">
        <v>6.6001587301587303</v>
      </c>
      <c r="O35">
        <f>D35/D31</f>
        <v>0.95955775385510622</v>
      </c>
      <c r="P35">
        <f>G35/G31</f>
        <v>1.0309534568459129</v>
      </c>
    </row>
    <row r="36" spans="1:16" x14ac:dyDescent="0.3">
      <c r="A36" t="s">
        <v>6</v>
      </c>
      <c r="B36">
        <v>1995.3</v>
      </c>
      <c r="C36">
        <v>0</v>
      </c>
      <c r="D36">
        <v>34.36</v>
      </c>
      <c r="E36">
        <v>458555</v>
      </c>
      <c r="F36">
        <v>8.8444400000000005</v>
      </c>
      <c r="G36">
        <v>152.86666666666699</v>
      </c>
      <c r="H36">
        <v>6.3292063492063502</v>
      </c>
      <c r="L36">
        <v>8.8444400000000005</v>
      </c>
      <c r="M36">
        <f>F32</f>
        <v>9.0297180000000008</v>
      </c>
      <c r="N36">
        <v>6.3292063492063502</v>
      </c>
      <c r="O36">
        <f>D36/D32</f>
        <v>1.0102910908556308</v>
      </c>
      <c r="P36">
        <f>G36/G32</f>
        <v>1.0266398029997783</v>
      </c>
    </row>
    <row r="37" spans="1:16" x14ac:dyDescent="0.3">
      <c r="A37" t="s">
        <v>6</v>
      </c>
      <c r="B37">
        <v>1995.4</v>
      </c>
      <c r="C37">
        <v>0</v>
      </c>
      <c r="D37">
        <v>33.42</v>
      </c>
      <c r="E37">
        <v>458555</v>
      </c>
      <c r="F37">
        <v>8.6657440000000001</v>
      </c>
      <c r="G37">
        <v>153.69999999999999</v>
      </c>
      <c r="H37">
        <v>5.8985483870967697</v>
      </c>
      <c r="L37">
        <v>8.6657440000000001</v>
      </c>
      <c r="M37">
        <f>F33</f>
        <v>9.1005529999999997</v>
      </c>
      <c r="N37">
        <v>5.8985483870967697</v>
      </c>
      <c r="O37">
        <f>D37/D33</f>
        <v>1.0136487716105551</v>
      </c>
      <c r="P37">
        <f>G37/G33</f>
        <v>1.0262630758958358</v>
      </c>
    </row>
    <row r="38" spans="1:16" x14ac:dyDescent="0.3">
      <c r="A38" t="s">
        <v>6</v>
      </c>
      <c r="B38">
        <v>1996.1</v>
      </c>
      <c r="C38">
        <v>23</v>
      </c>
      <c r="D38">
        <v>34.409999999999997</v>
      </c>
      <c r="E38">
        <v>458578</v>
      </c>
      <c r="F38">
        <v>8.3326600000000006</v>
      </c>
      <c r="G38">
        <v>155.066666666667</v>
      </c>
      <c r="H38">
        <v>5.9104838709677399</v>
      </c>
      <c r="L38">
        <v>8.3326600000000006</v>
      </c>
      <c r="M38">
        <f>F34</f>
        <v>8.9335789999999999</v>
      </c>
      <c r="N38">
        <v>5.9104838709677399</v>
      </c>
      <c r="O38">
        <f>D38/D34</f>
        <v>1.0571428571428572</v>
      </c>
      <c r="P38">
        <f>G38/G34</f>
        <v>1.0278391515687142</v>
      </c>
    </row>
    <row r="39" spans="1:16" x14ac:dyDescent="0.3">
      <c r="A39" t="s">
        <v>6</v>
      </c>
      <c r="B39">
        <v>1996.2</v>
      </c>
      <c r="C39">
        <v>0</v>
      </c>
      <c r="D39">
        <v>33.94</v>
      </c>
      <c r="E39">
        <v>458578</v>
      </c>
      <c r="F39">
        <v>8.0712080000000004</v>
      </c>
      <c r="G39">
        <v>156.4</v>
      </c>
      <c r="H39">
        <v>6.7140624999999998</v>
      </c>
      <c r="L39">
        <v>8.0712080000000004</v>
      </c>
      <c r="M39">
        <f>F35</f>
        <v>8.7766730000000006</v>
      </c>
      <c r="N39">
        <v>6.7140624999999998</v>
      </c>
      <c r="O39">
        <f>D39/D35</f>
        <v>1.0291085506367497</v>
      </c>
      <c r="P39">
        <f>G39/G35</f>
        <v>1.0282708744247206</v>
      </c>
    </row>
    <row r="40" spans="1:16" x14ac:dyDescent="0.3">
      <c r="A40" t="s">
        <v>6</v>
      </c>
      <c r="B40">
        <v>1996.3</v>
      </c>
      <c r="C40">
        <v>0</v>
      </c>
      <c r="D40">
        <v>34.58</v>
      </c>
      <c r="E40">
        <v>458578</v>
      </c>
      <c r="F40">
        <v>7.6872429999999996</v>
      </c>
      <c r="G40">
        <v>157.30000000000001</v>
      </c>
      <c r="H40">
        <v>6.7759375000000004</v>
      </c>
      <c r="L40">
        <v>7.6872429999999996</v>
      </c>
      <c r="M40">
        <f>F36</f>
        <v>8.8444400000000005</v>
      </c>
      <c r="N40">
        <v>6.7759375000000004</v>
      </c>
      <c r="O40">
        <f>D40/D36</f>
        <v>1.0064027939464493</v>
      </c>
      <c r="P40">
        <f>G40/G36</f>
        <v>1.0290013083296969</v>
      </c>
    </row>
    <row r="41" spans="1:16" x14ac:dyDescent="0.3">
      <c r="A41" t="s">
        <v>6</v>
      </c>
      <c r="B41">
        <v>1996.4</v>
      </c>
      <c r="C41">
        <v>0</v>
      </c>
      <c r="D41">
        <v>35.130000000000003</v>
      </c>
      <c r="E41">
        <v>458578</v>
      </c>
      <c r="F41">
        <v>7.5811630000000001</v>
      </c>
      <c r="G41">
        <v>158.666666666667</v>
      </c>
      <c r="H41">
        <v>6.3541935483870997</v>
      </c>
      <c r="L41">
        <v>7.5811630000000001</v>
      </c>
      <c r="M41">
        <f>F37</f>
        <v>8.6657440000000001</v>
      </c>
      <c r="N41">
        <v>6.3541935483870997</v>
      </c>
      <c r="O41">
        <f>D41/D37</f>
        <v>1.0511669658886895</v>
      </c>
      <c r="P41">
        <f>G41/G37</f>
        <v>1.0323140316634158</v>
      </c>
    </row>
    <row r="42" spans="1:16" x14ac:dyDescent="0.3">
      <c r="A42" t="s">
        <v>6</v>
      </c>
      <c r="B42">
        <v>1997.1</v>
      </c>
      <c r="C42">
        <v>0</v>
      </c>
      <c r="D42">
        <v>34.840000000000003</v>
      </c>
      <c r="E42">
        <v>458578</v>
      </c>
      <c r="F42">
        <v>7.8885149999999999</v>
      </c>
      <c r="G42">
        <v>159.63333333333301</v>
      </c>
      <c r="H42">
        <v>6.5670000000000002</v>
      </c>
      <c r="L42">
        <v>7.8885149999999999</v>
      </c>
      <c r="M42">
        <f>F38</f>
        <v>8.3326600000000006</v>
      </c>
      <c r="N42">
        <v>6.5670000000000002</v>
      </c>
      <c r="O42">
        <f>D42/D38</f>
        <v>1.0124963673350773</v>
      </c>
      <c r="P42">
        <f>G42/G38</f>
        <v>1.0294496990541659</v>
      </c>
    </row>
    <row r="43" spans="1:16" x14ac:dyDescent="0.3">
      <c r="A43" t="s">
        <v>6</v>
      </c>
      <c r="B43">
        <v>1997.2</v>
      </c>
      <c r="C43">
        <v>450</v>
      </c>
      <c r="D43">
        <v>36.590000000000003</v>
      </c>
      <c r="E43">
        <v>459028</v>
      </c>
      <c r="F43">
        <v>8.1149740000000001</v>
      </c>
      <c r="G43">
        <v>160</v>
      </c>
      <c r="H43">
        <v>6.6996874999999996</v>
      </c>
      <c r="L43">
        <v>8.1149740000000001</v>
      </c>
      <c r="M43">
        <f>F39</f>
        <v>8.0712080000000004</v>
      </c>
      <c r="N43">
        <v>6.6996874999999996</v>
      </c>
      <c r="O43">
        <f>D43/D39</f>
        <v>1.0780789628756631</v>
      </c>
      <c r="P43">
        <f>G43/G39</f>
        <v>1.0230179028132993</v>
      </c>
    </row>
    <row r="44" spans="1:16" x14ac:dyDescent="0.3">
      <c r="A44" t="s">
        <v>6</v>
      </c>
      <c r="B44">
        <v>1997.3</v>
      </c>
      <c r="C44">
        <v>0</v>
      </c>
      <c r="D44">
        <v>37.770000000000003</v>
      </c>
      <c r="E44">
        <v>459028</v>
      </c>
      <c r="F44">
        <v>8.5578719999999997</v>
      </c>
      <c r="G44">
        <v>160.80000000000001</v>
      </c>
      <c r="H44">
        <v>6.2421875</v>
      </c>
      <c r="L44">
        <v>8.5578719999999997</v>
      </c>
      <c r="M44">
        <f>F40</f>
        <v>7.6872429999999996</v>
      </c>
      <c r="N44">
        <v>6.2421875</v>
      </c>
      <c r="O44">
        <f>D44/D40</f>
        <v>1.0922498554077502</v>
      </c>
      <c r="P44">
        <f>G44/G40</f>
        <v>1.0222504767959313</v>
      </c>
    </row>
    <row r="45" spans="1:16" x14ac:dyDescent="0.3">
      <c r="A45" t="s">
        <v>6</v>
      </c>
      <c r="B45">
        <v>1997.4</v>
      </c>
      <c r="C45">
        <v>0</v>
      </c>
      <c r="D45">
        <v>38.630000000000003</v>
      </c>
      <c r="E45">
        <v>459028</v>
      </c>
      <c r="F45">
        <v>8.7949750000000009</v>
      </c>
      <c r="G45">
        <v>161.666666666667</v>
      </c>
      <c r="H45">
        <v>5.9062903225806496</v>
      </c>
      <c r="L45">
        <v>8.7949750000000009</v>
      </c>
      <c r="M45">
        <f>F41</f>
        <v>7.5811630000000001</v>
      </c>
      <c r="N45">
        <v>5.9062903225806496</v>
      </c>
      <c r="O45">
        <f>D45/D41</f>
        <v>1.0996299459151722</v>
      </c>
      <c r="P45">
        <f>G45/G41</f>
        <v>1.01890756302521</v>
      </c>
    </row>
    <row r="46" spans="1:16" x14ac:dyDescent="0.3">
      <c r="A46" t="s">
        <v>6</v>
      </c>
      <c r="B46">
        <v>1998.1</v>
      </c>
      <c r="C46">
        <v>0</v>
      </c>
      <c r="D46">
        <v>38.880000000000003</v>
      </c>
      <c r="E46">
        <v>459028</v>
      </c>
      <c r="F46">
        <v>8.8745960000000004</v>
      </c>
      <c r="G46">
        <v>162</v>
      </c>
      <c r="H46">
        <v>5.5909836065573799</v>
      </c>
      <c r="L46">
        <v>8.8745960000000004</v>
      </c>
      <c r="M46">
        <f>F42</f>
        <v>7.8885149999999999</v>
      </c>
      <c r="N46">
        <v>5.5909836065573799</v>
      </c>
      <c r="O46">
        <f>D46/D42</f>
        <v>1.115958668197474</v>
      </c>
      <c r="P46">
        <f>G46/G42</f>
        <v>1.0148256420964732</v>
      </c>
    </row>
    <row r="47" spans="1:16" x14ac:dyDescent="0.3">
      <c r="A47" t="s">
        <v>6</v>
      </c>
      <c r="B47">
        <v>1998.2</v>
      </c>
      <c r="C47">
        <v>0</v>
      </c>
      <c r="D47">
        <v>38.549999999999997</v>
      </c>
      <c r="E47">
        <v>459028</v>
      </c>
      <c r="F47">
        <v>8.4466739999999998</v>
      </c>
      <c r="G47">
        <v>162.53333333333299</v>
      </c>
      <c r="H47">
        <v>5.5930158730158697</v>
      </c>
      <c r="L47">
        <v>8.4466739999999998</v>
      </c>
      <c r="M47">
        <f>F43</f>
        <v>8.1149740000000001</v>
      </c>
      <c r="N47">
        <v>5.5930158730158697</v>
      </c>
      <c r="O47">
        <f>D47/D43</f>
        <v>1.0535665482372232</v>
      </c>
      <c r="P47">
        <f>G47/G43</f>
        <v>1.0158333333333311</v>
      </c>
    </row>
    <row r="48" spans="1:16" x14ac:dyDescent="0.3">
      <c r="A48" t="s">
        <v>6</v>
      </c>
      <c r="B48">
        <v>1998.3</v>
      </c>
      <c r="C48">
        <v>65</v>
      </c>
      <c r="D48">
        <v>38.869999999999997</v>
      </c>
      <c r="E48">
        <v>459093</v>
      </c>
      <c r="F48">
        <v>7.9908419999999998</v>
      </c>
      <c r="G48">
        <v>163.36666666666699</v>
      </c>
      <c r="H48">
        <v>5.2073437499999997</v>
      </c>
      <c r="L48">
        <v>7.9908419999999998</v>
      </c>
      <c r="M48">
        <f>F44</f>
        <v>8.5578719999999997</v>
      </c>
      <c r="N48">
        <v>5.2073437499999997</v>
      </c>
      <c r="O48">
        <f>D48/D44</f>
        <v>1.0291236431029915</v>
      </c>
      <c r="P48">
        <f>G48/G44</f>
        <v>1.0159618573797697</v>
      </c>
    </row>
    <row r="49" spans="1:16" x14ac:dyDescent="0.3">
      <c r="A49" t="s">
        <v>6</v>
      </c>
      <c r="B49">
        <v>1998.4</v>
      </c>
      <c r="C49">
        <v>0</v>
      </c>
      <c r="D49">
        <v>40.31</v>
      </c>
      <c r="E49">
        <v>459093</v>
      </c>
      <c r="F49">
        <v>7.5548060000000001</v>
      </c>
      <c r="G49">
        <v>164.13333333333301</v>
      </c>
      <c r="H49">
        <v>4.6619354838709697</v>
      </c>
      <c r="L49">
        <v>7.5548060000000001</v>
      </c>
      <c r="M49">
        <f>F45</f>
        <v>8.7949750000000009</v>
      </c>
      <c r="N49">
        <v>4.6619354838709697</v>
      </c>
      <c r="O49">
        <f>D49/D45</f>
        <v>1.0434895159202693</v>
      </c>
      <c r="P49">
        <f>G49/G45</f>
        <v>1.0152577319587588</v>
      </c>
    </row>
    <row r="50" spans="1:16" x14ac:dyDescent="0.3">
      <c r="A50" t="s">
        <v>6</v>
      </c>
      <c r="B50">
        <v>1999.1</v>
      </c>
      <c r="C50">
        <v>80</v>
      </c>
      <c r="D50">
        <v>42.1</v>
      </c>
      <c r="E50">
        <v>459173</v>
      </c>
      <c r="F50">
        <v>6.915438</v>
      </c>
      <c r="G50">
        <v>164.73333333333301</v>
      </c>
      <c r="H50">
        <v>5.0008196721311498</v>
      </c>
      <c r="L50">
        <v>6.915438</v>
      </c>
      <c r="M50">
        <f>F46</f>
        <v>8.8745960000000004</v>
      </c>
      <c r="N50">
        <v>5.0008196721311498</v>
      </c>
      <c r="O50">
        <f>D50/D46</f>
        <v>1.0828189300411522</v>
      </c>
      <c r="P50">
        <f>G50/G46</f>
        <v>1.0168724279835371</v>
      </c>
    </row>
    <row r="51" spans="1:16" x14ac:dyDescent="0.3">
      <c r="A51" t="s">
        <v>6</v>
      </c>
      <c r="B51">
        <v>1999.2</v>
      </c>
      <c r="C51">
        <v>2034</v>
      </c>
      <c r="D51">
        <v>43.25</v>
      </c>
      <c r="E51">
        <v>461207</v>
      </c>
      <c r="F51">
        <v>7.0063909999999998</v>
      </c>
      <c r="G51">
        <v>165.96666666666701</v>
      </c>
      <c r="H51">
        <v>5.5412499999999998</v>
      </c>
      <c r="L51">
        <v>7.0063909999999998</v>
      </c>
      <c r="M51">
        <f>F47</f>
        <v>8.4466739999999998</v>
      </c>
      <c r="N51">
        <v>5.5412499999999998</v>
      </c>
      <c r="O51">
        <f>D51/D47</f>
        <v>1.1219195849546044</v>
      </c>
      <c r="P51">
        <f>G51/G47</f>
        <v>1.0211238720262552</v>
      </c>
    </row>
    <row r="52" spans="1:16" x14ac:dyDescent="0.3">
      <c r="A52" t="s">
        <v>6</v>
      </c>
      <c r="B52">
        <v>1999.3</v>
      </c>
      <c r="C52">
        <v>1054</v>
      </c>
      <c r="D52">
        <v>43.07</v>
      </c>
      <c r="E52">
        <v>462261</v>
      </c>
      <c r="F52">
        <v>6.9792899999999998</v>
      </c>
      <c r="G52">
        <v>167.2</v>
      </c>
      <c r="H52">
        <v>5.8829687499999999</v>
      </c>
      <c r="L52">
        <v>6.9792899999999998</v>
      </c>
      <c r="M52">
        <f>F48</f>
        <v>7.9908419999999998</v>
      </c>
      <c r="N52">
        <v>5.8829687499999999</v>
      </c>
      <c r="O52">
        <f>D52/D48</f>
        <v>1.1080524826344225</v>
      </c>
      <c r="P52">
        <f>G52/G48</f>
        <v>1.023464599061414</v>
      </c>
    </row>
    <row r="53" spans="1:16" x14ac:dyDescent="0.3">
      <c r="A53" t="s">
        <v>6</v>
      </c>
      <c r="B53">
        <v>1999.4</v>
      </c>
      <c r="C53">
        <v>449</v>
      </c>
      <c r="D53">
        <v>45.4</v>
      </c>
      <c r="E53">
        <v>462710</v>
      </c>
      <c r="F53">
        <v>6.8879739999999998</v>
      </c>
      <c r="G53">
        <v>168.433333333333</v>
      </c>
      <c r="H53">
        <v>6.14483870967742</v>
      </c>
      <c r="L53">
        <v>6.8879739999999998</v>
      </c>
      <c r="M53">
        <f>F49</f>
        <v>7.5548060000000001</v>
      </c>
      <c r="N53">
        <v>6.14483870967742</v>
      </c>
      <c r="O53">
        <f>D53/D49</f>
        <v>1.1262713966757627</v>
      </c>
      <c r="P53">
        <f>G53/G49</f>
        <v>1.0261982128350933</v>
      </c>
    </row>
    <row r="54" spans="1:16" x14ac:dyDescent="0.3">
      <c r="A54" t="s">
        <v>6</v>
      </c>
      <c r="B54">
        <v>2000.1</v>
      </c>
      <c r="C54">
        <v>170</v>
      </c>
      <c r="D54">
        <v>45.49</v>
      </c>
      <c r="E54">
        <v>462880</v>
      </c>
      <c r="F54">
        <v>6.9421080000000002</v>
      </c>
      <c r="G54">
        <v>170.1</v>
      </c>
      <c r="H54">
        <v>6.4684126984126999</v>
      </c>
      <c r="L54">
        <v>6.9421080000000002</v>
      </c>
      <c r="M54">
        <f>F50</f>
        <v>6.915438</v>
      </c>
      <c r="N54">
        <v>6.4684126984126999</v>
      </c>
      <c r="O54">
        <f>D54/D50</f>
        <v>1.0805225653206652</v>
      </c>
      <c r="P54">
        <f>G54/G50</f>
        <v>1.0325779036827216</v>
      </c>
    </row>
    <row r="55" spans="1:16" x14ac:dyDescent="0.3">
      <c r="A55" t="s">
        <v>6</v>
      </c>
      <c r="B55">
        <v>2000.2</v>
      </c>
      <c r="C55">
        <v>1165</v>
      </c>
      <c r="D55">
        <v>47.78</v>
      </c>
      <c r="E55">
        <v>464045</v>
      </c>
      <c r="F55">
        <v>6.9145130000000004</v>
      </c>
      <c r="G55">
        <v>171.433333333333</v>
      </c>
      <c r="H55">
        <v>6.1849206349206298</v>
      </c>
      <c r="L55">
        <v>6.9145130000000004</v>
      </c>
      <c r="M55">
        <f>F51</f>
        <v>7.0063909999999998</v>
      </c>
      <c r="N55">
        <v>6.1849206349206298</v>
      </c>
      <c r="O55">
        <f>D55/D51</f>
        <v>1.1047398843930636</v>
      </c>
      <c r="P55">
        <f>G55/G51</f>
        <v>1.0329383410323316</v>
      </c>
    </row>
    <row r="56" spans="1:16" x14ac:dyDescent="0.3">
      <c r="A56" t="s">
        <v>6</v>
      </c>
      <c r="B56">
        <v>2000.3</v>
      </c>
      <c r="C56">
        <v>202</v>
      </c>
      <c r="D56">
        <v>47.24</v>
      </c>
      <c r="E56">
        <v>464247</v>
      </c>
      <c r="F56">
        <v>6.9094709999999999</v>
      </c>
      <c r="G56">
        <v>173</v>
      </c>
      <c r="H56">
        <v>5.8898412698412699</v>
      </c>
      <c r="L56">
        <v>6.9094709999999999</v>
      </c>
      <c r="M56">
        <f>F52</f>
        <v>6.9792899999999998</v>
      </c>
      <c r="N56">
        <v>5.8898412698412699</v>
      </c>
      <c r="O56">
        <f>D56/D52</f>
        <v>1.0968191316461575</v>
      </c>
      <c r="P56">
        <f>G56/G52</f>
        <v>1.0346889952153111</v>
      </c>
    </row>
    <row r="57" spans="1:16" x14ac:dyDescent="0.3">
      <c r="A57" t="s">
        <v>6</v>
      </c>
      <c r="B57">
        <v>2000.4</v>
      </c>
      <c r="C57">
        <v>0</v>
      </c>
      <c r="D57">
        <v>51.51</v>
      </c>
      <c r="E57">
        <v>464247</v>
      </c>
      <c r="F57">
        <v>6.9931960000000002</v>
      </c>
      <c r="G57">
        <v>174.23333333333301</v>
      </c>
      <c r="H57">
        <v>5.5706451612903196</v>
      </c>
      <c r="L57">
        <v>6.9931960000000002</v>
      </c>
      <c r="M57">
        <f>F53</f>
        <v>6.8879739999999998</v>
      </c>
      <c r="N57">
        <v>5.5706451612903196</v>
      </c>
      <c r="O57">
        <f>D57/D53</f>
        <v>1.1345814977973567</v>
      </c>
      <c r="P57">
        <f>G57/G53</f>
        <v>1.0344349891153772</v>
      </c>
    </row>
    <row r="58" spans="1:16" x14ac:dyDescent="0.3">
      <c r="A58" t="s">
        <v>6</v>
      </c>
      <c r="B58">
        <v>2001.1</v>
      </c>
      <c r="C58">
        <v>2754</v>
      </c>
      <c r="D58">
        <v>55.96</v>
      </c>
      <c r="E58">
        <v>467001</v>
      </c>
      <c r="F58">
        <v>7.4176149999999996</v>
      </c>
      <c r="G58">
        <v>175.9</v>
      </c>
      <c r="H58">
        <v>5.0441935483871001</v>
      </c>
      <c r="L58">
        <v>7.4176149999999996</v>
      </c>
      <c r="M58">
        <f>F54</f>
        <v>6.9421080000000002</v>
      </c>
      <c r="N58">
        <v>5.0441935483871001</v>
      </c>
      <c r="O58">
        <f>D58/D54</f>
        <v>1.2301604748296329</v>
      </c>
      <c r="P58">
        <f>G58/G54</f>
        <v>1.0340975896531452</v>
      </c>
    </row>
    <row r="59" spans="1:16" x14ac:dyDescent="0.3">
      <c r="A59" t="s">
        <v>6</v>
      </c>
      <c r="B59">
        <v>2001.2</v>
      </c>
      <c r="C59">
        <v>287</v>
      </c>
      <c r="D59">
        <v>57.25</v>
      </c>
      <c r="E59">
        <v>467288</v>
      </c>
      <c r="F59">
        <v>7.7259229999999999</v>
      </c>
      <c r="G59">
        <v>177.13333333333301</v>
      </c>
      <c r="H59">
        <v>5.2761904761904797</v>
      </c>
      <c r="L59">
        <v>7.7259229999999999</v>
      </c>
      <c r="M59">
        <f>F55</f>
        <v>6.9145130000000004</v>
      </c>
      <c r="N59">
        <v>5.2761904761904797</v>
      </c>
      <c r="O59">
        <f>D59/D55</f>
        <v>1.1982000837170363</v>
      </c>
      <c r="P59">
        <f>G59/G55</f>
        <v>1.0332490764145441</v>
      </c>
    </row>
    <row r="60" spans="1:16" x14ac:dyDescent="0.3">
      <c r="A60" t="s">
        <v>6</v>
      </c>
      <c r="B60">
        <v>2001.3</v>
      </c>
      <c r="C60">
        <v>0</v>
      </c>
      <c r="D60">
        <v>55.31</v>
      </c>
      <c r="E60">
        <v>467288</v>
      </c>
      <c r="F60">
        <v>7.9277559999999996</v>
      </c>
      <c r="G60">
        <v>177.63333333333301</v>
      </c>
      <c r="H60">
        <v>4.9957377049180298</v>
      </c>
      <c r="L60">
        <v>7.9277559999999996</v>
      </c>
      <c r="M60">
        <f>F56</f>
        <v>6.9094709999999999</v>
      </c>
      <c r="N60">
        <v>4.9957377049180298</v>
      </c>
      <c r="O60">
        <f>D60/D56</f>
        <v>1.1708298052497883</v>
      </c>
      <c r="P60">
        <f>G60/G56</f>
        <v>1.0267822736030809</v>
      </c>
    </row>
    <row r="61" spans="1:16" x14ac:dyDescent="0.3">
      <c r="A61" t="s">
        <v>6</v>
      </c>
      <c r="B61">
        <v>2001.4</v>
      </c>
      <c r="C61">
        <v>78</v>
      </c>
      <c r="D61">
        <v>55.59</v>
      </c>
      <c r="E61">
        <v>467366</v>
      </c>
      <c r="F61">
        <v>8.1213669999999993</v>
      </c>
      <c r="G61">
        <v>177.5</v>
      </c>
      <c r="H61">
        <v>4.7620967741935498</v>
      </c>
      <c r="L61">
        <v>8.1213669999999993</v>
      </c>
      <c r="M61">
        <f>F57</f>
        <v>6.9931960000000002</v>
      </c>
      <c r="N61">
        <v>4.7620967741935498</v>
      </c>
      <c r="O61">
        <f>D61/D57</f>
        <v>1.0792079207920793</v>
      </c>
      <c r="P61">
        <f>G61/G57</f>
        <v>1.0187488042854429</v>
      </c>
    </row>
    <row r="62" spans="1:16" x14ac:dyDescent="0.3">
      <c r="A62" t="s">
        <v>6</v>
      </c>
      <c r="B62">
        <v>2002.1</v>
      </c>
      <c r="C62">
        <v>8024</v>
      </c>
      <c r="D62">
        <v>56.11</v>
      </c>
      <c r="E62">
        <v>475390</v>
      </c>
      <c r="F62">
        <v>8.209994</v>
      </c>
      <c r="G62">
        <v>178.066666666667</v>
      </c>
      <c r="H62">
        <v>5.0791666666666702</v>
      </c>
      <c r="L62">
        <v>8.209994</v>
      </c>
      <c r="M62">
        <f>F58</f>
        <v>7.4176149999999996</v>
      </c>
      <c r="N62">
        <v>5.0791666666666702</v>
      </c>
      <c r="O62">
        <f>D62/D58</f>
        <v>1.0026804860614724</v>
      </c>
      <c r="P62">
        <f>G62/G58</f>
        <v>1.0123176046996418</v>
      </c>
    </row>
    <row r="63" spans="1:16" x14ac:dyDescent="0.3">
      <c r="A63" t="s">
        <v>6</v>
      </c>
      <c r="B63">
        <v>2002.2</v>
      </c>
      <c r="C63">
        <v>3407</v>
      </c>
      <c r="D63">
        <v>54.92</v>
      </c>
      <c r="E63">
        <v>478797</v>
      </c>
      <c r="F63">
        <v>8.2809570000000008</v>
      </c>
      <c r="G63">
        <v>179.46666666666701</v>
      </c>
      <c r="H63">
        <v>5.1060937500000003</v>
      </c>
      <c r="L63">
        <v>8.2809570000000008</v>
      </c>
      <c r="M63">
        <f>F59</f>
        <v>7.7259229999999999</v>
      </c>
      <c r="N63">
        <v>5.1060937500000003</v>
      </c>
      <c r="O63">
        <f>D63/D59</f>
        <v>0.95930131004366814</v>
      </c>
      <c r="P63">
        <f>G63/G59</f>
        <v>1.0131727512231878</v>
      </c>
    </row>
    <row r="64" spans="1:16" x14ac:dyDescent="0.3">
      <c r="A64" t="s">
        <v>6</v>
      </c>
      <c r="B64">
        <v>2002.3</v>
      </c>
      <c r="C64">
        <v>550</v>
      </c>
      <c r="D64">
        <v>54.86</v>
      </c>
      <c r="E64">
        <v>479347</v>
      </c>
      <c r="F64">
        <v>8.3809520000000006</v>
      </c>
      <c r="G64">
        <v>180.433333333333</v>
      </c>
      <c r="H64">
        <v>4.2723437500000001</v>
      </c>
      <c r="L64">
        <v>8.3809520000000006</v>
      </c>
      <c r="M64">
        <f>F60</f>
        <v>7.9277559999999996</v>
      </c>
      <c r="N64">
        <v>4.2723437500000001</v>
      </c>
      <c r="O64">
        <f>D64/D60</f>
        <v>0.99186403905261245</v>
      </c>
      <c r="P64">
        <f>G64/G60</f>
        <v>1.0157628072809157</v>
      </c>
    </row>
    <row r="65" spans="1:16" x14ac:dyDescent="0.3">
      <c r="A65" t="s">
        <v>6</v>
      </c>
      <c r="B65">
        <v>2002.4</v>
      </c>
      <c r="C65">
        <v>173</v>
      </c>
      <c r="D65">
        <v>53.92</v>
      </c>
      <c r="E65">
        <v>479520</v>
      </c>
      <c r="F65">
        <v>8.4483809999999995</v>
      </c>
      <c r="G65">
        <v>181.5</v>
      </c>
      <c r="H65">
        <v>4.0048387096774203</v>
      </c>
      <c r="L65">
        <v>8.4483809999999995</v>
      </c>
      <c r="M65">
        <f>F61</f>
        <v>8.1213669999999993</v>
      </c>
      <c r="N65">
        <v>4.0048387096774203</v>
      </c>
      <c r="O65">
        <f>D65/D61</f>
        <v>0.96995862565209567</v>
      </c>
      <c r="P65">
        <f>G65/G61</f>
        <v>1.0225352112676056</v>
      </c>
    </row>
    <row r="66" spans="1:16" x14ac:dyDescent="0.3">
      <c r="A66" t="s">
        <v>6</v>
      </c>
      <c r="B66">
        <v>2003.1</v>
      </c>
      <c r="C66">
        <v>788</v>
      </c>
      <c r="D66">
        <v>52.61</v>
      </c>
      <c r="E66">
        <v>480308</v>
      </c>
      <c r="F66">
        <v>8.3313179999999996</v>
      </c>
      <c r="G66">
        <v>183.36666666666699</v>
      </c>
      <c r="H66">
        <v>3.92</v>
      </c>
      <c r="L66">
        <v>8.3313179999999996</v>
      </c>
      <c r="M66">
        <f>F62</f>
        <v>8.209994</v>
      </c>
      <c r="N66">
        <v>3.92</v>
      </c>
      <c r="O66">
        <f>D66/D62</f>
        <v>0.93762252717875605</v>
      </c>
      <c r="P66">
        <f>G66/G62</f>
        <v>1.0297641332834142</v>
      </c>
    </row>
    <row r="67" spans="1:16" x14ac:dyDescent="0.3">
      <c r="A67" t="s">
        <v>6</v>
      </c>
      <c r="B67">
        <v>2003.2</v>
      </c>
      <c r="C67">
        <v>570</v>
      </c>
      <c r="D67">
        <v>50.77</v>
      </c>
      <c r="E67">
        <v>480878</v>
      </c>
      <c r="F67">
        <v>8.3067980000000006</v>
      </c>
      <c r="G67">
        <v>183.066666666667</v>
      </c>
      <c r="H67">
        <v>3.6206349206349202</v>
      </c>
      <c r="L67">
        <v>8.3067980000000006</v>
      </c>
      <c r="M67">
        <f>F63</f>
        <v>8.2809570000000008</v>
      </c>
      <c r="N67">
        <v>3.6206349206349202</v>
      </c>
      <c r="O67">
        <f>D67/D63</f>
        <v>0.92443554260742899</v>
      </c>
      <c r="P67">
        <f>G67/G63</f>
        <v>1.0200594353640415</v>
      </c>
    </row>
    <row r="68" spans="1:16" x14ac:dyDescent="0.3">
      <c r="A68" t="s">
        <v>6</v>
      </c>
      <c r="B68">
        <v>2003.3</v>
      </c>
      <c r="C68">
        <v>1339</v>
      </c>
      <c r="D68">
        <v>48.13</v>
      </c>
      <c r="E68">
        <v>482217</v>
      </c>
      <c r="F68">
        <v>7.9418540000000002</v>
      </c>
      <c r="G68">
        <v>184.433333333333</v>
      </c>
      <c r="H68">
        <v>4.2276562499999999</v>
      </c>
      <c r="L68">
        <v>7.9418540000000002</v>
      </c>
      <c r="M68">
        <f>F64</f>
        <v>8.3809520000000006</v>
      </c>
      <c r="N68">
        <v>4.2276562499999999</v>
      </c>
      <c r="O68">
        <f>D68/D64</f>
        <v>0.87732409770324471</v>
      </c>
      <c r="P68">
        <f>G68/G64</f>
        <v>1.0221688527618695</v>
      </c>
    </row>
    <row r="69" spans="1:16" x14ac:dyDescent="0.3">
      <c r="A69" t="s">
        <v>6</v>
      </c>
      <c r="B69">
        <v>2003.4</v>
      </c>
      <c r="C69">
        <v>1407</v>
      </c>
      <c r="D69">
        <v>45.68</v>
      </c>
      <c r="E69">
        <v>483624</v>
      </c>
      <c r="F69">
        <v>7.8480670000000003</v>
      </c>
      <c r="G69">
        <v>185.13333333333301</v>
      </c>
      <c r="H69">
        <v>4.2851612903225798</v>
      </c>
      <c r="L69">
        <v>7.8480670000000003</v>
      </c>
      <c r="M69">
        <f>F65</f>
        <v>8.4483809999999995</v>
      </c>
      <c r="N69">
        <v>4.2851612903225798</v>
      </c>
      <c r="O69">
        <f>D69/D65</f>
        <v>0.84718100890207715</v>
      </c>
      <c r="P69">
        <f>G69/G65</f>
        <v>1.0200183654729091</v>
      </c>
    </row>
    <row r="70" spans="1:16" x14ac:dyDescent="0.3">
      <c r="A70" t="s">
        <v>6</v>
      </c>
      <c r="B70">
        <v>2004.1</v>
      </c>
      <c r="C70">
        <v>30</v>
      </c>
      <c r="D70">
        <v>44.23</v>
      </c>
      <c r="E70">
        <v>483654</v>
      </c>
      <c r="F70">
        <v>7.5997960000000004</v>
      </c>
      <c r="G70">
        <v>186.7</v>
      </c>
      <c r="H70">
        <v>4.01</v>
      </c>
      <c r="L70">
        <v>7.5997960000000004</v>
      </c>
      <c r="M70">
        <f>F66</f>
        <v>8.3313179999999996</v>
      </c>
      <c r="N70">
        <v>4.01</v>
      </c>
      <c r="O70">
        <f>D70/D66</f>
        <v>0.84071469302413981</v>
      </c>
      <c r="P70">
        <f>G70/G66</f>
        <v>1.0181785129976348</v>
      </c>
    </row>
    <row r="71" spans="1:16" x14ac:dyDescent="0.3">
      <c r="A71" t="s">
        <v>6</v>
      </c>
      <c r="B71">
        <v>2004.2</v>
      </c>
      <c r="C71">
        <v>2088</v>
      </c>
      <c r="D71">
        <v>44.39</v>
      </c>
      <c r="E71">
        <v>485742</v>
      </c>
      <c r="F71">
        <v>7.2134819999999999</v>
      </c>
      <c r="G71">
        <v>188.166666666667</v>
      </c>
      <c r="H71">
        <v>4.5970967741935498</v>
      </c>
      <c r="L71">
        <v>7.2134819999999999</v>
      </c>
      <c r="M71">
        <f>F67</f>
        <v>8.3067980000000006</v>
      </c>
      <c r="N71">
        <v>4.5970967741935498</v>
      </c>
      <c r="O71">
        <f>D71/D67</f>
        <v>0.87433523734488872</v>
      </c>
      <c r="P71">
        <f>G71/G67</f>
        <v>1.0278587035688274</v>
      </c>
    </row>
    <row r="72" spans="1:16" x14ac:dyDescent="0.3">
      <c r="A72" t="s">
        <v>6</v>
      </c>
      <c r="B72">
        <v>2004.3</v>
      </c>
      <c r="C72">
        <v>0</v>
      </c>
      <c r="D72">
        <v>44.11</v>
      </c>
      <c r="E72">
        <v>485742</v>
      </c>
      <c r="F72">
        <v>7.1084759999999996</v>
      </c>
      <c r="G72">
        <v>189.36666666666699</v>
      </c>
      <c r="H72">
        <v>4.3014062500000003</v>
      </c>
      <c r="L72">
        <v>7.1084759999999996</v>
      </c>
      <c r="M72">
        <f>F68</f>
        <v>7.9418540000000002</v>
      </c>
      <c r="N72">
        <v>4.3014062500000003</v>
      </c>
      <c r="O72">
        <f>D72/D68</f>
        <v>0.91647621026386861</v>
      </c>
      <c r="P72">
        <f>G72/G68</f>
        <v>1.0267485993132153</v>
      </c>
    </row>
    <row r="73" spans="1:16" x14ac:dyDescent="0.3">
      <c r="A73" t="s">
        <v>6</v>
      </c>
      <c r="B73">
        <v>2004.4</v>
      </c>
      <c r="C73">
        <v>0</v>
      </c>
      <c r="D73">
        <v>43.85</v>
      </c>
      <c r="E73">
        <v>485742</v>
      </c>
      <c r="F73">
        <v>6.8076439999999998</v>
      </c>
      <c r="G73">
        <v>191.4</v>
      </c>
      <c r="H73">
        <v>4.1758064516128997</v>
      </c>
      <c r="L73">
        <v>6.8076439999999998</v>
      </c>
      <c r="M73">
        <f>F69</f>
        <v>7.8480670000000003</v>
      </c>
      <c r="N73">
        <v>4.1758064516128997</v>
      </c>
      <c r="O73">
        <f>D73/D69</f>
        <v>0.95993870402802106</v>
      </c>
      <c r="P73">
        <f>G73/G69</f>
        <v>1.033849477853801</v>
      </c>
    </row>
    <row r="74" spans="1:16" x14ac:dyDescent="0.3">
      <c r="A74" t="s">
        <v>6</v>
      </c>
      <c r="B74">
        <v>2005.1</v>
      </c>
      <c r="C74">
        <v>1645</v>
      </c>
      <c r="D74">
        <v>45.72</v>
      </c>
      <c r="E74">
        <v>487387</v>
      </c>
      <c r="F74">
        <v>6.6146440000000002</v>
      </c>
      <c r="G74">
        <v>192.36666666666699</v>
      </c>
      <c r="H74">
        <v>4.3036065573770497</v>
      </c>
      <c r="L74">
        <v>6.6146440000000002</v>
      </c>
      <c r="M74">
        <f>F70</f>
        <v>7.5997960000000004</v>
      </c>
      <c r="N74">
        <v>4.3036065573770497</v>
      </c>
      <c r="O74">
        <f>D74/D70</f>
        <v>1.0336875423920417</v>
      </c>
      <c r="P74">
        <f>G74/G70</f>
        <v>1.0303517229066257</v>
      </c>
    </row>
    <row r="75" spans="1:16" x14ac:dyDescent="0.3">
      <c r="A75" t="s">
        <v>6</v>
      </c>
      <c r="B75">
        <v>2005.2</v>
      </c>
      <c r="C75">
        <v>69</v>
      </c>
      <c r="D75">
        <v>46.55</v>
      </c>
      <c r="E75">
        <v>487456</v>
      </c>
      <c r="F75">
        <v>6.4400180000000002</v>
      </c>
      <c r="G75">
        <v>193.666666666667</v>
      </c>
      <c r="H75">
        <v>4.1585937499999996</v>
      </c>
      <c r="L75">
        <v>6.4400180000000002</v>
      </c>
      <c r="M75">
        <f>F71</f>
        <v>7.2134819999999999</v>
      </c>
      <c r="N75">
        <v>4.1585937499999996</v>
      </c>
      <c r="O75">
        <f>D75/D71</f>
        <v>1.0486596080198243</v>
      </c>
      <c r="P75">
        <f>G75/G71</f>
        <v>1.0292294065544729</v>
      </c>
    </row>
    <row r="76" spans="1:16" x14ac:dyDescent="0.3">
      <c r="A76" t="s">
        <v>6</v>
      </c>
      <c r="B76">
        <v>2005.3</v>
      </c>
      <c r="C76">
        <v>20</v>
      </c>
      <c r="D76">
        <v>47.44</v>
      </c>
      <c r="E76">
        <v>487476</v>
      </c>
      <c r="F76">
        <v>6.2681430000000002</v>
      </c>
      <c r="G76">
        <v>196.6</v>
      </c>
      <c r="H76">
        <v>4.2151562499999997</v>
      </c>
      <c r="L76">
        <v>6.2681430000000002</v>
      </c>
      <c r="M76">
        <f>F72</f>
        <v>7.1084759999999996</v>
      </c>
      <c r="N76">
        <v>4.2151562499999997</v>
      </c>
      <c r="O76">
        <f>D76/D72</f>
        <v>1.0754930854681477</v>
      </c>
      <c r="P76">
        <f>G76/G72</f>
        <v>1.0381975004400616</v>
      </c>
    </row>
    <row r="77" spans="1:16" x14ac:dyDescent="0.3">
      <c r="A77" t="s">
        <v>6</v>
      </c>
      <c r="B77">
        <v>2005.4</v>
      </c>
      <c r="C77">
        <v>40</v>
      </c>
      <c r="D77">
        <v>48.3</v>
      </c>
      <c r="E77">
        <v>487516</v>
      </c>
      <c r="F77">
        <v>6.0791539999999999</v>
      </c>
      <c r="G77">
        <v>198.433333333333</v>
      </c>
      <c r="H77">
        <v>4.4881967213114802</v>
      </c>
      <c r="L77">
        <v>6.0791539999999999</v>
      </c>
      <c r="M77">
        <f>F73</f>
        <v>6.8076439999999998</v>
      </c>
      <c r="N77">
        <v>4.4881967213114802</v>
      </c>
      <c r="O77">
        <f>D77/D73</f>
        <v>1.1014823261117446</v>
      </c>
      <c r="P77">
        <f>G77/G73</f>
        <v>1.0367467781260866</v>
      </c>
    </row>
    <row r="78" spans="1:16" x14ac:dyDescent="0.3">
      <c r="A78" t="s">
        <v>6</v>
      </c>
      <c r="B78">
        <v>2006.1</v>
      </c>
      <c r="C78">
        <v>2308</v>
      </c>
      <c r="D78">
        <v>50.37</v>
      </c>
      <c r="E78">
        <v>489824</v>
      </c>
      <c r="F78">
        <v>6.0132349999999999</v>
      </c>
      <c r="G78">
        <v>199.46666666666701</v>
      </c>
      <c r="H78">
        <v>4.5770967741935502</v>
      </c>
      <c r="L78">
        <v>6.0132349999999999</v>
      </c>
      <c r="M78">
        <f>F74</f>
        <v>6.6146440000000002</v>
      </c>
      <c r="N78">
        <v>4.5770967741935502</v>
      </c>
      <c r="O78">
        <f>D78/D74</f>
        <v>1.1017060367454068</v>
      </c>
      <c r="P78">
        <f>G78/G74</f>
        <v>1.0369086813377231</v>
      </c>
    </row>
    <row r="79" spans="1:16" x14ac:dyDescent="0.3">
      <c r="A79" t="s">
        <v>6</v>
      </c>
      <c r="B79">
        <v>2006.2</v>
      </c>
      <c r="C79">
        <v>0</v>
      </c>
      <c r="D79">
        <v>51.55</v>
      </c>
      <c r="E79">
        <v>489824</v>
      </c>
      <c r="F79">
        <v>5.9433009999999999</v>
      </c>
      <c r="G79">
        <v>201.26666666666699</v>
      </c>
      <c r="H79">
        <v>5.0726984126984096</v>
      </c>
      <c r="L79">
        <v>5.9433009999999999</v>
      </c>
      <c r="M79">
        <f>F75</f>
        <v>6.4400180000000002</v>
      </c>
      <c r="N79">
        <v>5.0726984126984096</v>
      </c>
      <c r="O79">
        <f>D79/D75</f>
        <v>1.1074113856068744</v>
      </c>
      <c r="P79">
        <f>G79/G75</f>
        <v>1.0392426850258174</v>
      </c>
    </row>
    <row r="80" spans="1:16" x14ac:dyDescent="0.3">
      <c r="A80" t="s">
        <v>6</v>
      </c>
      <c r="B80">
        <v>2006.3</v>
      </c>
      <c r="C80">
        <v>0</v>
      </c>
      <c r="D80">
        <v>52.9</v>
      </c>
      <c r="E80">
        <v>489824</v>
      </c>
      <c r="F80">
        <v>5.9096359999999999</v>
      </c>
      <c r="G80">
        <v>203.166666666667</v>
      </c>
      <c r="H80">
        <v>4.8934920634920704</v>
      </c>
      <c r="L80">
        <v>5.9096359999999999</v>
      </c>
      <c r="M80">
        <f>F76</f>
        <v>6.2681430000000002</v>
      </c>
      <c r="N80">
        <v>4.8934920634920704</v>
      </c>
      <c r="O80">
        <f>D80/D76</f>
        <v>1.1150927487352444</v>
      </c>
      <c r="P80">
        <f>G80/G76</f>
        <v>1.0334011529331995</v>
      </c>
    </row>
    <row r="81" spans="1:16" x14ac:dyDescent="0.3">
      <c r="A81" t="s">
        <v>6</v>
      </c>
      <c r="B81">
        <v>2006.4</v>
      </c>
      <c r="C81">
        <v>0</v>
      </c>
      <c r="D81">
        <v>57.07</v>
      </c>
      <c r="E81">
        <v>489824</v>
      </c>
      <c r="F81">
        <v>5.7099780000000004</v>
      </c>
      <c r="G81">
        <v>202.333333333333</v>
      </c>
      <c r="H81">
        <v>4.6306451612903201</v>
      </c>
      <c r="L81">
        <v>5.7099780000000004</v>
      </c>
      <c r="M81">
        <f>F77</f>
        <v>6.0791539999999999</v>
      </c>
      <c r="N81">
        <v>4.6306451612903201</v>
      </c>
      <c r="O81">
        <f>D81/D77</f>
        <v>1.1815734989648035</v>
      </c>
      <c r="P81">
        <f>G81/G77</f>
        <v>1.0196539559885773</v>
      </c>
    </row>
    <row r="82" spans="1:16" x14ac:dyDescent="0.3">
      <c r="A82" t="s">
        <v>6</v>
      </c>
      <c r="B82">
        <v>2007.1</v>
      </c>
      <c r="C82">
        <v>1696</v>
      </c>
      <c r="D82">
        <v>59.14</v>
      </c>
      <c r="E82">
        <v>491520</v>
      </c>
      <c r="F82">
        <v>5.4174629999999997</v>
      </c>
      <c r="G82">
        <v>204.31700000000001</v>
      </c>
      <c r="H82">
        <v>4.6790322580645203</v>
      </c>
      <c r="L82">
        <v>5.4174629999999997</v>
      </c>
      <c r="M82">
        <f>F78</f>
        <v>6.0132349999999999</v>
      </c>
      <c r="N82">
        <v>4.6790322580645203</v>
      </c>
      <c r="O82">
        <f>D82/D78</f>
        <v>1.1741115743498114</v>
      </c>
      <c r="P82">
        <f>G82/G78</f>
        <v>1.0243165106951855</v>
      </c>
    </row>
    <row r="83" spans="1:16" x14ac:dyDescent="0.3">
      <c r="A83" t="s">
        <v>6</v>
      </c>
      <c r="B83">
        <v>2007.2</v>
      </c>
      <c r="C83">
        <v>97</v>
      </c>
      <c r="D83">
        <v>61.29</v>
      </c>
      <c r="E83">
        <v>491617</v>
      </c>
      <c r="F83">
        <v>5.033677</v>
      </c>
      <c r="G83">
        <v>206.631</v>
      </c>
      <c r="H83">
        <v>4.8460937499999996</v>
      </c>
      <c r="L83">
        <v>5.033677</v>
      </c>
      <c r="M83">
        <f>F79</f>
        <v>5.9433009999999999</v>
      </c>
      <c r="N83">
        <v>4.8460937499999996</v>
      </c>
      <c r="O83">
        <f>D83/D79</f>
        <v>1.1889427740058196</v>
      </c>
      <c r="P83">
        <f>G83/G79</f>
        <v>1.0266528651871465</v>
      </c>
    </row>
    <row r="84" spans="1:16" x14ac:dyDescent="0.3">
      <c r="A84" t="s">
        <v>6</v>
      </c>
      <c r="B84">
        <v>2007.3</v>
      </c>
      <c r="C84">
        <v>30</v>
      </c>
      <c r="D84">
        <v>67</v>
      </c>
      <c r="E84">
        <v>491647</v>
      </c>
      <c r="F84">
        <v>4.6465560000000004</v>
      </c>
      <c r="G84">
        <v>207.93899999999999</v>
      </c>
      <c r="H84">
        <v>4.7384126984127004</v>
      </c>
      <c r="L84">
        <v>4.6465560000000004</v>
      </c>
      <c r="M84">
        <f>F80</f>
        <v>5.9096359999999999</v>
      </c>
      <c r="N84">
        <v>4.7384126984127004</v>
      </c>
      <c r="O84">
        <f>D84/D80</f>
        <v>1.2665406427221173</v>
      </c>
      <c r="P84">
        <f>G84/G80</f>
        <v>1.0234897456931895</v>
      </c>
    </row>
    <row r="85" spans="1:16" x14ac:dyDescent="0.3">
      <c r="A85" t="s">
        <v>6</v>
      </c>
      <c r="B85">
        <v>2007.4</v>
      </c>
      <c r="C85">
        <v>100</v>
      </c>
      <c r="D85">
        <v>68.400000000000006</v>
      </c>
      <c r="E85">
        <v>491747</v>
      </c>
      <c r="F85">
        <v>4.456664</v>
      </c>
      <c r="G85">
        <v>210.48966666666701</v>
      </c>
      <c r="H85">
        <v>4.26661290322581</v>
      </c>
      <c r="L85">
        <v>4.456664</v>
      </c>
      <c r="M85">
        <f>F81</f>
        <v>5.7099780000000004</v>
      </c>
      <c r="N85">
        <v>4.26661290322581</v>
      </c>
      <c r="O85">
        <f>D85/D81</f>
        <v>1.1985281233572807</v>
      </c>
      <c r="P85">
        <f>G85/G81</f>
        <v>1.0403113673805635</v>
      </c>
    </row>
    <row r="86" spans="1:16" x14ac:dyDescent="0.3">
      <c r="A86" t="s">
        <v>6</v>
      </c>
      <c r="B86">
        <v>2008.1</v>
      </c>
      <c r="C86">
        <v>2199</v>
      </c>
      <c r="D86">
        <v>71.86</v>
      </c>
      <c r="E86">
        <v>493946</v>
      </c>
      <c r="F86">
        <v>4.252605</v>
      </c>
      <c r="G86">
        <v>212.76966666666701</v>
      </c>
      <c r="H86">
        <v>3.6652459016393402</v>
      </c>
      <c r="L86">
        <v>4.252605</v>
      </c>
      <c r="M86">
        <f>F82</f>
        <v>5.4174629999999997</v>
      </c>
      <c r="N86">
        <v>3.6652459016393402</v>
      </c>
      <c r="O86">
        <f>D86/D82</f>
        <v>1.2150828542441663</v>
      </c>
      <c r="P86">
        <f>G86/G82</f>
        <v>1.0413703542371266</v>
      </c>
    </row>
    <row r="87" spans="1:16" x14ac:dyDescent="0.3">
      <c r="A87" t="s">
        <v>6</v>
      </c>
      <c r="B87">
        <v>2008.2</v>
      </c>
      <c r="C87">
        <v>179</v>
      </c>
      <c r="D87">
        <v>74.239999999999995</v>
      </c>
      <c r="E87">
        <v>494125</v>
      </c>
      <c r="F87">
        <v>4.2473010000000002</v>
      </c>
      <c r="G87">
        <v>215.53766666666701</v>
      </c>
      <c r="H87">
        <v>3.8815624999999998</v>
      </c>
      <c r="L87">
        <v>4.2473010000000002</v>
      </c>
      <c r="M87">
        <f>F83</f>
        <v>5.033677</v>
      </c>
      <c r="N87">
        <v>3.8815624999999998</v>
      </c>
      <c r="O87">
        <f>D87/D83</f>
        <v>1.211290585739925</v>
      </c>
      <c r="P87">
        <f>G87/G83</f>
        <v>1.0431042131464641</v>
      </c>
    </row>
    <row r="88" spans="1:16" x14ac:dyDescent="0.3">
      <c r="A88" t="s">
        <v>6</v>
      </c>
      <c r="B88">
        <v>2008.3</v>
      </c>
      <c r="C88">
        <v>327</v>
      </c>
      <c r="D88">
        <v>73.48</v>
      </c>
      <c r="E88">
        <v>494452</v>
      </c>
      <c r="F88">
        <v>4.2275859999999996</v>
      </c>
      <c r="G88">
        <v>218.86099999999999</v>
      </c>
      <c r="H88">
        <v>3.8621875000000001</v>
      </c>
      <c r="L88">
        <v>4.2275859999999996</v>
      </c>
      <c r="M88">
        <f>F84</f>
        <v>4.6465560000000004</v>
      </c>
      <c r="N88">
        <v>3.8621875000000001</v>
      </c>
      <c r="O88">
        <f>D88/D84</f>
        <v>1.0967164179104478</v>
      </c>
      <c r="P88">
        <f>G88/G84</f>
        <v>1.0525250193566382</v>
      </c>
    </row>
    <row r="89" spans="1:16" x14ac:dyDescent="0.3">
      <c r="A89" t="s">
        <v>6</v>
      </c>
      <c r="B89">
        <v>2008.4</v>
      </c>
      <c r="C89">
        <v>21</v>
      </c>
      <c r="D89">
        <v>70.64</v>
      </c>
      <c r="E89">
        <v>494473</v>
      </c>
      <c r="F89">
        <v>4.4117199999999999</v>
      </c>
      <c r="G89">
        <v>213.84866666666699</v>
      </c>
      <c r="H89">
        <v>3.2346774193548402</v>
      </c>
      <c r="L89">
        <v>4.4117199999999999</v>
      </c>
      <c r="M89">
        <f>F85</f>
        <v>4.456664</v>
      </c>
      <c r="N89">
        <v>3.2346774193548402</v>
      </c>
      <c r="O89">
        <f>D89/D85</f>
        <v>1.0327485380116959</v>
      </c>
      <c r="P89">
        <f>G89/G85</f>
        <v>1.0159580280267122</v>
      </c>
    </row>
    <row r="90" spans="1:16" x14ac:dyDescent="0.3">
      <c r="A90" t="s">
        <v>6</v>
      </c>
      <c r="B90">
        <v>2009.1</v>
      </c>
      <c r="C90">
        <v>8</v>
      </c>
      <c r="D90">
        <v>63.84</v>
      </c>
      <c r="E90">
        <v>494481</v>
      </c>
      <c r="F90">
        <v>4.905367</v>
      </c>
      <c r="G90">
        <v>212.37766666666701</v>
      </c>
      <c r="H90">
        <v>2.7362295081967201</v>
      </c>
      <c r="L90">
        <v>4.905367</v>
      </c>
      <c r="M90">
        <f>F86</f>
        <v>4.252605</v>
      </c>
      <c r="N90">
        <v>2.7362295081967201</v>
      </c>
      <c r="O90">
        <f>D90/D86</f>
        <v>0.88839409963818539</v>
      </c>
      <c r="P90">
        <f>G90/G86</f>
        <v>0.99815763211861341</v>
      </c>
    </row>
    <row r="91" spans="1:16" x14ac:dyDescent="0.3">
      <c r="A91" t="s">
        <v>6</v>
      </c>
      <c r="B91">
        <v>2009.2</v>
      </c>
      <c r="C91">
        <v>28</v>
      </c>
      <c r="D91">
        <v>56.5</v>
      </c>
      <c r="E91">
        <v>494509</v>
      </c>
      <c r="F91">
        <v>5.6118350000000001</v>
      </c>
      <c r="G91">
        <v>213.50700000000001</v>
      </c>
      <c r="H91">
        <v>3.3207936507936502</v>
      </c>
      <c r="L91">
        <v>5.6118350000000001</v>
      </c>
      <c r="M91">
        <f>F87</f>
        <v>4.2473010000000002</v>
      </c>
      <c r="N91">
        <v>3.3207936507936502</v>
      </c>
      <c r="O91">
        <f>D91/D87</f>
        <v>0.76104525862068972</v>
      </c>
      <c r="P91">
        <f>G91/G87</f>
        <v>0.99057859956418914</v>
      </c>
    </row>
    <row r="92" spans="1:16" x14ac:dyDescent="0.3">
      <c r="A92" t="s">
        <v>6</v>
      </c>
      <c r="B92">
        <v>2009.3</v>
      </c>
      <c r="C92">
        <v>127</v>
      </c>
      <c r="D92">
        <v>56.71</v>
      </c>
      <c r="E92">
        <v>494636</v>
      </c>
      <c r="F92">
        <v>6.2695150000000002</v>
      </c>
      <c r="G92">
        <v>215.34399999999999</v>
      </c>
      <c r="H92">
        <v>3.5178124999999998</v>
      </c>
      <c r="L92">
        <v>6.2695150000000002</v>
      </c>
      <c r="M92">
        <f>F88</f>
        <v>4.2275859999999996</v>
      </c>
      <c r="N92">
        <v>3.5178124999999998</v>
      </c>
      <c r="O92">
        <f>D92/D88</f>
        <v>0.77177463255307566</v>
      </c>
      <c r="P92">
        <f>G92/G88</f>
        <v>0.98393043986822692</v>
      </c>
    </row>
    <row r="93" spans="1:16" x14ac:dyDescent="0.3">
      <c r="A93" t="s">
        <v>6</v>
      </c>
      <c r="B93">
        <v>2009.4</v>
      </c>
      <c r="C93">
        <v>2199</v>
      </c>
      <c r="D93">
        <v>56</v>
      </c>
      <c r="E93">
        <v>496835</v>
      </c>
      <c r="F93">
        <v>6.7407180000000002</v>
      </c>
      <c r="G93">
        <v>217.03</v>
      </c>
      <c r="H93">
        <v>3.46403225806452</v>
      </c>
      <c r="L93">
        <v>6.7407180000000002</v>
      </c>
      <c r="M93">
        <f>F89</f>
        <v>4.4117199999999999</v>
      </c>
      <c r="N93">
        <v>3.46403225806452</v>
      </c>
      <c r="O93">
        <f>D93/D89</f>
        <v>0.79275198187995466</v>
      </c>
      <c r="P93">
        <f>G93/G89</f>
        <v>1.0148765638005677</v>
      </c>
    </row>
    <row r="94" spans="1:16" x14ac:dyDescent="0.3">
      <c r="A94" t="s">
        <v>6</v>
      </c>
      <c r="B94">
        <v>2010.1</v>
      </c>
      <c r="C94">
        <v>332</v>
      </c>
      <c r="D94">
        <v>54.79</v>
      </c>
      <c r="E94">
        <v>497167</v>
      </c>
      <c r="F94">
        <v>6.8791710000000004</v>
      </c>
      <c r="G94">
        <v>217.374</v>
      </c>
      <c r="H94">
        <v>3.71786885245902</v>
      </c>
      <c r="L94">
        <v>6.8791710000000004</v>
      </c>
      <c r="M94">
        <f>F90</f>
        <v>4.905367</v>
      </c>
      <c r="N94">
        <v>3.71786885245902</v>
      </c>
      <c r="O94">
        <f>D94/D90</f>
        <v>0.8582393483709273</v>
      </c>
      <c r="P94">
        <f>G94/G90</f>
        <v>1.0235257002854961</v>
      </c>
    </row>
    <row r="95" spans="1:16" x14ac:dyDescent="0.3">
      <c r="A95" t="s">
        <v>6</v>
      </c>
      <c r="B95">
        <v>2010.2</v>
      </c>
      <c r="C95">
        <v>0</v>
      </c>
      <c r="D95">
        <v>53.87</v>
      </c>
      <c r="E95">
        <v>497167</v>
      </c>
      <c r="F95">
        <v>6.7584390000000001</v>
      </c>
      <c r="G95">
        <v>217.297333333333</v>
      </c>
      <c r="H95">
        <v>3.4925000000000002</v>
      </c>
      <c r="L95">
        <v>6.7584390000000001</v>
      </c>
      <c r="M95">
        <f>F91</f>
        <v>5.6118350000000001</v>
      </c>
      <c r="N95">
        <v>3.4925000000000002</v>
      </c>
      <c r="O95">
        <f>D95/D91</f>
        <v>0.95345132743362826</v>
      </c>
      <c r="P95">
        <f>G95/G91</f>
        <v>1.0177527356636222</v>
      </c>
    </row>
    <row r="96" spans="1:16" x14ac:dyDescent="0.3">
      <c r="A96" t="s">
        <v>6</v>
      </c>
      <c r="B96">
        <v>2010.3</v>
      </c>
      <c r="C96">
        <v>1371</v>
      </c>
      <c r="D96">
        <v>53.56</v>
      </c>
      <c r="E96">
        <v>498538</v>
      </c>
      <c r="F96">
        <v>6.6143520000000002</v>
      </c>
      <c r="G96">
        <v>217.934333333333</v>
      </c>
      <c r="H96">
        <v>2.7845312500000001</v>
      </c>
      <c r="L96">
        <v>6.6143520000000002</v>
      </c>
      <c r="M96">
        <f>F92</f>
        <v>6.2695150000000002</v>
      </c>
      <c r="N96">
        <v>2.7845312500000001</v>
      </c>
      <c r="O96">
        <f>D96/D92</f>
        <v>0.94445424087462526</v>
      </c>
      <c r="P96">
        <f>G96/G92</f>
        <v>1.0120288159100463</v>
      </c>
    </row>
    <row r="97" spans="1:16" x14ac:dyDescent="0.3">
      <c r="A97" t="s">
        <v>6</v>
      </c>
      <c r="B97">
        <v>2010.4</v>
      </c>
      <c r="C97">
        <v>259</v>
      </c>
      <c r="D97">
        <v>52.97</v>
      </c>
      <c r="E97">
        <v>498797</v>
      </c>
      <c r="F97">
        <v>6.3602910000000001</v>
      </c>
      <c r="G97">
        <v>219.69900000000001</v>
      </c>
      <c r="H97">
        <v>2.87838709677419</v>
      </c>
      <c r="L97">
        <v>6.3602910000000001</v>
      </c>
      <c r="M97">
        <f>F93</f>
        <v>6.7407180000000002</v>
      </c>
      <c r="N97">
        <v>2.87838709677419</v>
      </c>
      <c r="O97">
        <f>D97/D93</f>
        <v>0.94589285714285709</v>
      </c>
      <c r="P97">
        <f>G97/G93</f>
        <v>1.0122978390084321</v>
      </c>
    </row>
    <row r="98" spans="1:16" x14ac:dyDescent="0.3">
      <c r="A98" t="s">
        <v>6</v>
      </c>
      <c r="B98">
        <v>2011.1</v>
      </c>
      <c r="C98">
        <v>88</v>
      </c>
      <c r="D98">
        <v>52.81</v>
      </c>
      <c r="E98">
        <v>498885</v>
      </c>
      <c r="F98">
        <v>6.0857970000000003</v>
      </c>
      <c r="G98">
        <v>222.04366666666701</v>
      </c>
      <c r="H98">
        <v>3.4574193548387102</v>
      </c>
      <c r="L98">
        <v>6.0857970000000003</v>
      </c>
      <c r="M98">
        <f>F94</f>
        <v>6.8791710000000004</v>
      </c>
      <c r="N98">
        <v>3.4574193548387102</v>
      </c>
      <c r="O98">
        <f>D98/D94</f>
        <v>0.96386201861653598</v>
      </c>
      <c r="P98">
        <f>G98/G94</f>
        <v>1.0214821766479294</v>
      </c>
    </row>
    <row r="99" spans="1:16" x14ac:dyDescent="0.3">
      <c r="A99" t="s">
        <v>6</v>
      </c>
      <c r="B99">
        <v>2011.2</v>
      </c>
      <c r="C99">
        <v>0</v>
      </c>
      <c r="D99">
        <v>55.26</v>
      </c>
      <c r="E99">
        <v>498885</v>
      </c>
      <c r="F99">
        <v>5.7741720000000001</v>
      </c>
      <c r="G99">
        <v>224.56833333333299</v>
      </c>
      <c r="H99">
        <v>3.2014285714285702</v>
      </c>
      <c r="L99">
        <v>5.7741720000000001</v>
      </c>
      <c r="M99">
        <f>F95</f>
        <v>6.7584390000000001</v>
      </c>
      <c r="N99">
        <v>3.2014285714285702</v>
      </c>
      <c r="O99">
        <f>D99/D95</f>
        <v>1.0258028587339894</v>
      </c>
      <c r="P99">
        <f>G99/G95</f>
        <v>1.0334610641026427</v>
      </c>
    </row>
    <row r="100" spans="1:16" x14ac:dyDescent="0.3">
      <c r="A100" t="s">
        <v>6</v>
      </c>
      <c r="B100">
        <v>2011.3</v>
      </c>
      <c r="C100">
        <v>0</v>
      </c>
      <c r="D100">
        <v>55.85</v>
      </c>
      <c r="E100">
        <v>498885</v>
      </c>
      <c r="F100">
        <v>5.4525949999999996</v>
      </c>
      <c r="G100">
        <v>226.03266666666701</v>
      </c>
      <c r="H100">
        <v>2.4142187499999999</v>
      </c>
      <c r="L100">
        <v>5.4525949999999996</v>
      </c>
      <c r="M100">
        <f>F96</f>
        <v>6.6143520000000002</v>
      </c>
      <c r="N100">
        <v>2.4142187499999999</v>
      </c>
      <c r="O100">
        <f>D100/D96</f>
        <v>1.0427557879014189</v>
      </c>
      <c r="P100">
        <f>G100/G96</f>
        <v>1.0371595113512817</v>
      </c>
    </row>
    <row r="101" spans="1:16" x14ac:dyDescent="0.3">
      <c r="A101" t="s">
        <v>6</v>
      </c>
      <c r="B101">
        <v>2011.4</v>
      </c>
      <c r="C101">
        <v>66</v>
      </c>
      <c r="D101">
        <v>56.84</v>
      </c>
      <c r="E101">
        <v>498951</v>
      </c>
      <c r="F101">
        <v>5.1790039999999999</v>
      </c>
      <c r="G101">
        <v>227.047333333333</v>
      </c>
      <c r="H101">
        <v>2.0467213114754101</v>
      </c>
      <c r="L101">
        <v>5.1790039999999999</v>
      </c>
      <c r="M101">
        <f>F97</f>
        <v>6.3602910000000001</v>
      </c>
      <c r="N101">
        <v>2.0467213114754101</v>
      </c>
      <c r="O101">
        <f>D101/D97</f>
        <v>1.0730602227676045</v>
      </c>
      <c r="P101">
        <f>G101/G97</f>
        <v>1.0334472771079204</v>
      </c>
    </row>
    <row r="102" spans="1:16" x14ac:dyDescent="0.3">
      <c r="A102" t="s">
        <v>6</v>
      </c>
      <c r="B102">
        <v>2012.1</v>
      </c>
      <c r="C102">
        <v>0</v>
      </c>
      <c r="D102">
        <v>56.3</v>
      </c>
      <c r="E102">
        <v>498951</v>
      </c>
      <c r="F102">
        <v>5.051812</v>
      </c>
      <c r="G102">
        <v>228.32599999999999</v>
      </c>
      <c r="H102">
        <v>2.04</v>
      </c>
      <c r="L102">
        <v>5.051812</v>
      </c>
      <c r="M102">
        <f>F98</f>
        <v>6.0857970000000003</v>
      </c>
      <c r="N102">
        <v>2.04</v>
      </c>
      <c r="O102">
        <f>D102/D98</f>
        <v>1.0660859685665593</v>
      </c>
      <c r="P102">
        <f>G102/G98</f>
        <v>1.0282932336132067</v>
      </c>
    </row>
    <row r="103" spans="1:16" x14ac:dyDescent="0.3">
      <c r="A103" t="s">
        <v>6</v>
      </c>
      <c r="B103">
        <v>2012.2</v>
      </c>
      <c r="C103">
        <v>0</v>
      </c>
      <c r="D103">
        <v>58.69</v>
      </c>
      <c r="E103">
        <v>498951</v>
      </c>
      <c r="F103">
        <v>4.9569190000000001</v>
      </c>
      <c r="G103">
        <v>228.80799999999999</v>
      </c>
      <c r="H103">
        <v>1.8257812499999999</v>
      </c>
      <c r="L103">
        <v>4.9569190000000001</v>
      </c>
      <c r="M103">
        <f>F99</f>
        <v>5.7741720000000001</v>
      </c>
      <c r="N103">
        <v>1.8257812499999999</v>
      </c>
      <c r="O103">
        <f>D103/D99</f>
        <v>1.0620702135360116</v>
      </c>
      <c r="P103">
        <f>G103/G99</f>
        <v>1.0188791830252129</v>
      </c>
    </row>
    <row r="104" spans="1:16" x14ac:dyDescent="0.3">
      <c r="A104" t="s">
        <v>6</v>
      </c>
      <c r="B104">
        <v>2012.3</v>
      </c>
      <c r="C104">
        <v>23</v>
      </c>
      <c r="D104">
        <v>58.98</v>
      </c>
      <c r="E104">
        <v>498974</v>
      </c>
      <c r="F104">
        <v>4.9337479999999996</v>
      </c>
      <c r="G104">
        <v>229.84100000000001</v>
      </c>
      <c r="H104">
        <v>1.6412698412698401</v>
      </c>
      <c r="L104">
        <v>4.9337479999999996</v>
      </c>
      <c r="M104">
        <f>F100</f>
        <v>5.4525949999999996</v>
      </c>
      <c r="N104">
        <v>1.6412698412698401</v>
      </c>
      <c r="O104">
        <f>D104/D100</f>
        <v>1.0560429722470903</v>
      </c>
      <c r="P104">
        <f>G104/G100</f>
        <v>1.0168485971054315</v>
      </c>
    </row>
    <row r="105" spans="1:16" x14ac:dyDescent="0.3">
      <c r="A105" t="s">
        <v>6</v>
      </c>
      <c r="B105">
        <v>2012.4</v>
      </c>
      <c r="C105">
        <v>0</v>
      </c>
      <c r="D105">
        <v>60.35</v>
      </c>
      <c r="E105">
        <v>498974</v>
      </c>
      <c r="F105">
        <v>4.928375</v>
      </c>
      <c r="G105">
        <v>231.369333333333</v>
      </c>
      <c r="H105">
        <v>1.70704918032787</v>
      </c>
      <c r="L105">
        <v>4.928375</v>
      </c>
      <c r="M105">
        <f>F101</f>
        <v>5.1790039999999999</v>
      </c>
      <c r="N105">
        <v>1.70704918032787</v>
      </c>
      <c r="O105">
        <f>D105/D101</f>
        <v>1.0617522871217453</v>
      </c>
      <c r="P105">
        <f>G105/G101</f>
        <v>1.0190356783167094</v>
      </c>
    </row>
    <row r="106" spans="1:16" x14ac:dyDescent="0.3">
      <c r="A106" t="s">
        <v>6</v>
      </c>
      <c r="B106">
        <v>2013.1</v>
      </c>
      <c r="C106">
        <v>0</v>
      </c>
      <c r="D106">
        <v>59.51</v>
      </c>
      <c r="E106">
        <v>498974</v>
      </c>
      <c r="F106">
        <v>4.8016829999999997</v>
      </c>
      <c r="G106">
        <v>232.29933333333301</v>
      </c>
      <c r="H106">
        <v>1.9510000000000001</v>
      </c>
      <c r="L106">
        <v>4.8016829999999997</v>
      </c>
      <c r="M106">
        <f>F102</f>
        <v>5.051812</v>
      </c>
      <c r="N106">
        <v>1.9510000000000001</v>
      </c>
      <c r="O106">
        <f>D106/D102</f>
        <v>1.0570159857904085</v>
      </c>
      <c r="P106">
        <f>G106/G102</f>
        <v>1.0174020187509658</v>
      </c>
    </row>
    <row r="107" spans="1:16" x14ac:dyDescent="0.3">
      <c r="A107" t="s">
        <v>6</v>
      </c>
      <c r="B107">
        <v>2013.2</v>
      </c>
      <c r="C107">
        <v>0</v>
      </c>
      <c r="D107">
        <v>59.24</v>
      </c>
      <c r="E107">
        <v>498974</v>
      </c>
      <c r="F107">
        <v>4.7192410000000002</v>
      </c>
      <c r="G107">
        <v>232.04499999999999</v>
      </c>
      <c r="H107">
        <v>1.9862500000000001</v>
      </c>
      <c r="L107">
        <v>4.7192410000000002</v>
      </c>
      <c r="M107">
        <f>F103</f>
        <v>4.9569190000000001</v>
      </c>
      <c r="N107">
        <v>1.9862500000000001</v>
      </c>
      <c r="O107">
        <f>D107/D103</f>
        <v>1.0093712727892317</v>
      </c>
      <c r="P107">
        <f>G107/G103</f>
        <v>1.0141472326142442</v>
      </c>
    </row>
    <row r="108" spans="1:16" x14ac:dyDescent="0.3">
      <c r="A108" t="s">
        <v>6</v>
      </c>
      <c r="B108">
        <v>2013.3</v>
      </c>
      <c r="C108">
        <v>421</v>
      </c>
      <c r="D108">
        <v>59.12</v>
      </c>
      <c r="E108">
        <v>499395</v>
      </c>
      <c r="F108">
        <v>4.6646869999999998</v>
      </c>
      <c r="G108">
        <v>233.3</v>
      </c>
      <c r="H108">
        <v>2.7065625</v>
      </c>
      <c r="L108">
        <v>4.6646869999999998</v>
      </c>
      <c r="M108">
        <f>F104</f>
        <v>4.9337479999999996</v>
      </c>
      <c r="N108">
        <v>2.7065625</v>
      </c>
      <c r="O108">
        <f>D108/D104</f>
        <v>1.0023736859952526</v>
      </c>
      <c r="P108">
        <f>G108/G104</f>
        <v>1.0150495342432377</v>
      </c>
    </row>
    <row r="109" spans="1:16" x14ac:dyDescent="0.3">
      <c r="A109" t="s">
        <v>6</v>
      </c>
      <c r="B109">
        <v>2013.4</v>
      </c>
      <c r="C109">
        <v>3903</v>
      </c>
      <c r="D109">
        <v>60.27</v>
      </c>
      <c r="E109">
        <v>503298</v>
      </c>
      <c r="F109">
        <v>4.5459240000000003</v>
      </c>
      <c r="G109">
        <v>234.16266666666701</v>
      </c>
      <c r="H109">
        <v>2.7441935483870998</v>
      </c>
      <c r="L109">
        <v>4.5459240000000003</v>
      </c>
      <c r="M109">
        <f>F105</f>
        <v>4.928375</v>
      </c>
      <c r="N109">
        <v>2.7441935483870998</v>
      </c>
      <c r="O109">
        <f>D109/D105</f>
        <v>0.9986743993371997</v>
      </c>
      <c r="P109">
        <f>G109/G105</f>
        <v>1.0120730491508556</v>
      </c>
    </row>
    <row r="110" spans="1:16" x14ac:dyDescent="0.3">
      <c r="A110" t="s">
        <v>6</v>
      </c>
      <c r="B110">
        <v>2014.1</v>
      </c>
      <c r="C110">
        <v>33</v>
      </c>
      <c r="D110">
        <v>61.44</v>
      </c>
      <c r="E110">
        <v>503331</v>
      </c>
      <c r="F110">
        <v>4.4858770000000003</v>
      </c>
      <c r="G110">
        <v>235.62100000000001</v>
      </c>
      <c r="H110">
        <v>2.7654098360655701</v>
      </c>
      <c r="L110">
        <v>4.4858770000000003</v>
      </c>
      <c r="M110">
        <f>F106</f>
        <v>4.8016829999999997</v>
      </c>
      <c r="N110">
        <v>2.7654098360655701</v>
      </c>
      <c r="O110">
        <f>D110/D106</f>
        <v>1.0324315241135944</v>
      </c>
      <c r="P110">
        <f>G110/G106</f>
        <v>1.0142990796357587</v>
      </c>
    </row>
    <row r="111" spans="1:16" x14ac:dyDescent="0.3">
      <c r="A111" t="s">
        <v>6</v>
      </c>
      <c r="B111">
        <v>2014.2</v>
      </c>
      <c r="C111">
        <v>35</v>
      </c>
      <c r="D111">
        <v>60.39</v>
      </c>
      <c r="E111">
        <v>503366</v>
      </c>
      <c r="F111">
        <v>4.4148040000000002</v>
      </c>
      <c r="G111">
        <v>236.87233333333299</v>
      </c>
      <c r="H111">
        <v>2.6209523809523798</v>
      </c>
      <c r="L111">
        <v>4.4148040000000002</v>
      </c>
      <c r="M111">
        <f>F107</f>
        <v>4.7192410000000002</v>
      </c>
      <c r="N111">
        <v>2.6209523809523798</v>
      </c>
      <c r="O111">
        <f>D111/D107</f>
        <v>1.0194125590817016</v>
      </c>
      <c r="P111">
        <f>G111/G107</f>
        <v>1.0208034361151199</v>
      </c>
    </row>
    <row r="112" spans="1:16" x14ac:dyDescent="0.3">
      <c r="A112" t="s">
        <v>6</v>
      </c>
      <c r="B112">
        <v>2014.3</v>
      </c>
      <c r="C112">
        <v>528</v>
      </c>
      <c r="D112">
        <v>64.7</v>
      </c>
      <c r="E112">
        <v>503894</v>
      </c>
      <c r="F112">
        <v>4.3681020000000004</v>
      </c>
      <c r="G112">
        <v>237.47833333333301</v>
      </c>
      <c r="H112">
        <v>2.49953125</v>
      </c>
      <c r="L112">
        <v>4.3681020000000004</v>
      </c>
      <c r="M112">
        <f>F108</f>
        <v>4.6646869999999998</v>
      </c>
      <c r="N112">
        <v>2.49953125</v>
      </c>
      <c r="O112">
        <f>D112/D108</f>
        <v>1.0943843031123139</v>
      </c>
      <c r="P112">
        <f>G112/G108</f>
        <v>1.0179097013859109</v>
      </c>
    </row>
    <row r="113" spans="1:16" x14ac:dyDescent="0.3">
      <c r="A113" t="s">
        <v>6</v>
      </c>
      <c r="B113">
        <v>2014.4</v>
      </c>
      <c r="C113">
        <v>3000</v>
      </c>
      <c r="D113">
        <v>63.72</v>
      </c>
      <c r="E113">
        <v>506894</v>
      </c>
      <c r="F113">
        <v>4.3709930000000004</v>
      </c>
      <c r="G113">
        <v>236.88833333333301</v>
      </c>
      <c r="H113">
        <v>2.2759677419354798</v>
      </c>
      <c r="L113">
        <v>4.3709930000000004</v>
      </c>
      <c r="M113">
        <f>F109</f>
        <v>4.5459240000000003</v>
      </c>
      <c r="N113">
        <v>2.2759677419354798</v>
      </c>
      <c r="O113">
        <f>D113/D109</f>
        <v>1.0572424091587853</v>
      </c>
      <c r="P113">
        <f>G113/G109</f>
        <v>1.0116400564849477</v>
      </c>
    </row>
    <row r="114" spans="1:16" x14ac:dyDescent="0.3">
      <c r="A114" t="s">
        <v>6</v>
      </c>
      <c r="B114">
        <v>2015.1</v>
      </c>
      <c r="C114">
        <v>0</v>
      </c>
      <c r="D114">
        <v>63.52</v>
      </c>
      <c r="E114">
        <v>506894</v>
      </c>
      <c r="F114">
        <v>4.2704779999999998</v>
      </c>
      <c r="G114">
        <v>235.35499999999999</v>
      </c>
      <c r="H114">
        <v>1.9688524590163901</v>
      </c>
      <c r="L114">
        <v>4.2704779999999998</v>
      </c>
      <c r="M114">
        <f>F110</f>
        <v>4.4858770000000003</v>
      </c>
      <c r="N114">
        <v>1.9688524590163901</v>
      </c>
      <c r="O114">
        <f>D114/D110</f>
        <v>1.0338541666666667</v>
      </c>
      <c r="P114">
        <f>G114/G110</f>
        <v>0.99887106836826933</v>
      </c>
    </row>
    <row r="115" spans="1:16" x14ac:dyDescent="0.3">
      <c r="A115" t="s">
        <v>6</v>
      </c>
      <c r="B115">
        <v>2015.2</v>
      </c>
      <c r="C115">
        <v>298</v>
      </c>
      <c r="D115">
        <v>64.430000000000007</v>
      </c>
      <c r="E115">
        <v>507192</v>
      </c>
      <c r="F115">
        <v>4.2170100000000001</v>
      </c>
      <c r="G115">
        <v>236.96</v>
      </c>
      <c r="H115">
        <v>2.1643750000000002</v>
      </c>
      <c r="L115">
        <v>4.2170100000000001</v>
      </c>
      <c r="M115">
        <f>F111</f>
        <v>4.4148040000000002</v>
      </c>
      <c r="N115">
        <v>2.1643750000000002</v>
      </c>
      <c r="O115">
        <f>D115/D111</f>
        <v>1.0668984931280014</v>
      </c>
      <c r="P115">
        <f>G115/G111</f>
        <v>1.0003701009123074</v>
      </c>
    </row>
    <row r="116" spans="1:16" x14ac:dyDescent="0.3">
      <c r="A116" t="s">
        <v>6</v>
      </c>
      <c r="B116">
        <v>2015.3</v>
      </c>
      <c r="C116">
        <v>470</v>
      </c>
      <c r="D116">
        <v>66.83</v>
      </c>
      <c r="E116">
        <v>507662</v>
      </c>
      <c r="F116">
        <v>4.1024799999999999</v>
      </c>
      <c r="G116">
        <v>237.85499999999999</v>
      </c>
      <c r="H116">
        <v>2.223125</v>
      </c>
      <c r="L116">
        <v>4.1024799999999999</v>
      </c>
      <c r="M116">
        <f>F112</f>
        <v>4.3681020000000004</v>
      </c>
      <c r="N116">
        <v>2.223125</v>
      </c>
      <c r="O116">
        <f>D116/D112</f>
        <v>1.0329211746522411</v>
      </c>
      <c r="P116">
        <f>G116/G112</f>
        <v>1.0015861096100007</v>
      </c>
    </row>
    <row r="117" spans="1:16" x14ac:dyDescent="0.3">
      <c r="A117" t="s">
        <v>6</v>
      </c>
      <c r="B117">
        <v>2015.4</v>
      </c>
      <c r="C117">
        <v>0</v>
      </c>
      <c r="D117">
        <v>66.86</v>
      </c>
      <c r="E117">
        <v>507662</v>
      </c>
      <c r="F117">
        <v>3.940515</v>
      </c>
      <c r="G117">
        <v>237.83699999999999</v>
      </c>
      <c r="H117">
        <v>2.1904838709677401</v>
      </c>
      <c r="L117">
        <v>3.940515</v>
      </c>
      <c r="M117">
        <f>F113</f>
        <v>4.3709930000000004</v>
      </c>
      <c r="N117">
        <v>2.1904838709677401</v>
      </c>
      <c r="O117">
        <f>D117/D113</f>
        <v>1.049278091650973</v>
      </c>
      <c r="P117">
        <f>G117/G113</f>
        <v>1.0040046998234062</v>
      </c>
    </row>
    <row r="118" spans="1:16" x14ac:dyDescent="0.3">
      <c r="A118" t="s">
        <v>6</v>
      </c>
      <c r="B118">
        <v>2016.1</v>
      </c>
      <c r="C118">
        <v>0</v>
      </c>
      <c r="D118">
        <v>67.23</v>
      </c>
      <c r="E118">
        <v>507662</v>
      </c>
      <c r="F118">
        <v>3.9390390000000002</v>
      </c>
      <c r="G118">
        <v>237.689333333333</v>
      </c>
      <c r="H118">
        <v>1.9142619999999999</v>
      </c>
      <c r="L118">
        <v>3.9390390000000002</v>
      </c>
      <c r="M118">
        <f>F114</f>
        <v>4.2704779999999998</v>
      </c>
      <c r="N118">
        <v>1.9142619999999999</v>
      </c>
      <c r="O118">
        <f>D118/D114</f>
        <v>1.0584068010075567</v>
      </c>
      <c r="P118">
        <f>G118/G114</f>
        <v>1.0099183502935267</v>
      </c>
    </row>
    <row r="119" spans="1:16" x14ac:dyDescent="0.3">
      <c r="A119" t="s">
        <v>6</v>
      </c>
      <c r="B119">
        <v>2016.2</v>
      </c>
      <c r="C119">
        <v>1700</v>
      </c>
      <c r="D119">
        <v>66.510000000000005</v>
      </c>
      <c r="E119">
        <v>509362</v>
      </c>
      <c r="F119">
        <v>3.7995009999999998</v>
      </c>
      <c r="G119">
        <v>239.59033333333301</v>
      </c>
      <c r="H119">
        <v>1.750156</v>
      </c>
      <c r="L119">
        <v>3.7995009999999998</v>
      </c>
      <c r="M119">
        <f>F115</f>
        <v>4.2170100000000001</v>
      </c>
      <c r="N119">
        <v>1.750156</v>
      </c>
      <c r="O119">
        <f>D119/D115</f>
        <v>1.0322830979357442</v>
      </c>
      <c r="P119">
        <f>G119/G115</f>
        <v>1.0111003263560643</v>
      </c>
    </row>
    <row r="120" spans="1:16" x14ac:dyDescent="0.3">
      <c r="A120" t="s">
        <v>6</v>
      </c>
      <c r="B120">
        <v>2016.3</v>
      </c>
      <c r="C120">
        <v>0</v>
      </c>
      <c r="D120">
        <v>66.459999999999994</v>
      </c>
      <c r="E120">
        <v>509362</v>
      </c>
      <c r="F120">
        <v>3.7430289999999999</v>
      </c>
      <c r="G120">
        <v>240.607333333333</v>
      </c>
      <c r="H120">
        <v>1.5643750000000001</v>
      </c>
      <c r="L120">
        <v>3.7430289999999999</v>
      </c>
      <c r="M120">
        <f>F116</f>
        <v>4.1024799999999999</v>
      </c>
      <c r="N120">
        <v>1.5643750000000001</v>
      </c>
      <c r="O120">
        <f>D120/D116</f>
        <v>0.99446356426754445</v>
      </c>
      <c r="P120">
        <f>G120/G116</f>
        <v>1.011571475618898</v>
      </c>
    </row>
    <row r="121" spans="1:16" x14ac:dyDescent="0.3">
      <c r="A121" t="s">
        <v>6</v>
      </c>
      <c r="B121">
        <v>2016.4</v>
      </c>
      <c r="C121">
        <v>328</v>
      </c>
      <c r="D121">
        <v>66.97</v>
      </c>
      <c r="E121">
        <v>509690</v>
      </c>
      <c r="F121">
        <v>3.639294</v>
      </c>
      <c r="G121">
        <v>242.13466666666699</v>
      </c>
      <c r="H121">
        <v>2.1386889999999998</v>
      </c>
      <c r="L121">
        <v>3.639294</v>
      </c>
      <c r="M121">
        <f>F117</f>
        <v>3.940515</v>
      </c>
      <c r="N121">
        <v>2.1386889999999998</v>
      </c>
      <c r="O121">
        <f>D121/D117</f>
        <v>1.0016452288363744</v>
      </c>
      <c r="P121">
        <f>G121/G117</f>
        <v>1.0180697985034581</v>
      </c>
    </row>
    <row r="122" spans="1:16" x14ac:dyDescent="0.3">
      <c r="A122" t="s">
        <v>6</v>
      </c>
      <c r="B122">
        <v>2017.1</v>
      </c>
      <c r="C122">
        <v>29</v>
      </c>
      <c r="D122">
        <v>68.13</v>
      </c>
      <c r="E122">
        <v>509719</v>
      </c>
      <c r="F122">
        <v>3.6377830000000002</v>
      </c>
      <c r="G122">
        <v>243.838666666667</v>
      </c>
      <c r="H122">
        <v>2.4466130000000001</v>
      </c>
      <c r="L122">
        <v>3.6377830000000002</v>
      </c>
      <c r="M122">
        <f>F118</f>
        <v>3.9390390000000002</v>
      </c>
      <c r="N122">
        <v>2.4466130000000001</v>
      </c>
      <c r="O122">
        <f>D122/D118</f>
        <v>1.0133868808567603</v>
      </c>
      <c r="P122">
        <f>G122/G118</f>
        <v>1.0258713054014512</v>
      </c>
    </row>
    <row r="123" spans="1:16" x14ac:dyDescent="0.3">
      <c r="A123" t="s">
        <v>6</v>
      </c>
      <c r="B123">
        <v>2017.2</v>
      </c>
      <c r="C123">
        <v>0</v>
      </c>
      <c r="D123">
        <v>68.180000000000007</v>
      </c>
      <c r="E123">
        <v>509719</v>
      </c>
      <c r="F123">
        <v>3.6725210000000001</v>
      </c>
      <c r="G123">
        <v>244.12</v>
      </c>
      <c r="H123">
        <v>2.2609520000000001</v>
      </c>
      <c r="L123">
        <v>3.6725210000000001</v>
      </c>
      <c r="M123">
        <f>F119</f>
        <v>3.7995009999999998</v>
      </c>
      <c r="N123">
        <v>2.2609520000000001</v>
      </c>
      <c r="O123">
        <f>D123/D119</f>
        <v>1.0251090061644865</v>
      </c>
      <c r="P123">
        <f>G123/G119</f>
        <v>1.018905882402046</v>
      </c>
    </row>
    <row r="124" spans="1:16" x14ac:dyDescent="0.3">
      <c r="A124" t="s">
        <v>6</v>
      </c>
      <c r="B124">
        <v>2017.3</v>
      </c>
      <c r="C124">
        <v>86</v>
      </c>
      <c r="D124">
        <v>68.650000000000006</v>
      </c>
      <c r="E124">
        <v>509805</v>
      </c>
      <c r="F124">
        <v>3.695916</v>
      </c>
      <c r="G124">
        <v>245.28700000000001</v>
      </c>
      <c r="H124">
        <v>2.2414290000000001</v>
      </c>
      <c r="L124">
        <v>3.695916</v>
      </c>
      <c r="M124">
        <f>F120</f>
        <v>3.7430289999999999</v>
      </c>
      <c r="N124">
        <v>2.2414290000000001</v>
      </c>
      <c r="O124">
        <f>D124/D120</f>
        <v>1.0329521516701778</v>
      </c>
      <c r="P124">
        <f>G124/G120</f>
        <v>1.019449393340742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8B23-67B8-4FB5-A91E-9D7B5F6FB78F}">
  <dimension ref="A1:I145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0.93010373819652226</v>
      </c>
    </row>
    <row r="5" spans="1:9" x14ac:dyDescent="0.3">
      <c r="A5" s="2" t="s">
        <v>21</v>
      </c>
      <c r="B5" s="2">
        <v>0.86509296380714473</v>
      </c>
    </row>
    <row r="6" spans="1:9" x14ac:dyDescent="0.3">
      <c r="A6" s="2" t="s">
        <v>22</v>
      </c>
      <c r="B6" s="2">
        <v>0.86157364981950502</v>
      </c>
    </row>
    <row r="7" spans="1:9" x14ac:dyDescent="0.3">
      <c r="A7" s="2" t="s">
        <v>23</v>
      </c>
      <c r="B7" s="2">
        <v>0.58152413452218532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249.37993420616414</v>
      </c>
      <c r="D12" s="2">
        <v>83.126644735388041</v>
      </c>
      <c r="E12" s="2">
        <v>245.81295299182338</v>
      </c>
      <c r="F12" s="2">
        <v>7.6068298530408007E-50</v>
      </c>
    </row>
    <row r="13" spans="1:9" x14ac:dyDescent="0.3">
      <c r="A13" s="2" t="s">
        <v>27</v>
      </c>
      <c r="B13" s="2">
        <v>115</v>
      </c>
      <c r="C13" s="2">
        <v>38.889586688654319</v>
      </c>
      <c r="D13" s="2">
        <v>0.33817031903177669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288.26952089481847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4.4389029607500552</v>
      </c>
      <c r="C17" s="2">
        <v>0.76834013972910686</v>
      </c>
      <c r="D17" s="2">
        <v>5.7772628699511603</v>
      </c>
      <c r="E17" s="2">
        <v>6.5950646415391964E-8</v>
      </c>
      <c r="F17" s="2">
        <v>2.9169690178418084</v>
      </c>
      <c r="G17" s="2">
        <v>5.9608369036583024</v>
      </c>
      <c r="H17" s="2">
        <v>2.9169690178418084</v>
      </c>
      <c r="I17" s="2">
        <v>5.9608369036583024</v>
      </c>
    </row>
    <row r="18" spans="1:9" x14ac:dyDescent="0.3">
      <c r="A18" s="2" t="s">
        <v>42</v>
      </c>
      <c r="B18" s="2">
        <v>0.91606644854716035</v>
      </c>
      <c r="C18" s="2">
        <v>5.0065342787874868E-2</v>
      </c>
      <c r="D18" s="2">
        <v>18.297416886337967</v>
      </c>
      <c r="E18" s="2">
        <v>7.5033980360705551E-36</v>
      </c>
      <c r="F18" s="2">
        <v>0.81689664000498552</v>
      </c>
      <c r="G18" s="2">
        <v>1.0152362570893352</v>
      </c>
      <c r="H18" s="2">
        <v>0.81689664000498552</v>
      </c>
      <c r="I18" s="2">
        <v>1.0152362570893352</v>
      </c>
    </row>
    <row r="19" spans="1:9" x14ac:dyDescent="0.3">
      <c r="A19" s="2" t="s">
        <v>43</v>
      </c>
      <c r="B19" s="2">
        <v>4.1569461915690137E-2</v>
      </c>
      <c r="C19" s="2">
        <v>3.6075183044863193E-2</v>
      </c>
      <c r="D19" s="2">
        <v>1.1523007898253557</v>
      </c>
      <c r="E19" s="2">
        <v>0.25158724345007805</v>
      </c>
      <c r="F19" s="2">
        <v>-2.9888532706278795E-2</v>
      </c>
      <c r="G19" s="2">
        <v>0.11302745653765907</v>
      </c>
      <c r="H19" s="2">
        <v>-2.9888532706278795E-2</v>
      </c>
      <c r="I19" s="2">
        <v>0.11302745653765907</v>
      </c>
    </row>
    <row r="20" spans="1:9" ht="15" thickBot="1" x14ac:dyDescent="0.35">
      <c r="A20" s="3" t="s">
        <v>44</v>
      </c>
      <c r="B20" s="3">
        <v>-4.1194907974739055</v>
      </c>
      <c r="C20" s="3">
        <v>0.7524063049574764</v>
      </c>
      <c r="D20" s="3">
        <v>-5.4750880878207502</v>
      </c>
      <c r="E20" s="3">
        <v>2.601112848705448E-7</v>
      </c>
      <c r="F20" s="3">
        <v>-5.6098628803078032</v>
      </c>
      <c r="G20" s="3">
        <v>-2.6291187146400077</v>
      </c>
      <c r="H20" s="3">
        <v>-5.6098628803078032</v>
      </c>
      <c r="I20" s="3">
        <v>-2.6291187146400077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8.1562023173846789</v>
      </c>
      <c r="C27" s="2">
        <v>-0.13729831738467979</v>
      </c>
    </row>
    <row r="28" spans="1:9" x14ac:dyDescent="0.3">
      <c r="A28" s="2">
        <v>2</v>
      </c>
      <c r="B28" s="2">
        <v>8.1350701932754106</v>
      </c>
      <c r="C28" s="2">
        <v>-9.6466193275411172E-2</v>
      </c>
    </row>
    <row r="29" spans="1:9" x14ac:dyDescent="0.3">
      <c r="A29" s="2">
        <v>3</v>
      </c>
      <c r="B29" s="2">
        <v>8.1636641030512216</v>
      </c>
      <c r="C29" s="2">
        <v>-0.30634210305122167</v>
      </c>
    </row>
    <row r="30" spans="1:9" x14ac:dyDescent="0.3">
      <c r="A30" s="2">
        <v>4</v>
      </c>
      <c r="B30" s="2">
        <v>8.0929450643072514</v>
      </c>
      <c r="C30" s="2">
        <v>-0.52020406430725163</v>
      </c>
    </row>
    <row r="31" spans="1:9" x14ac:dyDescent="0.3">
      <c r="A31" s="2">
        <v>5</v>
      </c>
      <c r="B31" s="2">
        <v>8.1051859641543516</v>
      </c>
      <c r="C31" s="2">
        <v>-0.58337596415435122</v>
      </c>
    </row>
    <row r="32" spans="1:9" x14ac:dyDescent="0.3">
      <c r="A32" s="2">
        <v>6</v>
      </c>
      <c r="B32" s="2">
        <v>8.1628306521250948</v>
      </c>
      <c r="C32" s="2">
        <v>-0.89568165212509498</v>
      </c>
    </row>
    <row r="33" spans="1:3" x14ac:dyDescent="0.3">
      <c r="A33" s="2">
        <v>7</v>
      </c>
      <c r="B33" s="2">
        <v>7.9835458778556401</v>
      </c>
      <c r="C33" s="2">
        <v>-0.91850187785563975</v>
      </c>
    </row>
    <row r="34" spans="1:3" x14ac:dyDescent="0.3">
      <c r="A34" s="2">
        <v>8</v>
      </c>
      <c r="B34" s="2">
        <v>7.7241734512782045</v>
      </c>
      <c r="C34" s="2">
        <v>-0.67484045127820469</v>
      </c>
    </row>
    <row r="35" spans="1:3" x14ac:dyDescent="0.3">
      <c r="A35" s="2">
        <v>9</v>
      </c>
      <c r="B35" s="2">
        <v>7.6400990004679041</v>
      </c>
      <c r="C35" s="2">
        <v>-0.77672900046790438</v>
      </c>
    </row>
    <row r="36" spans="1:3" x14ac:dyDescent="0.3">
      <c r="A36" s="2">
        <v>10</v>
      </c>
      <c r="B36" s="2">
        <v>7.3573539389980969</v>
      </c>
      <c r="C36" s="2">
        <v>-0.79751293899809728</v>
      </c>
    </row>
    <row r="37" spans="1:3" x14ac:dyDescent="0.3">
      <c r="A37" s="2">
        <v>11</v>
      </c>
      <c r="B37" s="2">
        <v>7.1418579669320144</v>
      </c>
      <c r="C37" s="2">
        <v>-0.66615996693201396</v>
      </c>
    </row>
    <row r="38" spans="1:3" x14ac:dyDescent="0.3">
      <c r="A38" s="2">
        <v>12</v>
      </c>
      <c r="B38" s="2">
        <v>7.0831381040993167</v>
      </c>
      <c r="C38" s="2">
        <v>-0.46341410409931694</v>
      </c>
    </row>
    <row r="39" spans="1:3" x14ac:dyDescent="0.3">
      <c r="A39" s="2">
        <v>13</v>
      </c>
      <c r="B39" s="2">
        <v>6.9470354462778889</v>
      </c>
      <c r="C39" s="2">
        <v>-0.45054744627788867</v>
      </c>
    </row>
    <row r="40" spans="1:3" x14ac:dyDescent="0.3">
      <c r="A40" s="2">
        <v>14</v>
      </c>
      <c r="B40" s="2">
        <v>6.7249940596403111</v>
      </c>
      <c r="C40" s="2">
        <v>-6.0414059640311102E-2</v>
      </c>
    </row>
    <row r="41" spans="1:3" x14ac:dyDescent="0.3">
      <c r="A41" s="2">
        <v>15</v>
      </c>
      <c r="B41" s="2">
        <v>6.6903479689498502</v>
      </c>
      <c r="C41" s="2">
        <v>-0.1143729689498505</v>
      </c>
    </row>
    <row r="42" spans="1:3" x14ac:dyDescent="0.3">
      <c r="A42" s="2">
        <v>16</v>
      </c>
      <c r="B42" s="2">
        <v>6.8491999021751777</v>
      </c>
      <c r="C42" s="2">
        <v>-0.5150489021751774</v>
      </c>
    </row>
    <row r="43" spans="1:3" x14ac:dyDescent="0.3">
      <c r="A43" s="2">
        <v>17</v>
      </c>
      <c r="B43" s="2">
        <v>6.842343516498075</v>
      </c>
      <c r="C43" s="2">
        <v>-0.19914151649807543</v>
      </c>
    </row>
    <row r="44" spans="1:3" x14ac:dyDescent="0.3">
      <c r="A44" s="2">
        <v>18</v>
      </c>
      <c r="B44" s="2">
        <v>7.1036500400042311</v>
      </c>
      <c r="C44" s="2">
        <v>-0.21376504000423147</v>
      </c>
    </row>
    <row r="45" spans="1:3" x14ac:dyDescent="0.3">
      <c r="A45" s="2">
        <v>19</v>
      </c>
      <c r="B45" s="2">
        <v>6.9707525449443519</v>
      </c>
      <c r="C45" s="2">
        <v>0.3880874550556479</v>
      </c>
    </row>
    <row r="46" spans="1:3" x14ac:dyDescent="0.3">
      <c r="A46" s="2">
        <v>20</v>
      </c>
      <c r="B46" s="2">
        <v>6.7358021615821722</v>
      </c>
      <c r="C46" s="2">
        <v>1.3102958384178285</v>
      </c>
    </row>
    <row r="47" spans="1:3" x14ac:dyDescent="0.3">
      <c r="A47" s="2">
        <v>21</v>
      </c>
      <c r="B47" s="2">
        <v>6.9250736165527957</v>
      </c>
      <c r="C47" s="2">
        <v>1.6439733834472037</v>
      </c>
    </row>
    <row r="48" spans="1:3" x14ac:dyDescent="0.3">
      <c r="A48" s="2">
        <v>22</v>
      </c>
      <c r="B48" s="2">
        <v>7.0632941212522677</v>
      </c>
      <c r="C48" s="2">
        <v>2.0312778787477317</v>
      </c>
    </row>
    <row r="49" spans="1:3" x14ac:dyDescent="0.3">
      <c r="A49" s="2">
        <v>23</v>
      </c>
      <c r="B49" s="2">
        <v>7.4663029345550225</v>
      </c>
      <c r="C49" s="2">
        <v>1.7503370654449775</v>
      </c>
    </row>
    <row r="50" spans="1:3" x14ac:dyDescent="0.3">
      <c r="A50" s="2">
        <v>24</v>
      </c>
      <c r="B50" s="2">
        <v>8.079608542105678</v>
      </c>
      <c r="C50" s="2">
        <v>1.2027304578943223</v>
      </c>
    </row>
    <row r="51" spans="1:3" x14ac:dyDescent="0.3">
      <c r="A51" s="2">
        <v>25</v>
      </c>
      <c r="B51" s="2">
        <v>8.4561026164539221</v>
      </c>
      <c r="C51" s="2">
        <v>0.806581383546078</v>
      </c>
    </row>
    <row r="52" spans="1:3" x14ac:dyDescent="0.3">
      <c r="A52" s="2">
        <v>26</v>
      </c>
      <c r="B52" s="2">
        <v>8.8533402066449653</v>
      </c>
      <c r="C52" s="2">
        <v>0.30205079335503449</v>
      </c>
    </row>
    <row r="53" spans="1:3" x14ac:dyDescent="0.3">
      <c r="A53" s="2">
        <v>27</v>
      </c>
      <c r="B53" s="2">
        <v>8.950746633660378</v>
      </c>
      <c r="C53" s="2">
        <v>0.31301736633962207</v>
      </c>
    </row>
    <row r="54" spans="1:3" x14ac:dyDescent="0.3">
      <c r="A54" s="2">
        <v>28</v>
      </c>
      <c r="B54" s="2">
        <v>9.0102379454006147</v>
      </c>
      <c r="C54" s="2">
        <v>0.62145905459938611</v>
      </c>
    </row>
    <row r="55" spans="1:3" x14ac:dyDescent="0.3">
      <c r="A55" s="2">
        <v>29</v>
      </c>
      <c r="B55" s="2">
        <v>8.9949847731000148</v>
      </c>
      <c r="C55" s="2">
        <v>0.83698022689998552</v>
      </c>
    </row>
    <row r="56" spans="1:3" x14ac:dyDescent="0.3">
      <c r="A56" s="2">
        <v>30</v>
      </c>
      <c r="B56" s="2">
        <v>8.8778650321114867</v>
      </c>
      <c r="C56" s="2">
        <v>1.2125249678885126</v>
      </c>
    </row>
    <row r="57" spans="1:3" x14ac:dyDescent="0.3">
      <c r="A57" s="2">
        <v>31</v>
      </c>
      <c r="B57" s="2">
        <v>8.9195921432041594</v>
      </c>
      <c r="C57" s="2">
        <v>1.4146178567958412</v>
      </c>
    </row>
    <row r="58" spans="1:3" x14ac:dyDescent="0.3">
      <c r="A58" s="2">
        <v>32</v>
      </c>
      <c r="B58" s="2">
        <v>9.1924545866080969</v>
      </c>
      <c r="C58" s="2">
        <v>0.53707441339190254</v>
      </c>
    </row>
    <row r="59" spans="1:3" x14ac:dyDescent="0.3">
      <c r="A59" s="2">
        <v>33</v>
      </c>
      <c r="B59" s="2">
        <v>9.3686602534224726</v>
      </c>
      <c r="C59" s="2">
        <v>-0.2011742534224723</v>
      </c>
    </row>
    <row r="60" spans="1:3" x14ac:dyDescent="0.3">
      <c r="A60" s="2">
        <v>34</v>
      </c>
      <c r="B60" s="2">
        <v>9.6312385528809017</v>
      </c>
      <c r="C60" s="2">
        <v>-0.80080055288090257</v>
      </c>
    </row>
    <row r="61" spans="1:3" x14ac:dyDescent="0.3">
      <c r="A61" s="2">
        <v>35</v>
      </c>
      <c r="B61" s="2">
        <v>9.834634921906682</v>
      </c>
      <c r="C61" s="2">
        <v>-0.80691092190668279</v>
      </c>
    </row>
    <row r="62" spans="1:3" x14ac:dyDescent="0.3">
      <c r="A62" s="2">
        <v>36</v>
      </c>
      <c r="B62" s="2">
        <v>9.2386725971558299</v>
      </c>
      <c r="C62" s="2">
        <v>-7.469359715583046E-2</v>
      </c>
    </row>
    <row r="63" spans="1:3" x14ac:dyDescent="0.3">
      <c r="A63" s="2">
        <v>37</v>
      </c>
      <c r="B63" s="2">
        <v>8.6806162181614912</v>
      </c>
      <c r="C63" s="2">
        <v>0.71483778183850966</v>
      </c>
    </row>
    <row r="64" spans="1:3" x14ac:dyDescent="0.3">
      <c r="A64" s="2">
        <v>38</v>
      </c>
      <c r="B64" s="2">
        <v>8.3244000418289019</v>
      </c>
      <c r="C64" s="2">
        <v>0.77619495817109829</v>
      </c>
    </row>
    <row r="65" spans="1:3" x14ac:dyDescent="0.3">
      <c r="A65" s="2">
        <v>39</v>
      </c>
      <c r="B65" s="2">
        <v>8.3650745527817509</v>
      </c>
      <c r="C65" s="2">
        <v>0.41991144721824902</v>
      </c>
    </row>
    <row r="66" spans="1:3" x14ac:dyDescent="0.3">
      <c r="A66" s="2">
        <v>40</v>
      </c>
      <c r="B66" s="2">
        <v>8.3521049501668188</v>
      </c>
      <c r="C66" s="2">
        <v>4.9850049833180421E-2</v>
      </c>
    </row>
    <row r="67" spans="1:3" x14ac:dyDescent="0.3">
      <c r="A67" s="2">
        <v>41</v>
      </c>
      <c r="B67" s="2">
        <v>8.5058710400814928</v>
      </c>
      <c r="C67" s="2">
        <v>-0.75075804008149305</v>
      </c>
    </row>
    <row r="68" spans="1:3" x14ac:dyDescent="0.3">
      <c r="A68" s="2">
        <v>42</v>
      </c>
      <c r="B68" s="2">
        <v>8.193304557039065</v>
      </c>
      <c r="C68" s="2">
        <v>-0.54307355703906524</v>
      </c>
    </row>
    <row r="69" spans="1:3" x14ac:dyDescent="0.3">
      <c r="A69" s="2">
        <v>43</v>
      </c>
      <c r="B69" s="2">
        <v>7.8899218302208229</v>
      </c>
      <c r="C69" s="2">
        <v>-0.66354283022082328</v>
      </c>
    </row>
    <row r="70" spans="1:3" x14ac:dyDescent="0.3">
      <c r="A70" s="2">
        <v>44</v>
      </c>
      <c r="B70" s="2">
        <v>7.5213601545879998</v>
      </c>
      <c r="C70" s="2">
        <v>-0.19785315458799957</v>
      </c>
    </row>
    <row r="71" spans="1:3" x14ac:dyDescent="0.3">
      <c r="A71" s="2">
        <v>45</v>
      </c>
      <c r="B71" s="2">
        <v>7.1184991765282604</v>
      </c>
      <c r="C71" s="2">
        <v>0.32268482347173943</v>
      </c>
    </row>
    <row r="72" spans="1:3" x14ac:dyDescent="0.3">
      <c r="A72" s="2">
        <v>46</v>
      </c>
      <c r="B72" s="2">
        <v>7.2106780679303686</v>
      </c>
      <c r="C72" s="2">
        <v>0.33805993206963159</v>
      </c>
    </row>
    <row r="73" spans="1:3" x14ac:dyDescent="0.3">
      <c r="A73" s="2">
        <v>47</v>
      </c>
      <c r="B73" s="2">
        <v>6.9103739047535706</v>
      </c>
      <c r="C73" s="2">
        <v>0.65556509524642959</v>
      </c>
    </row>
    <row r="74" spans="1:3" x14ac:dyDescent="0.3">
      <c r="A74" s="2">
        <v>48</v>
      </c>
      <c r="B74" s="2">
        <v>7.0801094223805343</v>
      </c>
      <c r="C74" s="2">
        <v>0.33508057761946564</v>
      </c>
    </row>
    <row r="75" spans="1:3" x14ac:dyDescent="0.3">
      <c r="A75" s="2">
        <v>49</v>
      </c>
      <c r="B75" s="2">
        <v>7.0731485275262393</v>
      </c>
      <c r="C75" s="2">
        <v>0.32932747247376071</v>
      </c>
    </row>
    <row r="76" spans="1:3" x14ac:dyDescent="0.3">
      <c r="A76" s="2">
        <v>50</v>
      </c>
      <c r="B76" s="2">
        <v>7.0260552839103125</v>
      </c>
      <c r="C76" s="2">
        <v>0.34995471608968742</v>
      </c>
    </row>
    <row r="77" spans="1:3" x14ac:dyDescent="0.3">
      <c r="A77" s="2">
        <v>51</v>
      </c>
      <c r="B77" s="2">
        <v>7.1240272682170085</v>
      </c>
      <c r="C77" s="2">
        <v>0.35766573178299144</v>
      </c>
    </row>
    <row r="78" spans="1:3" x14ac:dyDescent="0.3">
      <c r="A78" s="2">
        <v>52</v>
      </c>
      <c r="B78" s="2">
        <v>7.0676206729204116</v>
      </c>
      <c r="C78" s="2">
        <v>0.38179132707958807</v>
      </c>
    </row>
    <row r="79" spans="1:3" x14ac:dyDescent="0.3">
      <c r="A79" s="2">
        <v>53</v>
      </c>
      <c r="B79" s="2">
        <v>7.1295489979042443</v>
      </c>
      <c r="C79" s="2">
        <v>0.49722500209575582</v>
      </c>
    </row>
    <row r="80" spans="1:3" x14ac:dyDescent="0.3">
      <c r="A80" s="2">
        <v>54</v>
      </c>
      <c r="B80" s="2">
        <v>7.208569594310184</v>
      </c>
      <c r="C80" s="2">
        <v>0.31029940568981562</v>
      </c>
    </row>
    <row r="81" spans="1:3" x14ac:dyDescent="0.3">
      <c r="A81" s="2">
        <v>55</v>
      </c>
      <c r="B81" s="2">
        <v>7.3374797454551857</v>
      </c>
      <c r="C81" s="2">
        <v>-0.14933774545518563</v>
      </c>
    </row>
    <row r="82" spans="1:3" x14ac:dyDescent="0.3">
      <c r="A82" s="2">
        <v>56</v>
      </c>
      <c r="B82" s="2">
        <v>7.3399857858996702</v>
      </c>
      <c r="C82" s="2">
        <v>-0.12206078589967007</v>
      </c>
    </row>
    <row r="83" spans="1:3" x14ac:dyDescent="0.3">
      <c r="A83" s="2">
        <v>57</v>
      </c>
      <c r="B83" s="2">
        <v>7.6719120120898561</v>
      </c>
      <c r="C83" s="2">
        <v>-0.45130901208985641</v>
      </c>
    </row>
    <row r="84" spans="1:3" x14ac:dyDescent="0.3">
      <c r="A84" s="2">
        <v>58</v>
      </c>
      <c r="B84" s="2">
        <v>7.724036777979487</v>
      </c>
      <c r="C84" s="2">
        <v>-0.49804577797948735</v>
      </c>
    </row>
    <row r="85" spans="1:3" x14ac:dyDescent="0.3">
      <c r="A85" s="2">
        <v>59</v>
      </c>
      <c r="B85" s="2">
        <v>7.4708048491467096</v>
      </c>
      <c r="C85" s="2">
        <v>-0.14888784914670961</v>
      </c>
    </row>
    <row r="86" spans="1:3" x14ac:dyDescent="0.3">
      <c r="A86" s="2">
        <v>60</v>
      </c>
      <c r="B86" s="2">
        <v>7.5707690179859526</v>
      </c>
      <c r="C86" s="2">
        <v>-0.18771201798595261</v>
      </c>
    </row>
    <row r="87" spans="1:3" x14ac:dyDescent="0.3">
      <c r="A87" s="2">
        <v>61</v>
      </c>
      <c r="B87" s="2">
        <v>7.5473864211539272</v>
      </c>
      <c r="C87" s="2">
        <v>-7.839042115392747E-2</v>
      </c>
    </row>
    <row r="88" spans="1:3" x14ac:dyDescent="0.3">
      <c r="A88" s="2">
        <v>62</v>
      </c>
      <c r="B88" s="2">
        <v>7.4824451670708534</v>
      </c>
      <c r="C88" s="2">
        <v>-5.5622167070853656E-2</v>
      </c>
    </row>
    <row r="89" spans="1:3" x14ac:dyDescent="0.3">
      <c r="A89" s="2">
        <v>63</v>
      </c>
      <c r="B89" s="2">
        <v>7.5474980494660278</v>
      </c>
      <c r="C89" s="2">
        <v>-0.33293604946602784</v>
      </c>
    </row>
    <row r="90" spans="1:3" x14ac:dyDescent="0.3">
      <c r="A90" s="2">
        <v>64</v>
      </c>
      <c r="B90" s="2">
        <v>7.4661934976897459</v>
      </c>
      <c r="C90" s="2">
        <v>-0.38905449768974609</v>
      </c>
    </row>
    <row r="91" spans="1:3" x14ac:dyDescent="0.3">
      <c r="A91" s="2">
        <v>65</v>
      </c>
      <c r="B91" s="2">
        <v>7.2442040515728907</v>
      </c>
      <c r="C91" s="2">
        <v>-0.46604205157289069</v>
      </c>
    </row>
    <row r="92" spans="1:3" x14ac:dyDescent="0.3">
      <c r="A92" s="2">
        <v>66</v>
      </c>
      <c r="B92" s="2">
        <v>7.2667074874502777</v>
      </c>
      <c r="C92" s="2">
        <v>-0.67285248745027815</v>
      </c>
    </row>
    <row r="93" spans="1:3" x14ac:dyDescent="0.3">
      <c r="A93" s="2">
        <v>67</v>
      </c>
      <c r="B93" s="2">
        <v>6.9540485458266712</v>
      </c>
      <c r="C93" s="2">
        <v>-0.55331554582667142</v>
      </c>
    </row>
    <row r="94" spans="1:3" x14ac:dyDescent="0.3">
      <c r="A94" s="2">
        <v>68</v>
      </c>
      <c r="B94" s="2">
        <v>6.8021937242450248</v>
      </c>
      <c r="C94" s="2">
        <v>-0.68370472424502449</v>
      </c>
    </row>
    <row r="95" spans="1:3" x14ac:dyDescent="0.3">
      <c r="A95" s="2">
        <v>69</v>
      </c>
      <c r="B95" s="2">
        <v>6.5919596071289037</v>
      </c>
      <c r="C95" s="2">
        <v>-0.66241160712890412</v>
      </c>
    </row>
    <row r="96" spans="1:3" x14ac:dyDescent="0.3">
      <c r="A96" s="2">
        <v>70</v>
      </c>
      <c r="B96" s="2">
        <v>6.2379291330395823</v>
      </c>
      <c r="C96" s="2">
        <v>-0.30426113303958235</v>
      </c>
    </row>
    <row r="97" spans="1:3" x14ac:dyDescent="0.3">
      <c r="A97" s="2">
        <v>71</v>
      </c>
      <c r="B97" s="2">
        <v>6.0342657526220522</v>
      </c>
      <c r="C97" s="2">
        <v>-0.14277675262205225</v>
      </c>
    </row>
    <row r="98" spans="1:3" x14ac:dyDescent="0.3">
      <c r="A98" s="2">
        <v>72</v>
      </c>
      <c r="B98" s="2">
        <v>5.7894481883303106</v>
      </c>
      <c r="C98" s="2">
        <v>-2.1618188330310595E-2</v>
      </c>
    </row>
    <row r="99" spans="1:3" x14ac:dyDescent="0.3">
      <c r="A99" s="2">
        <v>73</v>
      </c>
      <c r="B99" s="2">
        <v>5.4662137299183442</v>
      </c>
      <c r="C99" s="2">
        <v>0.18333927008165585</v>
      </c>
    </row>
    <row r="100" spans="1:3" x14ac:dyDescent="0.3">
      <c r="A100" s="2">
        <v>74</v>
      </c>
      <c r="B100" s="2">
        <v>5.5231039639840835</v>
      </c>
      <c r="C100" s="2">
        <v>-3.3337963984083174E-2</v>
      </c>
    </row>
    <row r="101" spans="1:3" x14ac:dyDescent="0.3">
      <c r="A101" s="2">
        <v>75</v>
      </c>
      <c r="B101" s="2">
        <v>5.5354295804206579</v>
      </c>
      <c r="C101" s="2">
        <v>-6.2006580420657542E-2</v>
      </c>
    </row>
    <row r="102" spans="1:3" x14ac:dyDescent="0.3">
      <c r="A102" s="2">
        <v>76</v>
      </c>
      <c r="B102" s="2">
        <v>5.4371211445907557</v>
      </c>
      <c r="C102" s="2">
        <v>9.0858855409244654E-2</v>
      </c>
    </row>
    <row r="103" spans="1:3" x14ac:dyDescent="0.3">
      <c r="A103" s="2">
        <v>77</v>
      </c>
      <c r="B103" s="2">
        <v>5.3517199486363438</v>
      </c>
      <c r="C103" s="2">
        <v>0.14147905136365591</v>
      </c>
    </row>
    <row r="104" spans="1:3" x14ac:dyDescent="0.3">
      <c r="A104" s="2">
        <v>78</v>
      </c>
      <c r="B104" s="2">
        <v>5.2636080861541732</v>
      </c>
      <c r="C104" s="2">
        <v>-2.1404086154173108E-2</v>
      </c>
    </row>
    <row r="105" spans="1:3" x14ac:dyDescent="0.3">
      <c r="A105" s="2">
        <v>79</v>
      </c>
      <c r="B105" s="2">
        <v>5.225592458896676</v>
      </c>
      <c r="C105" s="2">
        <v>-0.15908945889667603</v>
      </c>
    </row>
    <row r="106" spans="1:3" x14ac:dyDescent="0.3">
      <c r="A106" s="2">
        <v>80</v>
      </c>
      <c r="B106" s="2">
        <v>5.2564553316807734</v>
      </c>
      <c r="C106" s="2">
        <v>-0.33648333168077382</v>
      </c>
    </row>
    <row r="107" spans="1:3" x14ac:dyDescent="0.3">
      <c r="A107" s="2">
        <v>81</v>
      </c>
      <c r="B107" s="2">
        <v>5.4530867092699298</v>
      </c>
      <c r="C107" s="2">
        <v>-0.66337770926992956</v>
      </c>
    </row>
    <row r="108" spans="1:3" x14ac:dyDescent="0.3">
      <c r="A108" s="2">
        <v>82</v>
      </c>
      <c r="B108" s="2">
        <v>5.2603159211872743</v>
      </c>
      <c r="C108" s="2">
        <v>-0.38023692118727404</v>
      </c>
    </row>
    <row r="109" spans="1:3" x14ac:dyDescent="0.3">
      <c r="A109" s="2">
        <v>83</v>
      </c>
      <c r="B109" s="2">
        <v>5.1830350914043741</v>
      </c>
      <c r="C109" s="2">
        <v>-0.17077609140437389</v>
      </c>
    </row>
    <row r="110" spans="1:3" x14ac:dyDescent="0.3">
      <c r="A110" s="2">
        <v>84</v>
      </c>
      <c r="B110" s="2">
        <v>5.1730838212931687</v>
      </c>
      <c r="C110" s="2">
        <v>6.3866178706831533E-2</v>
      </c>
    </row>
    <row r="111" spans="1:3" x14ac:dyDescent="0.3">
      <c r="A111" s="2">
        <v>85</v>
      </c>
      <c r="B111" s="2">
        <v>5.2908096851081705</v>
      </c>
      <c r="C111" s="2">
        <v>0.22745031489182921</v>
      </c>
    </row>
    <row r="112" spans="1:3" x14ac:dyDescent="0.3">
      <c r="A112" s="2">
        <v>86</v>
      </c>
      <c r="B112" s="2">
        <v>5.4800145921398755</v>
      </c>
      <c r="C112" s="2">
        <v>0.29908840786012458</v>
      </c>
    </row>
    <row r="113" spans="1:3" x14ac:dyDescent="0.3">
      <c r="A113" s="2">
        <v>87</v>
      </c>
      <c r="B113" s="2">
        <v>5.6192161309111697</v>
      </c>
      <c r="C113" s="2">
        <v>0.3837948690888302</v>
      </c>
    </row>
    <row r="114" spans="1:3" x14ac:dyDescent="0.3">
      <c r="A114" s="2">
        <v>88</v>
      </c>
      <c r="B114" s="2">
        <v>5.8053600761763562</v>
      </c>
      <c r="C114" s="2">
        <v>0.2766719238236437</v>
      </c>
    </row>
    <row r="115" spans="1:3" x14ac:dyDescent="0.3">
      <c r="A115" s="2">
        <v>89</v>
      </c>
      <c r="B115" s="2">
        <v>5.9572174008789656</v>
      </c>
      <c r="C115" s="2">
        <v>0.26152359912103407</v>
      </c>
    </row>
    <row r="116" spans="1:3" x14ac:dyDescent="0.3">
      <c r="A116" s="2">
        <v>90</v>
      </c>
      <c r="B116" s="2">
        <v>6.1977446403733891</v>
      </c>
      <c r="C116" s="2">
        <v>-2.6646403733892043E-3</v>
      </c>
    </row>
    <row r="117" spans="1:3" x14ac:dyDescent="0.3">
      <c r="A117" s="2">
        <v>91</v>
      </c>
      <c r="B117" s="2">
        <v>6.4265452385857795</v>
      </c>
      <c r="C117" s="2">
        <v>-0.33552423858577995</v>
      </c>
    </row>
    <row r="118" spans="1:3" x14ac:dyDescent="0.3">
      <c r="A118" s="2">
        <v>92</v>
      </c>
      <c r="B118" s="2">
        <v>6.5041354543791261</v>
      </c>
      <c r="C118" s="2">
        <v>-0.40543745437912637</v>
      </c>
    </row>
    <row r="119" spans="1:3" x14ac:dyDescent="0.3">
      <c r="A119" s="2">
        <v>93</v>
      </c>
      <c r="B119" s="2">
        <v>6.4357190692722916</v>
      </c>
      <c r="C119" s="2">
        <v>-0.39872806927229121</v>
      </c>
    </row>
    <row r="120" spans="1:3" x14ac:dyDescent="0.3">
      <c r="A120" s="2">
        <v>94</v>
      </c>
      <c r="B120" s="2">
        <v>6.2586651932138357</v>
      </c>
      <c r="C120" s="2">
        <v>0.14589280678616401</v>
      </c>
    </row>
    <row r="121" spans="1:3" x14ac:dyDescent="0.3">
      <c r="A121" s="2">
        <v>95</v>
      </c>
      <c r="B121" s="2">
        <v>6.0370680442811278</v>
      </c>
      <c r="C121" s="2">
        <v>0.21849195571887225</v>
      </c>
    </row>
    <row r="122" spans="1:3" x14ac:dyDescent="0.3">
      <c r="A122" s="2">
        <v>96</v>
      </c>
      <c r="B122" s="2">
        <v>5.7889922578773101</v>
      </c>
      <c r="C122" s="2">
        <v>0.20054774212268978</v>
      </c>
    </row>
    <row r="123" spans="1:3" x14ac:dyDescent="0.3">
      <c r="A123" s="2">
        <v>97</v>
      </c>
      <c r="B123" s="2">
        <v>5.9608574871197328</v>
      </c>
      <c r="C123" s="2">
        <v>-0.18817348711973292</v>
      </c>
    </row>
    <row r="124" spans="1:3" x14ac:dyDescent="0.3">
      <c r="A124" s="2">
        <v>98</v>
      </c>
      <c r="B124" s="2">
        <v>6.2435077340572906</v>
      </c>
      <c r="C124" s="2">
        <v>-1.0304557340572904</v>
      </c>
    </row>
    <row r="125" spans="1:3" x14ac:dyDescent="0.3">
      <c r="A125" s="2">
        <v>99</v>
      </c>
      <c r="B125" s="2">
        <v>6.0462078632216238</v>
      </c>
      <c r="C125" s="2">
        <v>-0.95257186322162379</v>
      </c>
    </row>
    <row r="126" spans="1:3" x14ac:dyDescent="0.3">
      <c r="A126" s="2">
        <v>100</v>
      </c>
      <c r="B126" s="2">
        <v>5.8294383502012934</v>
      </c>
      <c r="C126" s="2">
        <v>-0.72433435020129355</v>
      </c>
    </row>
    <row r="127" spans="1:3" x14ac:dyDescent="0.3">
      <c r="A127" s="2">
        <v>101</v>
      </c>
      <c r="B127" s="2">
        <v>5.5314004463258266</v>
      </c>
      <c r="C127" s="2">
        <v>-0.46151144632582675</v>
      </c>
    </row>
    <row r="128" spans="1:3" x14ac:dyDescent="0.3">
      <c r="A128" s="2">
        <v>102</v>
      </c>
      <c r="B128" s="2">
        <v>5.0895142204819432</v>
      </c>
      <c r="C128" s="2">
        <v>-5.1179220481943233E-2</v>
      </c>
    </row>
    <row r="129" spans="1:3" x14ac:dyDescent="0.3">
      <c r="A129" s="2">
        <v>103</v>
      </c>
      <c r="B129" s="2">
        <v>4.9919741995998219</v>
      </c>
      <c r="C129" s="2">
        <v>6.6809800400178254E-2</v>
      </c>
    </row>
    <row r="130" spans="1:3" x14ac:dyDescent="0.3">
      <c r="A130" s="2">
        <v>104</v>
      </c>
      <c r="B130" s="2">
        <v>5.0955768755505275</v>
      </c>
      <c r="C130" s="2">
        <v>-0.18744287555052708</v>
      </c>
    </row>
    <row r="131" spans="1:3" x14ac:dyDescent="0.3">
      <c r="A131" s="2">
        <v>105</v>
      </c>
      <c r="B131" s="2">
        <v>5.03126860704125</v>
      </c>
      <c r="C131" s="2">
        <v>-0.20297560704124962</v>
      </c>
    </row>
    <row r="132" spans="1:3" x14ac:dyDescent="0.3">
      <c r="A132" s="2">
        <v>106</v>
      </c>
      <c r="B132" s="2">
        <v>4.8000890714073057</v>
      </c>
      <c r="C132" s="2">
        <v>-7.1470071407305547E-2</v>
      </c>
    </row>
    <row r="133" spans="1:3" x14ac:dyDescent="0.3">
      <c r="A133" s="2">
        <v>107</v>
      </c>
      <c r="B133" s="2">
        <v>4.8851729423739219</v>
      </c>
      <c r="C133" s="2">
        <v>-0.35510694237392215</v>
      </c>
    </row>
    <row r="134" spans="1:3" x14ac:dyDescent="0.3">
      <c r="A134" s="2">
        <v>108</v>
      </c>
      <c r="B134" s="2">
        <v>4.4904712690515289</v>
      </c>
      <c r="C134" s="2">
        <v>-1.6510269051528859E-2</v>
      </c>
    </row>
    <row r="135" spans="1:3" x14ac:dyDescent="0.3">
      <c r="A135" s="2">
        <v>109</v>
      </c>
      <c r="B135" s="2">
        <v>4.3136426693946754</v>
      </c>
      <c r="C135" s="2">
        <v>6.2413306053246131E-3</v>
      </c>
    </row>
    <row r="136" spans="1:3" x14ac:dyDescent="0.3">
      <c r="A136" s="2">
        <v>110</v>
      </c>
      <c r="B136" s="2">
        <v>4.3379879743378877</v>
      </c>
      <c r="C136" s="2">
        <v>-0.13912797433788793</v>
      </c>
    </row>
    <row r="137" spans="1:3" x14ac:dyDescent="0.3">
      <c r="A137" s="2">
        <v>111</v>
      </c>
      <c r="B137" s="2">
        <v>4.0306260324869392</v>
      </c>
      <c r="C137" s="2">
        <v>0.21999996751306039</v>
      </c>
    </row>
    <row r="138" spans="1:3" x14ac:dyDescent="0.3">
      <c r="A138" s="2">
        <v>112</v>
      </c>
      <c r="B138" s="2">
        <v>4.0770990686623474</v>
      </c>
      <c r="C138" s="2">
        <v>0.32479593133765228</v>
      </c>
    </row>
    <row r="139" spans="1:3" x14ac:dyDescent="0.3">
      <c r="A139" s="2">
        <v>113</v>
      </c>
      <c r="B139" s="2">
        <v>3.9180099390065557</v>
      </c>
      <c r="C139" s="2">
        <v>0.55914706099344436</v>
      </c>
    </row>
    <row r="140" spans="1:3" x14ac:dyDescent="0.3">
      <c r="A140" s="2">
        <v>114</v>
      </c>
      <c r="B140" s="2">
        <v>3.8493443407261418</v>
      </c>
      <c r="C140" s="2">
        <v>0.67419965927385839</v>
      </c>
    </row>
    <row r="141" spans="1:3" x14ac:dyDescent="0.3">
      <c r="A141" s="2">
        <v>115</v>
      </c>
      <c r="B141" s="2">
        <v>3.9898876292753478</v>
      </c>
      <c r="C141" s="2">
        <v>0.68987837072465208</v>
      </c>
    </row>
    <row r="142" spans="1:3" x14ac:dyDescent="0.3">
      <c r="A142" s="2">
        <v>116</v>
      </c>
      <c r="B142" s="2">
        <v>4.2089118182964036</v>
      </c>
      <c r="C142" s="2">
        <v>0.28247518170359598</v>
      </c>
    </row>
    <row r="143" spans="1:3" x14ac:dyDescent="0.3">
      <c r="A143" s="2">
        <v>117</v>
      </c>
      <c r="B143" s="2">
        <v>4.2903241246910886</v>
      </c>
      <c r="C143" s="2">
        <v>0.12788387530891132</v>
      </c>
    </row>
    <row r="144" spans="1:3" x14ac:dyDescent="0.3">
      <c r="A144" s="2">
        <v>118</v>
      </c>
      <c r="B144" s="2">
        <v>4.2505716062112562</v>
      </c>
      <c r="C144" s="2">
        <v>0.1457423937887441</v>
      </c>
    </row>
    <row r="145" spans="1:3" ht="15" thickBot="1" x14ac:dyDescent="0.35">
      <c r="A145" s="3">
        <v>119</v>
      </c>
      <c r="B145" s="3">
        <v>4.3536303334264019</v>
      </c>
      <c r="C145" s="3">
        <v>-0.10074633342640205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D11D-EDD0-4020-B7BD-1A7426C0745D}">
  <dimension ref="A1:I146"/>
  <sheetViews>
    <sheetView workbookViewId="0">
      <selection sqref="A1:I146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0.93382604848082096</v>
      </c>
    </row>
    <row r="5" spans="1:9" x14ac:dyDescent="0.3">
      <c r="A5" s="2" t="s">
        <v>21</v>
      </c>
      <c r="B5" s="2">
        <v>0.87203108882130465</v>
      </c>
    </row>
    <row r="6" spans="1:9" x14ac:dyDescent="0.3">
      <c r="A6" s="2" t="s">
        <v>22</v>
      </c>
      <c r="B6" s="2">
        <v>0.86754095158696443</v>
      </c>
    </row>
    <row r="7" spans="1:9" x14ac:dyDescent="0.3">
      <c r="A7" s="2" t="s">
        <v>23</v>
      </c>
      <c r="B7" s="2">
        <v>0.56885185006626093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251.37998417990437</v>
      </c>
      <c r="D12" s="2">
        <v>62.844996044976092</v>
      </c>
      <c r="E12" s="2">
        <v>194.21034220337074</v>
      </c>
      <c r="F12" s="2">
        <v>6.4567275638692058E-50</v>
      </c>
    </row>
    <row r="13" spans="1:9" x14ac:dyDescent="0.3">
      <c r="A13" s="2" t="s">
        <v>27</v>
      </c>
      <c r="B13" s="2">
        <v>114</v>
      </c>
      <c r="C13" s="2">
        <v>36.889536714914094</v>
      </c>
      <c r="D13" s="2">
        <v>0.32359242732380783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288.26952089481847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17.845047121903953</v>
      </c>
      <c r="C17" s="2">
        <v>5.4445337200044781</v>
      </c>
      <c r="D17" s="2">
        <v>3.277607971521439</v>
      </c>
      <c r="E17" s="2">
        <v>1.3880042435924515E-3</v>
      </c>
      <c r="F17" s="2">
        <v>7.0594677565052262</v>
      </c>
      <c r="G17" s="2">
        <v>28.630626487302678</v>
      </c>
      <c r="H17" s="2">
        <v>7.0594677565052262</v>
      </c>
      <c r="I17" s="2">
        <v>28.630626487302678</v>
      </c>
    </row>
    <row r="18" spans="1:9" x14ac:dyDescent="0.3">
      <c r="A18" s="2" t="s">
        <v>42</v>
      </c>
      <c r="B18" s="2">
        <v>0.88508728104246792</v>
      </c>
      <c r="C18" s="2">
        <v>5.0534737756800278E-2</v>
      </c>
      <c r="D18" s="2">
        <v>17.514433048054453</v>
      </c>
      <c r="E18" s="2">
        <v>4.1082717757339336E-34</v>
      </c>
      <c r="F18" s="2">
        <v>0.78497835476601674</v>
      </c>
      <c r="G18" s="2">
        <v>0.9851962073189191</v>
      </c>
      <c r="H18" s="2">
        <v>0.78497835476601674</v>
      </c>
      <c r="I18" s="2">
        <v>0.9851962073189191</v>
      </c>
    </row>
    <row r="19" spans="1:9" x14ac:dyDescent="0.3">
      <c r="A19" s="2" t="s">
        <v>43</v>
      </c>
      <c r="B19" s="2">
        <v>0.1129439846273254</v>
      </c>
      <c r="C19" s="2">
        <v>4.5492181624617968E-2</v>
      </c>
      <c r="D19" s="2">
        <v>2.4827119868484404</v>
      </c>
      <c r="E19" s="2">
        <v>1.4494951713983252E-2</v>
      </c>
      <c r="F19" s="2">
        <v>2.2824323210838271E-2</v>
      </c>
      <c r="G19" s="2">
        <v>0.20306364604381252</v>
      </c>
      <c r="H19" s="2">
        <v>2.2824323210838271E-2</v>
      </c>
      <c r="I19" s="2">
        <v>0.20306364604381252</v>
      </c>
    </row>
    <row r="20" spans="1:9" x14ac:dyDescent="0.3">
      <c r="A20" s="2" t="s">
        <v>44</v>
      </c>
      <c r="B20" s="2">
        <v>-3.9468342819086848</v>
      </c>
      <c r="C20" s="2">
        <v>0.73927947624380597</v>
      </c>
      <c r="D20" s="2">
        <v>-5.3387580864033941</v>
      </c>
      <c r="E20" s="2">
        <v>4.8289171780706007E-7</v>
      </c>
      <c r="F20" s="2">
        <v>-5.4113412303992918</v>
      </c>
      <c r="G20" s="2">
        <v>-2.4823273334180778</v>
      </c>
      <c r="H20" s="2">
        <v>-5.4113412303992918</v>
      </c>
      <c r="I20" s="2">
        <v>-2.4823273334180778</v>
      </c>
    </row>
    <row r="21" spans="1:9" ht="15" thickBot="1" x14ac:dyDescent="0.35">
      <c r="A21" s="3" t="s">
        <v>61</v>
      </c>
      <c r="B21" s="3">
        <v>-13.374112825795592</v>
      </c>
      <c r="C21" s="3">
        <v>5.3795225696314439</v>
      </c>
      <c r="D21" s="3">
        <v>-2.4861151993850386</v>
      </c>
      <c r="E21" s="3">
        <v>1.4364288609487651E-2</v>
      </c>
      <c r="F21" s="3">
        <v>-24.030905603022788</v>
      </c>
      <c r="G21" s="3">
        <v>-2.7173200485683964</v>
      </c>
      <c r="H21" s="3">
        <v>-24.030905603022788</v>
      </c>
      <c r="I21" s="3">
        <v>-2.7173200485683964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8.1761745267239885</v>
      </c>
      <c r="C28" s="2">
        <v>-0.15727052672398933</v>
      </c>
    </row>
    <row r="29" spans="1:9" x14ac:dyDescent="0.3">
      <c r="A29" s="2">
        <v>2</v>
      </c>
      <c r="B29" s="2">
        <v>8.1913960544636382</v>
      </c>
      <c r="C29" s="2">
        <v>-0.15279205446363875</v>
      </c>
    </row>
    <row r="30" spans="1:9" x14ac:dyDescent="0.3">
      <c r="A30" s="2">
        <v>3</v>
      </c>
      <c r="B30" s="2">
        <v>8.2114430163949486</v>
      </c>
      <c r="C30" s="2">
        <v>-0.35412101639494864</v>
      </c>
    </row>
    <row r="31" spans="1:9" x14ac:dyDescent="0.3">
      <c r="A31" s="2">
        <v>4</v>
      </c>
      <c r="B31" s="2">
        <v>8.110745955758734</v>
      </c>
      <c r="C31" s="2">
        <v>-0.5380049557587343</v>
      </c>
    </row>
    <row r="32" spans="1:9" x14ac:dyDescent="0.3">
      <c r="A32" s="2">
        <v>5</v>
      </c>
      <c r="B32" s="2">
        <v>8.0913685191928035</v>
      </c>
      <c r="C32" s="2">
        <v>-0.5695585191928032</v>
      </c>
    </row>
    <row r="33" spans="1:3" x14ac:dyDescent="0.3">
      <c r="A33" s="2">
        <v>6</v>
      </c>
      <c r="B33" s="2">
        <v>8.0486159455334967</v>
      </c>
      <c r="C33" s="2">
        <v>-0.78146694553349683</v>
      </c>
    </row>
    <row r="34" spans="1:3" x14ac:dyDescent="0.3">
      <c r="A34" s="2">
        <v>7</v>
      </c>
      <c r="B34" s="2">
        <v>7.888698053879116</v>
      </c>
      <c r="C34" s="2">
        <v>-0.82365405387911572</v>
      </c>
    </row>
    <row r="35" spans="1:3" x14ac:dyDescent="0.3">
      <c r="A35" s="2">
        <v>8</v>
      </c>
      <c r="B35" s="2">
        <v>7.6339432742969997</v>
      </c>
      <c r="C35" s="2">
        <v>-0.58461027429699985</v>
      </c>
    </row>
    <row r="36" spans="1:3" x14ac:dyDescent="0.3">
      <c r="A36" s="2">
        <v>9</v>
      </c>
      <c r="B36" s="2">
        <v>7.5098120106708297</v>
      </c>
      <c r="C36" s="2">
        <v>-0.64644201067082996</v>
      </c>
    </row>
    <row r="37" spans="1:3" x14ac:dyDescent="0.3">
      <c r="A37" s="2">
        <v>10</v>
      </c>
      <c r="B37" s="2">
        <v>7.3421826071110328</v>
      </c>
      <c r="C37" s="2">
        <v>-0.78234160711103318</v>
      </c>
    </row>
    <row r="38" spans="1:3" x14ac:dyDescent="0.3">
      <c r="A38" s="2">
        <v>11</v>
      </c>
      <c r="B38" s="2">
        <v>7.005000794332398</v>
      </c>
      <c r="C38" s="2">
        <v>-0.52930279433239757</v>
      </c>
    </row>
    <row r="39" spans="1:3" x14ac:dyDescent="0.3">
      <c r="A39" s="2">
        <v>12</v>
      </c>
      <c r="B39" s="2">
        <v>6.8318089350232114</v>
      </c>
      <c r="C39" s="2">
        <v>-0.21208493502321168</v>
      </c>
    </row>
    <row r="40" spans="1:3" x14ac:dyDescent="0.3">
      <c r="A40" s="2">
        <v>13</v>
      </c>
      <c r="B40" s="2">
        <v>6.8081155354374872</v>
      </c>
      <c r="C40" s="2">
        <v>-0.31162753543748689</v>
      </c>
    </row>
    <row r="41" spans="1:3" x14ac:dyDescent="0.3">
      <c r="A41" s="2">
        <v>14</v>
      </c>
      <c r="B41" s="2">
        <v>6.6557694836004782</v>
      </c>
      <c r="C41" s="2">
        <v>8.810516399521795E-3</v>
      </c>
    </row>
    <row r="42" spans="1:3" x14ac:dyDescent="0.3">
      <c r="A42" s="2">
        <v>15</v>
      </c>
      <c r="B42" s="2">
        <v>6.7421418292244315</v>
      </c>
      <c r="C42" s="2">
        <v>-0.16616682922443182</v>
      </c>
    </row>
    <row r="43" spans="1:3" x14ac:dyDescent="0.3">
      <c r="A43" s="2">
        <v>16</v>
      </c>
      <c r="B43" s="2">
        <v>6.9697484171646451</v>
      </c>
      <c r="C43" s="2">
        <v>-0.6355974171646448</v>
      </c>
    </row>
    <row r="44" spans="1:3" x14ac:dyDescent="0.3">
      <c r="A44" s="2">
        <v>17</v>
      </c>
      <c r="B44" s="2">
        <v>6.9690411664499301</v>
      </c>
      <c r="C44" s="2">
        <v>-0.3258391664499305</v>
      </c>
    </row>
    <row r="45" spans="1:3" x14ac:dyDescent="0.3">
      <c r="A45" s="2">
        <v>18</v>
      </c>
      <c r="B45" s="2">
        <v>7.2016706639590549</v>
      </c>
      <c r="C45" s="2">
        <v>-0.31178566395905527</v>
      </c>
    </row>
    <row r="46" spans="1:3" x14ac:dyDescent="0.3">
      <c r="A46" s="2">
        <v>19</v>
      </c>
      <c r="B46" s="2">
        <v>7.0181620888004534</v>
      </c>
      <c r="C46" s="2">
        <v>0.34067791119954638</v>
      </c>
    </row>
    <row r="47" spans="1:3" x14ac:dyDescent="0.3">
      <c r="A47" s="2">
        <v>20</v>
      </c>
      <c r="B47" s="2">
        <v>6.7938282913516304</v>
      </c>
      <c r="C47" s="2">
        <v>1.2522697086483703</v>
      </c>
    </row>
    <row r="48" spans="1:3" x14ac:dyDescent="0.3">
      <c r="A48" s="2">
        <v>21</v>
      </c>
      <c r="B48" s="2">
        <v>6.9353726818147425</v>
      </c>
      <c r="C48" s="2">
        <v>1.6336743181852569</v>
      </c>
    </row>
    <row r="49" spans="1:3" x14ac:dyDescent="0.3">
      <c r="A49" s="2">
        <v>22</v>
      </c>
      <c r="B49" s="2">
        <v>7.0563101639275256</v>
      </c>
      <c r="C49" s="2">
        <v>2.0382618360724738</v>
      </c>
    </row>
    <row r="50" spans="1:3" x14ac:dyDescent="0.3">
      <c r="A50" s="2">
        <v>23</v>
      </c>
      <c r="B50" s="2">
        <v>7.4598095631518593</v>
      </c>
      <c r="C50" s="2">
        <v>1.7568304368481407</v>
      </c>
    </row>
    <row r="51" spans="1:3" x14ac:dyDescent="0.3">
      <c r="A51" s="2">
        <v>24</v>
      </c>
      <c r="B51" s="2">
        <v>8.0589647036020313</v>
      </c>
      <c r="C51" s="2">
        <v>1.223374296397969</v>
      </c>
    </row>
    <row r="52" spans="1:3" x14ac:dyDescent="0.3">
      <c r="A52" s="2">
        <v>25</v>
      </c>
      <c r="B52" s="2">
        <v>8.4889597308909295</v>
      </c>
      <c r="C52" s="2">
        <v>0.77372426910907066</v>
      </c>
    </row>
    <row r="53" spans="1:3" x14ac:dyDescent="0.3">
      <c r="A53" s="2">
        <v>26</v>
      </c>
      <c r="B53" s="2">
        <v>8.9675007805641691</v>
      </c>
      <c r="C53" s="2">
        <v>0.18789021943583073</v>
      </c>
    </row>
    <row r="54" spans="1:3" x14ac:dyDescent="0.3">
      <c r="A54" s="2">
        <v>27</v>
      </c>
      <c r="B54" s="2">
        <v>9.0159634174362768</v>
      </c>
      <c r="C54" s="2">
        <v>0.24780058256372328</v>
      </c>
    </row>
    <row r="55" spans="1:3" x14ac:dyDescent="0.3">
      <c r="A55" s="2">
        <v>28</v>
      </c>
      <c r="B55" s="2">
        <v>9.144363515645237</v>
      </c>
      <c r="C55" s="2">
        <v>0.48733348435476387</v>
      </c>
    </row>
    <row r="56" spans="1:3" x14ac:dyDescent="0.3">
      <c r="A56" s="2">
        <v>29</v>
      </c>
      <c r="B56" s="2">
        <v>9.0711615772178842</v>
      </c>
      <c r="C56" s="2">
        <v>0.7608034227821161</v>
      </c>
    </row>
    <row r="57" spans="1:3" x14ac:dyDescent="0.3">
      <c r="A57" s="2">
        <v>30</v>
      </c>
      <c r="B57" s="2">
        <v>8.8603456707645343</v>
      </c>
      <c r="C57" s="2">
        <v>1.230044329235465</v>
      </c>
    </row>
    <row r="58" spans="1:3" x14ac:dyDescent="0.3">
      <c r="A58" s="2">
        <v>31</v>
      </c>
      <c r="B58" s="2">
        <v>8.9390076337478419</v>
      </c>
      <c r="C58" s="2">
        <v>1.3952023662521587</v>
      </c>
    </row>
    <row r="59" spans="1:3" x14ac:dyDescent="0.3">
      <c r="A59" s="2">
        <v>32</v>
      </c>
      <c r="B59" s="2">
        <v>9.176712164258447</v>
      </c>
      <c r="C59" s="2">
        <v>0.55281683574155238</v>
      </c>
    </row>
    <row r="60" spans="1:3" x14ac:dyDescent="0.3">
      <c r="A60" s="2">
        <v>33</v>
      </c>
      <c r="B60" s="2">
        <v>9.3268117593713065</v>
      </c>
      <c r="C60" s="2">
        <v>-0.15932575937130622</v>
      </c>
    </row>
    <row r="61" spans="1:3" x14ac:dyDescent="0.3">
      <c r="A61" s="2">
        <v>34</v>
      </c>
      <c r="B61" s="2">
        <v>9.6332822749879323</v>
      </c>
      <c r="C61" s="2">
        <v>-0.8028442749879332</v>
      </c>
    </row>
    <row r="62" spans="1:3" x14ac:dyDescent="0.3">
      <c r="A62" s="2">
        <v>35</v>
      </c>
      <c r="B62" s="2">
        <v>9.8247170207196142</v>
      </c>
      <c r="C62" s="2">
        <v>-0.79699302071961498</v>
      </c>
    </row>
    <row r="63" spans="1:3" x14ac:dyDescent="0.3">
      <c r="A63" s="2">
        <v>36</v>
      </c>
      <c r="B63" s="2">
        <v>9.1741076598586222</v>
      </c>
      <c r="C63" s="2">
        <v>-1.0128659858622768E-2</v>
      </c>
    </row>
    <row r="64" spans="1:3" x14ac:dyDescent="0.3">
      <c r="A64" s="2">
        <v>37</v>
      </c>
      <c r="B64" s="2">
        <v>8.6891406213315499</v>
      </c>
      <c r="C64" s="2">
        <v>0.70631337866845101</v>
      </c>
    </row>
    <row r="65" spans="1:3" x14ac:dyDescent="0.3">
      <c r="A65" s="2">
        <v>38</v>
      </c>
      <c r="B65" s="2">
        <v>8.4410762202390028</v>
      </c>
      <c r="C65" s="2">
        <v>0.65951877976099738</v>
      </c>
    </row>
    <row r="66" spans="1:3" x14ac:dyDescent="0.3">
      <c r="A66" s="2">
        <v>39</v>
      </c>
      <c r="B66" s="2">
        <v>8.4583215852869369</v>
      </c>
      <c r="C66" s="2">
        <v>0.32666441471306307</v>
      </c>
    </row>
    <row r="67" spans="1:3" x14ac:dyDescent="0.3">
      <c r="A67" s="2">
        <v>40</v>
      </c>
      <c r="B67" s="2">
        <v>8.4670546945575591</v>
      </c>
      <c r="C67" s="2">
        <v>-6.5099694557559928E-2</v>
      </c>
    </row>
    <row r="68" spans="1:3" x14ac:dyDescent="0.3">
      <c r="A68" s="2">
        <v>41</v>
      </c>
      <c r="B68" s="2">
        <v>8.6476303926367368</v>
      </c>
      <c r="C68" s="2">
        <v>-0.89251739263673713</v>
      </c>
    </row>
    <row r="69" spans="1:3" x14ac:dyDescent="0.3">
      <c r="A69" s="2">
        <v>42</v>
      </c>
      <c r="B69" s="2">
        <v>8.3326494345465285</v>
      </c>
      <c r="C69" s="2">
        <v>-0.68241843454652873</v>
      </c>
    </row>
    <row r="70" spans="1:3" x14ac:dyDescent="0.3">
      <c r="A70" s="2">
        <v>43</v>
      </c>
      <c r="B70" s="2">
        <v>8.0097238410267515</v>
      </c>
      <c r="C70" s="2">
        <v>-0.78334484102675184</v>
      </c>
    </row>
    <row r="71" spans="1:3" x14ac:dyDescent="0.3">
      <c r="A71" s="2">
        <v>44</v>
      </c>
      <c r="B71" s="2">
        <v>7.6233076988674746</v>
      </c>
      <c r="C71" s="2">
        <v>-0.2998006988674744</v>
      </c>
    </row>
    <row r="72" spans="1:3" x14ac:dyDescent="0.3">
      <c r="A72" s="2">
        <v>45</v>
      </c>
      <c r="B72" s="2">
        <v>7.2357180672683796</v>
      </c>
      <c r="C72" s="2">
        <v>0.20546593273162017</v>
      </c>
    </row>
    <row r="73" spans="1:3" x14ac:dyDescent="0.3">
      <c r="A73" s="2">
        <v>46</v>
      </c>
      <c r="B73" s="2">
        <v>7.3059110733248112</v>
      </c>
      <c r="C73" s="2">
        <v>0.24282692667518901</v>
      </c>
    </row>
    <row r="74" spans="1:3" x14ac:dyDescent="0.3">
      <c r="A74" s="2">
        <v>47</v>
      </c>
      <c r="B74" s="2">
        <v>7.008730612048474</v>
      </c>
      <c r="C74" s="2">
        <v>0.55720838795152616</v>
      </c>
    </row>
    <row r="75" spans="1:3" x14ac:dyDescent="0.3">
      <c r="A75" s="2">
        <v>48</v>
      </c>
      <c r="B75" s="2">
        <v>7.1546598023471883</v>
      </c>
      <c r="C75" s="2">
        <v>0.2605301976528116</v>
      </c>
    </row>
    <row r="76" spans="1:3" x14ac:dyDescent="0.3">
      <c r="A76" s="2">
        <v>49</v>
      </c>
      <c r="B76" s="2">
        <v>7.0871992251810791</v>
      </c>
      <c r="C76" s="2">
        <v>0.31527677481892091</v>
      </c>
    </row>
    <row r="77" spans="1:3" x14ac:dyDescent="0.3">
      <c r="A77" s="2">
        <v>50</v>
      </c>
      <c r="B77" s="2">
        <v>7.0173287238928044</v>
      </c>
      <c r="C77" s="2">
        <v>0.35868127610719558</v>
      </c>
    </row>
    <row r="78" spans="1:3" x14ac:dyDescent="0.3">
      <c r="A78" s="2">
        <v>51</v>
      </c>
      <c r="B78" s="2">
        <v>7.0663333422303225</v>
      </c>
      <c r="C78" s="2">
        <v>0.41535965776967743</v>
      </c>
    </row>
    <row r="79" spans="1:3" x14ac:dyDescent="0.3">
      <c r="A79" s="2">
        <v>52</v>
      </c>
      <c r="B79" s="2">
        <v>6.9912315592273391</v>
      </c>
      <c r="C79" s="2">
        <v>0.45818044077266062</v>
      </c>
    </row>
    <row r="80" spans="1:3" x14ac:dyDescent="0.3">
      <c r="A80" s="2">
        <v>53</v>
      </c>
      <c r="B80" s="2">
        <v>7.0164900308161329</v>
      </c>
      <c r="C80" s="2">
        <v>0.61028396918386729</v>
      </c>
    </row>
    <row r="81" spans="1:3" x14ac:dyDescent="0.3">
      <c r="A81" s="2">
        <v>54</v>
      </c>
      <c r="B81" s="2">
        <v>7.1203134414435514</v>
      </c>
      <c r="C81" s="2">
        <v>0.3985555585564482</v>
      </c>
    </row>
    <row r="82" spans="1:3" x14ac:dyDescent="0.3">
      <c r="A82" s="2">
        <v>55</v>
      </c>
      <c r="B82" s="2">
        <v>7.3105862926337704</v>
      </c>
      <c r="C82" s="2">
        <v>-0.12244429263377032</v>
      </c>
    </row>
    <row r="83" spans="1:3" x14ac:dyDescent="0.3">
      <c r="A83" s="2">
        <v>56</v>
      </c>
      <c r="B83" s="2">
        <v>7.4031053837957455</v>
      </c>
      <c r="C83" s="2">
        <v>-0.18518038379574531</v>
      </c>
    </row>
    <row r="84" spans="1:3" x14ac:dyDescent="0.3">
      <c r="A84" s="2">
        <v>57</v>
      </c>
      <c r="B84" s="2">
        <v>7.8316297621501398</v>
      </c>
      <c r="C84" s="2">
        <v>-0.61102676215014018</v>
      </c>
    </row>
    <row r="85" spans="1:3" x14ac:dyDescent="0.3">
      <c r="A85" s="2">
        <v>58</v>
      </c>
      <c r="B85" s="2">
        <v>7.8713017386680022</v>
      </c>
      <c r="C85" s="2">
        <v>-0.64531073866800259</v>
      </c>
    </row>
    <row r="86" spans="1:3" x14ac:dyDescent="0.3">
      <c r="A86" s="2">
        <v>59</v>
      </c>
      <c r="B86" s="2">
        <v>7.5306300951124001</v>
      </c>
      <c r="C86" s="2">
        <v>-0.2087130951124001</v>
      </c>
    </row>
    <row r="87" spans="1:3" x14ac:dyDescent="0.3">
      <c r="A87" s="2">
        <v>60</v>
      </c>
      <c r="B87" s="2">
        <v>7.5164913957097497</v>
      </c>
      <c r="C87" s="2">
        <v>-0.13343439570974969</v>
      </c>
    </row>
    <row r="88" spans="1:3" x14ac:dyDescent="0.3">
      <c r="A88" s="2">
        <v>61</v>
      </c>
      <c r="B88" s="2">
        <v>7.391225117842346</v>
      </c>
      <c r="C88" s="2">
        <v>7.7770882157653709E-2</v>
      </c>
    </row>
    <row r="89" spans="1:3" x14ac:dyDescent="0.3">
      <c r="A89" s="2">
        <v>62</v>
      </c>
      <c r="B89" s="2">
        <v>7.4369487531566065</v>
      </c>
      <c r="C89" s="2">
        <v>-1.0125753156606798E-2</v>
      </c>
    </row>
    <row r="90" spans="1:3" x14ac:dyDescent="0.3">
      <c r="A90" s="2">
        <v>63</v>
      </c>
      <c r="B90" s="2">
        <v>7.5161582961453171</v>
      </c>
      <c r="C90" s="2">
        <v>-0.30159629614531713</v>
      </c>
    </row>
    <row r="91" spans="1:3" x14ac:dyDescent="0.3">
      <c r="A91" s="2">
        <v>64</v>
      </c>
      <c r="B91" s="2">
        <v>7.4716801917037223</v>
      </c>
      <c r="C91" s="2">
        <v>-0.39454119170372248</v>
      </c>
    </row>
    <row r="92" spans="1:3" x14ac:dyDescent="0.3">
      <c r="A92" s="2">
        <v>65</v>
      </c>
      <c r="B92" s="2">
        <v>7.2641195215614811</v>
      </c>
      <c r="C92" s="2">
        <v>-0.48595752156148109</v>
      </c>
    </row>
    <row r="93" spans="1:3" x14ac:dyDescent="0.3">
      <c r="A93" s="2">
        <v>66</v>
      </c>
      <c r="B93" s="2">
        <v>7.1988297424957395</v>
      </c>
      <c r="C93" s="2">
        <v>-0.6049747424957399</v>
      </c>
    </row>
    <row r="94" spans="1:3" x14ac:dyDescent="0.3">
      <c r="A94" s="2">
        <v>67</v>
      </c>
      <c r="B94" s="2">
        <v>6.8909277757997707</v>
      </c>
      <c r="C94" s="2">
        <v>-0.49019477579977089</v>
      </c>
    </row>
    <row r="95" spans="1:3" x14ac:dyDescent="0.3">
      <c r="A95" s="2">
        <v>68</v>
      </c>
      <c r="B95" s="2">
        <v>6.6402670989109041</v>
      </c>
      <c r="C95" s="2">
        <v>-0.52177809891090376</v>
      </c>
    </row>
    <row r="96" spans="1:3" x14ac:dyDescent="0.3">
      <c r="A96" s="2">
        <v>69</v>
      </c>
      <c r="B96" s="2">
        <v>6.4927510926843457</v>
      </c>
      <c r="C96" s="2">
        <v>-0.5632030926843461</v>
      </c>
    </row>
    <row r="97" spans="1:3" x14ac:dyDescent="0.3">
      <c r="A97" s="2">
        <v>70</v>
      </c>
      <c r="B97" s="2">
        <v>6.1565992395149145</v>
      </c>
      <c r="C97" s="2">
        <v>-0.22293123951491456</v>
      </c>
    </row>
    <row r="98" spans="1:3" x14ac:dyDescent="0.3">
      <c r="A98" s="2">
        <v>71</v>
      </c>
      <c r="B98" s="2">
        <v>5.8442351687067227</v>
      </c>
      <c r="C98" s="2">
        <v>4.7253831293277315E-2</v>
      </c>
    </row>
    <row r="99" spans="1:3" x14ac:dyDescent="0.3">
      <c r="A99" s="2">
        <v>72</v>
      </c>
      <c r="B99" s="2">
        <v>5.6469515205141594</v>
      </c>
      <c r="C99" s="2">
        <v>0.12087847948584063</v>
      </c>
    </row>
    <row r="100" spans="1:3" x14ac:dyDescent="0.3">
      <c r="A100" s="2">
        <v>73</v>
      </c>
      <c r="B100" s="2">
        <v>5.3401982549658804</v>
      </c>
      <c r="C100" s="2">
        <v>0.30935474503411964</v>
      </c>
    </row>
    <row r="101" spans="1:3" x14ac:dyDescent="0.3">
      <c r="A101" s="2">
        <v>74</v>
      </c>
      <c r="B101" s="2">
        <v>5.3997562203879337</v>
      </c>
      <c r="C101" s="2">
        <v>9.0009779612066687E-2</v>
      </c>
    </row>
    <row r="102" spans="1:3" x14ac:dyDescent="0.3">
      <c r="A102" s="2">
        <v>75</v>
      </c>
      <c r="B102" s="2">
        <v>5.4762747997008923</v>
      </c>
      <c r="C102" s="2">
        <v>-2.8517997008918883E-3</v>
      </c>
    </row>
    <row r="103" spans="1:3" x14ac:dyDescent="0.3">
      <c r="A103" s="2">
        <v>76</v>
      </c>
      <c r="B103" s="2">
        <v>5.5458077750804762</v>
      </c>
      <c r="C103" s="2">
        <v>-1.7827775080475838E-2</v>
      </c>
    </row>
    <row r="104" spans="1:3" x14ac:dyDescent="0.3">
      <c r="A104" s="2">
        <v>77</v>
      </c>
      <c r="B104" s="2">
        <v>5.4042892629569437</v>
      </c>
      <c r="C104" s="2">
        <v>8.8909737043056047E-2</v>
      </c>
    </row>
    <row r="105" spans="1:3" x14ac:dyDescent="0.3">
      <c r="A105" s="2">
        <v>78</v>
      </c>
      <c r="B105" s="2">
        <v>5.2996538476459865</v>
      </c>
      <c r="C105" s="2">
        <v>-5.7449847645986374E-2</v>
      </c>
    </row>
    <row r="106" spans="1:3" x14ac:dyDescent="0.3">
      <c r="A106" s="2">
        <v>79</v>
      </c>
      <c r="B106" s="2">
        <v>5.2975409747580908</v>
      </c>
      <c r="C106" s="2">
        <v>-0.23103797475809085</v>
      </c>
    </row>
    <row r="107" spans="1:3" x14ac:dyDescent="0.3">
      <c r="A107" s="2">
        <v>80</v>
      </c>
      <c r="B107" s="2">
        <v>5.0680441143083854</v>
      </c>
      <c r="C107" s="2">
        <v>-0.14807211430838585</v>
      </c>
    </row>
    <row r="108" spans="1:3" x14ac:dyDescent="0.3">
      <c r="A108" s="2">
        <v>81</v>
      </c>
      <c r="B108" s="2">
        <v>5.1980433208216432</v>
      </c>
      <c r="C108" s="2">
        <v>-0.408334320821643</v>
      </c>
    </row>
    <row r="109" spans="1:3" x14ac:dyDescent="0.3">
      <c r="A109" s="2">
        <v>82</v>
      </c>
      <c r="B109" s="2">
        <v>5.0041183577378341</v>
      </c>
      <c r="C109" s="2">
        <v>-0.12403935773783381</v>
      </c>
    </row>
    <row r="110" spans="1:3" x14ac:dyDescent="0.3">
      <c r="A110" s="2">
        <v>83</v>
      </c>
      <c r="B110" s="2">
        <v>4.8013621261381125</v>
      </c>
      <c r="C110" s="2">
        <v>0.21089687386188771</v>
      </c>
    </row>
    <row r="111" spans="1:3" x14ac:dyDescent="0.3">
      <c r="A111" s="2">
        <v>84</v>
      </c>
      <c r="B111" s="2">
        <v>5.2339109396515049</v>
      </c>
      <c r="C111" s="2">
        <v>3.039060348495326E-3</v>
      </c>
    </row>
    <row r="112" spans="1:3" x14ac:dyDescent="0.3">
      <c r="A112" s="2">
        <v>85</v>
      </c>
      <c r="B112" s="2">
        <v>5.5473563455320427</v>
      </c>
      <c r="C112" s="2">
        <v>-2.9096345532042989E-2</v>
      </c>
    </row>
    <row r="113" spans="1:3" x14ac:dyDescent="0.3">
      <c r="A113" s="2">
        <v>86</v>
      </c>
      <c r="B113" s="2">
        <v>5.8734056680618618</v>
      </c>
      <c r="C113" s="2">
        <v>-9.4302668061861716E-2</v>
      </c>
    </row>
    <row r="114" spans="1:3" x14ac:dyDescent="0.3">
      <c r="A114" s="2">
        <v>87</v>
      </c>
      <c r="B114" s="2">
        <v>6.1110717289936609</v>
      </c>
      <c r="C114" s="2">
        <v>-0.10806072899366104</v>
      </c>
    </row>
    <row r="115" spans="1:3" x14ac:dyDescent="0.3">
      <c r="A115" s="2">
        <v>88</v>
      </c>
      <c r="B115" s="2">
        <v>5.8732709056715802</v>
      </c>
      <c r="C115" s="2">
        <v>0.20876109432841972</v>
      </c>
    </row>
    <row r="116" spans="1:3" x14ac:dyDescent="0.3">
      <c r="A116" s="2">
        <v>89</v>
      </c>
      <c r="B116" s="2">
        <v>5.9237347020300888</v>
      </c>
      <c r="C116" s="2">
        <v>0.29500629796991085</v>
      </c>
    </row>
    <row r="117" spans="1:3" x14ac:dyDescent="0.3">
      <c r="A117" s="2">
        <v>90</v>
      </c>
      <c r="B117" s="2">
        <v>6.2168451510112117</v>
      </c>
      <c r="C117" s="2">
        <v>-2.1765151011211792E-2</v>
      </c>
    </row>
    <row r="118" spans="1:3" x14ac:dyDescent="0.3">
      <c r="A118" s="2">
        <v>91</v>
      </c>
      <c r="B118" s="2">
        <v>6.4625044849493722</v>
      </c>
      <c r="C118" s="2">
        <v>-0.37148348494937267</v>
      </c>
    </row>
    <row r="119" spans="1:3" x14ac:dyDescent="0.3">
      <c r="A119" s="2">
        <v>92</v>
      </c>
      <c r="B119" s="2">
        <v>6.5406931731687532</v>
      </c>
      <c r="C119" s="2">
        <v>-0.44199517316875347</v>
      </c>
    </row>
    <row r="120" spans="1:3" x14ac:dyDescent="0.3">
      <c r="A120" s="2">
        <v>93</v>
      </c>
      <c r="B120" s="2">
        <v>6.3956625837420322</v>
      </c>
      <c r="C120" s="2">
        <v>-0.35867158374203179</v>
      </c>
    </row>
    <row r="121" spans="1:3" x14ac:dyDescent="0.3">
      <c r="A121" s="2">
        <v>94</v>
      </c>
      <c r="B121" s="2">
        <v>6.0469297432065527</v>
      </c>
      <c r="C121" s="2">
        <v>0.35762825679344701</v>
      </c>
    </row>
    <row r="122" spans="1:3" x14ac:dyDescent="0.3">
      <c r="A122" s="2">
        <v>95</v>
      </c>
      <c r="B122" s="2">
        <v>5.7268268852984239</v>
      </c>
      <c r="C122" s="2">
        <v>0.52873311470157613</v>
      </c>
    </row>
    <row r="123" spans="1:3" x14ac:dyDescent="0.3">
      <c r="A123" s="2">
        <v>96</v>
      </c>
      <c r="B123" s="2">
        <v>5.5119830100831937</v>
      </c>
      <c r="C123" s="2">
        <v>0.47755698991680617</v>
      </c>
    </row>
    <row r="124" spans="1:3" x14ac:dyDescent="0.3">
      <c r="A124" s="2">
        <v>97</v>
      </c>
      <c r="B124" s="2">
        <v>5.7446267612265398</v>
      </c>
      <c r="C124" s="2">
        <v>2.8057238773460114E-2</v>
      </c>
    </row>
    <row r="125" spans="1:3" x14ac:dyDescent="0.3">
      <c r="A125" s="2">
        <v>98</v>
      </c>
      <c r="B125" s="2">
        <v>6.1283976774484223</v>
      </c>
      <c r="C125" s="2">
        <v>-0.9153456774484221</v>
      </c>
    </row>
    <row r="126" spans="1:3" x14ac:dyDescent="0.3">
      <c r="A126" s="2">
        <v>99</v>
      </c>
      <c r="B126" s="2">
        <v>5.9519286273430936</v>
      </c>
      <c r="C126" s="2">
        <v>-0.85829262734309353</v>
      </c>
    </row>
    <row r="127" spans="1:3" x14ac:dyDescent="0.3">
      <c r="A127" s="2">
        <v>100</v>
      </c>
      <c r="B127" s="2">
        <v>5.7178311175939562</v>
      </c>
      <c r="C127" s="2">
        <v>-0.61272711759395637</v>
      </c>
    </row>
    <row r="128" spans="1:3" x14ac:dyDescent="0.3">
      <c r="A128" s="2">
        <v>101</v>
      </c>
      <c r="B128" s="2">
        <v>5.4703622463938668</v>
      </c>
      <c r="C128" s="2">
        <v>-0.40047324639386694</v>
      </c>
    </row>
    <row r="129" spans="1:3" x14ac:dyDescent="0.3">
      <c r="A129" s="2">
        <v>102</v>
      </c>
      <c r="B129" s="2">
        <v>5.0889539160200226</v>
      </c>
      <c r="C129" s="2">
        <v>-5.0618916020022553E-2</v>
      </c>
    </row>
    <row r="130" spans="1:3" x14ac:dyDescent="0.3">
      <c r="A130" s="2">
        <v>103</v>
      </c>
      <c r="B130" s="2">
        <v>5.0352159717974807</v>
      </c>
      <c r="C130" s="2">
        <v>2.3568028202519464E-2</v>
      </c>
    </row>
    <row r="131" spans="1:3" x14ac:dyDescent="0.3">
      <c r="A131" s="2">
        <v>104</v>
      </c>
      <c r="B131" s="2">
        <v>5.1771207870623517</v>
      </c>
      <c r="C131" s="2">
        <v>-0.26898678706235124</v>
      </c>
    </row>
    <row r="132" spans="1:3" x14ac:dyDescent="0.3">
      <c r="A132" s="2">
        <v>105</v>
      </c>
      <c r="B132" s="2">
        <v>5.087026774301588</v>
      </c>
      <c r="C132" s="2">
        <v>-0.25873377430158762</v>
      </c>
    </row>
    <row r="133" spans="1:3" x14ac:dyDescent="0.3">
      <c r="A133" s="2">
        <v>106</v>
      </c>
      <c r="B133" s="2">
        <v>4.7677502203679083</v>
      </c>
      <c r="C133" s="2">
        <v>-3.913122036790817E-2</v>
      </c>
    </row>
    <row r="134" spans="1:3" x14ac:dyDescent="0.3">
      <c r="A134" s="2">
        <v>107</v>
      </c>
      <c r="B134" s="2">
        <v>4.8792428908260277</v>
      </c>
      <c r="C134" s="2">
        <v>-0.34917689082602799</v>
      </c>
    </row>
    <row r="135" spans="1:3" x14ac:dyDescent="0.3">
      <c r="A135" s="2">
        <v>108</v>
      </c>
      <c r="B135" s="2">
        <v>4.5674716019170329</v>
      </c>
      <c r="C135" s="2">
        <v>-9.3510601917032865E-2</v>
      </c>
    </row>
    <row r="136" spans="1:3" x14ac:dyDescent="0.3">
      <c r="A136" s="2">
        <v>109</v>
      </c>
      <c r="B136" s="2">
        <v>4.5457808365198478</v>
      </c>
      <c r="C136" s="2">
        <v>-0.22589683651984771</v>
      </c>
    </row>
    <row r="137" spans="1:3" x14ac:dyDescent="0.3">
      <c r="A137" s="2">
        <v>110</v>
      </c>
      <c r="B137" s="2">
        <v>4.5626144351270472</v>
      </c>
      <c r="C137" s="2">
        <v>-0.36375443512704742</v>
      </c>
    </row>
    <row r="138" spans="1:3" x14ac:dyDescent="0.3">
      <c r="A138" s="2">
        <v>111</v>
      </c>
      <c r="B138" s="2">
        <v>4.25469496098329</v>
      </c>
      <c r="C138" s="2">
        <v>-4.0689609832904594E-3</v>
      </c>
    </row>
    <row r="139" spans="1:3" x14ac:dyDescent="0.3">
      <c r="A139" s="2">
        <v>112</v>
      </c>
      <c r="B139" s="2">
        <v>4.2640710773995973</v>
      </c>
      <c r="C139" s="2">
        <v>0.13782392260040233</v>
      </c>
    </row>
    <row r="140" spans="1:3" x14ac:dyDescent="0.3">
      <c r="A140" s="2">
        <v>113</v>
      </c>
      <c r="B140" s="2">
        <v>4.0112209266610286</v>
      </c>
      <c r="C140" s="2">
        <v>0.46593607333897147</v>
      </c>
    </row>
    <row r="141" spans="1:3" x14ac:dyDescent="0.3">
      <c r="A141" s="2">
        <v>114</v>
      </c>
      <c r="B141" s="2">
        <v>3.9167290580176033</v>
      </c>
      <c r="C141" s="2">
        <v>0.60681494198239694</v>
      </c>
    </row>
    <row r="142" spans="1:3" x14ac:dyDescent="0.3">
      <c r="A142" s="2">
        <v>115</v>
      </c>
      <c r="B142" s="2">
        <v>4.0318808191481121</v>
      </c>
      <c r="C142" s="2">
        <v>0.64788518085188773</v>
      </c>
    </row>
    <row r="143" spans="1:3" x14ac:dyDescent="0.3">
      <c r="A143" s="2">
        <v>116</v>
      </c>
      <c r="B143" s="2">
        <v>4.1979296097989067</v>
      </c>
      <c r="C143" s="2">
        <v>0.29345739020109285</v>
      </c>
    </row>
    <row r="144" spans="1:3" x14ac:dyDescent="0.3">
      <c r="A144" s="2">
        <v>117</v>
      </c>
      <c r="B144" s="2">
        <v>4.1946640106011124</v>
      </c>
      <c r="C144" s="2">
        <v>0.22354398939888753</v>
      </c>
    </row>
    <row r="145" spans="1:3" x14ac:dyDescent="0.3">
      <c r="A145" s="2">
        <v>118</v>
      </c>
      <c r="B145" s="2">
        <v>4.236502985480449</v>
      </c>
      <c r="C145" s="2">
        <v>0.15981101451955126</v>
      </c>
    </row>
    <row r="146" spans="1:3" ht="15" thickBot="1" x14ac:dyDescent="0.35">
      <c r="A146" s="3">
        <v>119</v>
      </c>
      <c r="B146" s="3">
        <v>4.3277042713559943</v>
      </c>
      <c r="C146" s="3">
        <v>-7.482027135599445E-2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4C4A-67C7-4316-B80B-7972F853173F}">
  <dimension ref="A1:P124"/>
  <sheetViews>
    <sheetView topLeftCell="A6" workbookViewId="0">
      <selection activeCell="P6" sqref="P6:P124"/>
    </sheetView>
  </sheetViews>
  <sheetFormatPr defaultRowHeight="14.4" x14ac:dyDescent="0.3"/>
  <cols>
    <col min="1" max="1" width="13.44140625" bestFit="1" customWidth="1"/>
    <col min="2" max="2" width="7" bestFit="1" customWidth="1"/>
    <col min="3" max="3" width="6.33203125" bestFit="1" customWidth="1"/>
    <col min="4" max="5" width="6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15</v>
      </c>
      <c r="B2">
        <v>1987.1</v>
      </c>
      <c r="C2">
        <v>304</v>
      </c>
      <c r="D2">
        <v>19.68</v>
      </c>
      <c r="E2">
        <v>34721</v>
      </c>
      <c r="F2">
        <v>7.9697849999999999</v>
      </c>
      <c r="G2">
        <v>111.8</v>
      </c>
      <c r="H2">
        <v>7.1954098360655703</v>
      </c>
      <c r="L2">
        <v>7.9697849999999999</v>
      </c>
      <c r="N2">
        <v>7.1954098360655703</v>
      </c>
    </row>
    <row r="3" spans="1:16" x14ac:dyDescent="0.3">
      <c r="A3" t="s">
        <v>15</v>
      </c>
      <c r="B3">
        <v>1987.2</v>
      </c>
      <c r="C3">
        <v>592</v>
      </c>
      <c r="D3">
        <v>19.170000000000002</v>
      </c>
      <c r="E3">
        <v>35313</v>
      </c>
      <c r="F3">
        <v>8.0663180000000008</v>
      </c>
      <c r="G3">
        <v>113.066666666667</v>
      </c>
      <c r="H3">
        <v>8.3426984126984092</v>
      </c>
      <c r="L3">
        <v>8.0663180000000008</v>
      </c>
      <c r="N3">
        <v>8.3426984126984092</v>
      </c>
    </row>
    <row r="4" spans="1:16" x14ac:dyDescent="0.3">
      <c r="A4" t="s">
        <v>15</v>
      </c>
      <c r="B4">
        <v>1987.3</v>
      </c>
      <c r="C4">
        <v>882</v>
      </c>
      <c r="D4">
        <v>18.91</v>
      </c>
      <c r="E4">
        <v>36195</v>
      </c>
      <c r="F4">
        <v>8.1237089999999998</v>
      </c>
      <c r="G4">
        <v>114.26666666666701</v>
      </c>
      <c r="H4">
        <v>8.8696874999999995</v>
      </c>
      <c r="L4">
        <v>8.1237089999999998</v>
      </c>
      <c r="N4">
        <v>8.8696874999999995</v>
      </c>
    </row>
    <row r="5" spans="1:16" x14ac:dyDescent="0.3">
      <c r="A5" t="s">
        <v>15</v>
      </c>
      <c r="B5">
        <v>1987.4</v>
      </c>
      <c r="C5">
        <v>4010</v>
      </c>
      <c r="D5">
        <v>18.66</v>
      </c>
      <c r="E5">
        <v>40205</v>
      </c>
      <c r="F5">
        <v>8.0841390000000004</v>
      </c>
      <c r="G5">
        <v>115.333333333333</v>
      </c>
      <c r="H5">
        <v>9.1290322580645196</v>
      </c>
      <c r="L5">
        <v>8.0841390000000004</v>
      </c>
      <c r="N5">
        <v>9.1290322580645196</v>
      </c>
    </row>
    <row r="6" spans="1:16" x14ac:dyDescent="0.3">
      <c r="A6" t="s">
        <v>15</v>
      </c>
      <c r="B6">
        <v>1988.1</v>
      </c>
      <c r="C6">
        <v>1233</v>
      </c>
      <c r="D6">
        <v>18.79</v>
      </c>
      <c r="E6">
        <v>41438</v>
      </c>
      <c r="F6">
        <v>8.0189039999999991</v>
      </c>
      <c r="G6">
        <v>116.23333333333299</v>
      </c>
      <c r="H6">
        <v>8.4109677419354902</v>
      </c>
      <c r="L6">
        <v>8.0189039999999991</v>
      </c>
      <c r="M6">
        <f>F2</f>
        <v>7.9697849999999999</v>
      </c>
      <c r="N6">
        <v>8.4109677419354902</v>
      </c>
      <c r="O6">
        <f>D6/D2</f>
        <v>0.95477642276422758</v>
      </c>
      <c r="P6">
        <f>G6/G2</f>
        <v>1.039654144305304</v>
      </c>
    </row>
    <row r="7" spans="1:16" x14ac:dyDescent="0.3">
      <c r="A7" t="s">
        <v>15</v>
      </c>
      <c r="B7">
        <v>1988.2</v>
      </c>
      <c r="C7">
        <v>1008</v>
      </c>
      <c r="D7">
        <v>18.91</v>
      </c>
      <c r="E7">
        <v>42446</v>
      </c>
      <c r="F7">
        <v>8.0386039999999994</v>
      </c>
      <c r="G7">
        <v>117.566666666667</v>
      </c>
      <c r="H7">
        <v>8.9128571428571401</v>
      </c>
      <c r="L7">
        <v>8.0386039999999994</v>
      </c>
      <c r="M7">
        <f>F3</f>
        <v>8.0663180000000008</v>
      </c>
      <c r="N7">
        <v>8.9128571428571401</v>
      </c>
      <c r="O7">
        <f>D7/D3</f>
        <v>0.98643714136671878</v>
      </c>
      <c r="P7">
        <f>G7/G3</f>
        <v>1.0397995283018866</v>
      </c>
    </row>
    <row r="8" spans="1:16" x14ac:dyDescent="0.3">
      <c r="A8" t="s">
        <v>15</v>
      </c>
      <c r="B8">
        <v>1988.3</v>
      </c>
      <c r="C8">
        <v>726</v>
      </c>
      <c r="D8">
        <v>18.8</v>
      </c>
      <c r="E8">
        <v>43172</v>
      </c>
      <c r="F8">
        <v>7.8573219999999999</v>
      </c>
      <c r="G8">
        <v>119</v>
      </c>
      <c r="H8">
        <v>9.1035937499999999</v>
      </c>
      <c r="L8">
        <v>7.8573219999999999</v>
      </c>
      <c r="M8">
        <f>F4</f>
        <v>8.1237089999999998</v>
      </c>
      <c r="N8">
        <v>9.1035937499999999</v>
      </c>
      <c r="O8">
        <f>D8/D4</f>
        <v>0.99418297197250138</v>
      </c>
      <c r="P8">
        <f>G8/G4</f>
        <v>1.041423570595096</v>
      </c>
    </row>
    <row r="9" spans="1:16" x14ac:dyDescent="0.3">
      <c r="A9" t="s">
        <v>15</v>
      </c>
      <c r="B9">
        <v>1988.4</v>
      </c>
      <c r="C9">
        <v>172</v>
      </c>
      <c r="D9">
        <v>18.68</v>
      </c>
      <c r="E9">
        <v>43344</v>
      </c>
      <c r="F9">
        <v>7.5727409999999997</v>
      </c>
      <c r="G9">
        <v>120.3</v>
      </c>
      <c r="H9">
        <v>8.9570491803278696</v>
      </c>
      <c r="L9">
        <v>7.5727409999999997</v>
      </c>
      <c r="M9">
        <f>F5</f>
        <v>8.0841390000000004</v>
      </c>
      <c r="N9">
        <v>8.9570491803278696</v>
      </c>
      <c r="O9">
        <f>D9/D5</f>
        <v>1.0010718113612005</v>
      </c>
      <c r="P9">
        <f>G9/G5</f>
        <v>1.0430635838150319</v>
      </c>
    </row>
    <row r="10" spans="1:16" x14ac:dyDescent="0.3">
      <c r="A10" t="s">
        <v>15</v>
      </c>
      <c r="B10">
        <v>1989.1</v>
      </c>
      <c r="C10">
        <v>1905</v>
      </c>
      <c r="D10">
        <v>18.53</v>
      </c>
      <c r="E10">
        <v>45249</v>
      </c>
      <c r="F10">
        <v>7.5218100000000003</v>
      </c>
      <c r="G10">
        <v>121.666666666667</v>
      </c>
      <c r="H10">
        <v>9.2116393442623004</v>
      </c>
      <c r="L10">
        <v>7.5218100000000003</v>
      </c>
      <c r="M10">
        <f>F6</f>
        <v>8.0189039999999991</v>
      </c>
      <c r="N10">
        <v>9.2116393442623004</v>
      </c>
      <c r="O10">
        <f>D10/D6</f>
        <v>0.98616285258116032</v>
      </c>
      <c r="P10">
        <f>G10/G6</f>
        <v>1.0467450530542073</v>
      </c>
    </row>
    <row r="11" spans="1:16" x14ac:dyDescent="0.3">
      <c r="A11" t="s">
        <v>15</v>
      </c>
      <c r="B11">
        <v>1989.2</v>
      </c>
      <c r="C11">
        <v>664</v>
      </c>
      <c r="D11">
        <v>18.38</v>
      </c>
      <c r="E11">
        <v>45913</v>
      </c>
      <c r="F11">
        <v>7.2671489999999999</v>
      </c>
      <c r="G11">
        <v>123.633333333333</v>
      </c>
      <c r="H11">
        <v>8.7579687499999999</v>
      </c>
      <c r="L11">
        <v>7.2671489999999999</v>
      </c>
      <c r="M11">
        <f>F7</f>
        <v>8.0386039999999994</v>
      </c>
      <c r="N11">
        <v>8.7579687499999999</v>
      </c>
      <c r="O11">
        <f>D11/D7</f>
        <v>0.97197250132205182</v>
      </c>
      <c r="P11">
        <f>G11/G7</f>
        <v>1.0516019279841167</v>
      </c>
    </row>
    <row r="12" spans="1:16" x14ac:dyDescent="0.3">
      <c r="A12" t="s">
        <v>15</v>
      </c>
      <c r="B12">
        <v>1989.3</v>
      </c>
      <c r="C12">
        <v>841</v>
      </c>
      <c r="D12">
        <v>18.21</v>
      </c>
      <c r="E12">
        <v>46754</v>
      </c>
      <c r="F12">
        <v>7.0650440000000003</v>
      </c>
      <c r="G12">
        <v>124.6</v>
      </c>
      <c r="H12">
        <v>8.1074603174603208</v>
      </c>
      <c r="L12">
        <v>7.0650440000000003</v>
      </c>
      <c r="M12">
        <f>F8</f>
        <v>7.8573219999999999</v>
      </c>
      <c r="N12">
        <v>8.1074603174603208</v>
      </c>
      <c r="O12">
        <f>D12/D8</f>
        <v>0.96861702127659577</v>
      </c>
      <c r="P12">
        <f>G12/G8</f>
        <v>1.0470588235294118</v>
      </c>
    </row>
    <row r="13" spans="1:16" x14ac:dyDescent="0.3">
      <c r="A13" t="s">
        <v>15</v>
      </c>
      <c r="B13">
        <v>1989.4</v>
      </c>
      <c r="C13">
        <v>835</v>
      </c>
      <c r="D13">
        <v>18.05</v>
      </c>
      <c r="E13">
        <v>47589</v>
      </c>
      <c r="F13">
        <v>7.0493329999999998</v>
      </c>
      <c r="G13">
        <v>125.866666666667</v>
      </c>
      <c r="H13">
        <v>7.9070967741935503</v>
      </c>
      <c r="L13">
        <v>7.0493329999999998</v>
      </c>
      <c r="M13">
        <f>F9</f>
        <v>7.5727409999999997</v>
      </c>
      <c r="N13">
        <v>7.9070967741935503</v>
      </c>
      <c r="O13">
        <f>D13/D9</f>
        <v>0.96627408993576025</v>
      </c>
      <c r="P13">
        <f>G13/G9</f>
        <v>1.0462732058742061</v>
      </c>
    </row>
    <row r="14" spans="1:16" x14ac:dyDescent="0.3">
      <c r="A14" t="s">
        <v>15</v>
      </c>
      <c r="B14">
        <v>1990.1</v>
      </c>
      <c r="C14">
        <v>1421</v>
      </c>
      <c r="D14">
        <v>18.170000000000002</v>
      </c>
      <c r="E14">
        <v>49010</v>
      </c>
      <c r="F14">
        <v>6.8633699999999997</v>
      </c>
      <c r="G14">
        <v>128.03333333333299</v>
      </c>
      <c r="H14">
        <v>8.4238709677419301</v>
      </c>
      <c r="L14">
        <v>6.8633699999999997</v>
      </c>
      <c r="M14">
        <f>F10</f>
        <v>7.5218100000000003</v>
      </c>
      <c r="N14">
        <v>8.4238709677419301</v>
      </c>
      <c r="O14">
        <f>D14/D10</f>
        <v>0.98057204533189424</v>
      </c>
      <c r="P14">
        <f>G14/G10</f>
        <v>1.0523287671232819</v>
      </c>
    </row>
    <row r="15" spans="1:16" x14ac:dyDescent="0.3">
      <c r="A15" t="s">
        <v>15</v>
      </c>
      <c r="B15">
        <v>1990.2</v>
      </c>
      <c r="C15">
        <v>533</v>
      </c>
      <c r="D15">
        <v>18.29</v>
      </c>
      <c r="E15">
        <v>49543</v>
      </c>
      <c r="F15">
        <v>6.5598409999999996</v>
      </c>
      <c r="G15">
        <v>129.30000000000001</v>
      </c>
      <c r="H15">
        <v>8.6741269841269801</v>
      </c>
      <c r="L15">
        <v>6.5598409999999996</v>
      </c>
      <c r="M15">
        <f>F11</f>
        <v>7.2671489999999999</v>
      </c>
      <c r="N15">
        <v>8.6741269841269801</v>
      </c>
      <c r="O15">
        <f>D15/D11</f>
        <v>0.99510337323177367</v>
      </c>
      <c r="P15">
        <f>G15/G11</f>
        <v>1.0458344567268836</v>
      </c>
    </row>
    <row r="16" spans="1:16" x14ac:dyDescent="0.3">
      <c r="A16" t="s">
        <v>15</v>
      </c>
      <c r="B16">
        <v>1990.3</v>
      </c>
      <c r="C16">
        <v>1008</v>
      </c>
      <c r="D16">
        <v>18.260000000000002</v>
      </c>
      <c r="E16">
        <v>50551</v>
      </c>
      <c r="F16">
        <v>6.4756980000000004</v>
      </c>
      <c r="G16">
        <v>131.53333333333299</v>
      </c>
      <c r="H16">
        <v>8.7012698412698395</v>
      </c>
      <c r="L16">
        <v>6.4756980000000004</v>
      </c>
      <c r="M16">
        <f>F12</f>
        <v>7.0650440000000003</v>
      </c>
      <c r="N16">
        <v>8.7012698412698395</v>
      </c>
      <c r="O16">
        <f>D16/D12</f>
        <v>1.0027457440966503</v>
      </c>
      <c r="P16">
        <f>G16/G12</f>
        <v>1.0556447298020304</v>
      </c>
    </row>
    <row r="17" spans="1:16" x14ac:dyDescent="0.3">
      <c r="A17" t="s">
        <v>15</v>
      </c>
      <c r="B17">
        <v>1990.4</v>
      </c>
      <c r="C17">
        <v>731</v>
      </c>
      <c r="D17">
        <v>18.239999999999998</v>
      </c>
      <c r="E17">
        <v>51282</v>
      </c>
      <c r="F17">
        <v>6.6197239999999997</v>
      </c>
      <c r="G17">
        <v>133.76666666666699</v>
      </c>
      <c r="H17">
        <v>8.4059677419354895</v>
      </c>
      <c r="L17">
        <v>6.6197239999999997</v>
      </c>
      <c r="M17">
        <f>F13</f>
        <v>7.0493329999999998</v>
      </c>
      <c r="N17">
        <v>8.4059677419354895</v>
      </c>
      <c r="O17">
        <f>D17/D13</f>
        <v>1.0105263157894735</v>
      </c>
      <c r="P17">
        <f>G17/G13</f>
        <v>1.0627648305084743</v>
      </c>
    </row>
    <row r="18" spans="1:16" x14ac:dyDescent="0.3">
      <c r="A18" t="s">
        <v>15</v>
      </c>
      <c r="B18">
        <v>1991.1</v>
      </c>
      <c r="C18">
        <v>401</v>
      </c>
      <c r="D18">
        <v>18.14</v>
      </c>
      <c r="E18">
        <v>51683</v>
      </c>
      <c r="F18">
        <v>6.4964880000000003</v>
      </c>
      <c r="G18">
        <v>134.76666666666699</v>
      </c>
      <c r="H18">
        <v>8.0231666666666595</v>
      </c>
      <c r="L18">
        <v>6.4964880000000003</v>
      </c>
      <c r="M18">
        <f>F14</f>
        <v>6.8633699999999997</v>
      </c>
      <c r="N18">
        <v>8.0231666666666595</v>
      </c>
      <c r="O18">
        <f>D18/D14</f>
        <v>0.99834892680242149</v>
      </c>
      <c r="P18">
        <f>G18/G14</f>
        <v>1.0525904712314555</v>
      </c>
    </row>
    <row r="19" spans="1:16" x14ac:dyDescent="0.3">
      <c r="A19" t="s">
        <v>15</v>
      </c>
      <c r="B19">
        <v>1991.2</v>
      </c>
      <c r="C19">
        <v>445</v>
      </c>
      <c r="D19">
        <v>18.03</v>
      </c>
      <c r="E19">
        <v>52128</v>
      </c>
      <c r="F19">
        <v>6.6645799999999999</v>
      </c>
      <c r="G19">
        <v>135.566666666667</v>
      </c>
      <c r="H19">
        <v>8.1254687499999996</v>
      </c>
      <c r="L19">
        <v>6.6645799999999999</v>
      </c>
      <c r="M19">
        <f>F15</f>
        <v>6.5598409999999996</v>
      </c>
      <c r="N19">
        <v>8.1254687499999996</v>
      </c>
      <c r="O19">
        <f>D19/D15</f>
        <v>0.98578458173865513</v>
      </c>
      <c r="P19">
        <f>G19/G15</f>
        <v>1.0484660995101855</v>
      </c>
    </row>
    <row r="20" spans="1:16" x14ac:dyDescent="0.3">
      <c r="A20" t="s">
        <v>15</v>
      </c>
      <c r="B20">
        <v>1991.3</v>
      </c>
      <c r="C20">
        <v>645</v>
      </c>
      <c r="D20">
        <v>17.78</v>
      </c>
      <c r="E20">
        <v>52773</v>
      </c>
      <c r="F20">
        <v>6.5759749999999997</v>
      </c>
      <c r="G20">
        <v>136.6</v>
      </c>
      <c r="H20">
        <v>7.95</v>
      </c>
      <c r="L20">
        <v>6.5759749999999997</v>
      </c>
      <c r="M20">
        <f>F16</f>
        <v>6.4756980000000004</v>
      </c>
      <c r="N20">
        <v>7.95</v>
      </c>
      <c r="O20">
        <f>D20/D16</f>
        <v>0.97371303395399778</v>
      </c>
      <c r="P20">
        <f>G20/G16</f>
        <v>1.0385200202736975</v>
      </c>
    </row>
    <row r="21" spans="1:16" x14ac:dyDescent="0.3">
      <c r="A21" t="s">
        <v>15</v>
      </c>
      <c r="B21">
        <v>1991.4</v>
      </c>
      <c r="C21">
        <v>546</v>
      </c>
      <c r="D21">
        <v>17.53</v>
      </c>
      <c r="E21">
        <v>53319</v>
      </c>
      <c r="F21">
        <v>6.3341510000000003</v>
      </c>
      <c r="G21">
        <v>137.73333333333301</v>
      </c>
      <c r="H21">
        <v>7.3449999999999998</v>
      </c>
      <c r="L21">
        <v>6.3341510000000003</v>
      </c>
      <c r="M21">
        <f>F17</f>
        <v>6.6197239999999997</v>
      </c>
      <c r="N21">
        <v>7.3449999999999998</v>
      </c>
      <c r="O21">
        <f>D21/D17</f>
        <v>0.96107456140350889</v>
      </c>
      <c r="P21">
        <f>G21/G17</f>
        <v>1.0296536257164166</v>
      </c>
    </row>
    <row r="22" spans="1:16" x14ac:dyDescent="0.3">
      <c r="A22" t="s">
        <v>15</v>
      </c>
      <c r="B22">
        <v>1992.1</v>
      </c>
      <c r="C22">
        <v>192</v>
      </c>
      <c r="D22">
        <v>16.96</v>
      </c>
      <c r="E22">
        <v>53511</v>
      </c>
      <c r="F22">
        <v>6.6432019999999996</v>
      </c>
      <c r="G22">
        <v>138.666666666667</v>
      </c>
      <c r="H22">
        <v>7.3069354838709701</v>
      </c>
      <c r="L22">
        <v>6.6432019999999996</v>
      </c>
      <c r="M22">
        <f>F18</f>
        <v>6.4964880000000003</v>
      </c>
      <c r="N22">
        <v>7.3069354838709701</v>
      </c>
      <c r="O22">
        <f>D22/D18</f>
        <v>0.93495038588754131</v>
      </c>
      <c r="P22">
        <f>G22/G18</f>
        <v>1.0289389067524115</v>
      </c>
    </row>
    <row r="23" spans="1:16" x14ac:dyDescent="0.3">
      <c r="A23" t="s">
        <v>15</v>
      </c>
      <c r="B23">
        <v>1992.2</v>
      </c>
      <c r="C23">
        <v>34</v>
      </c>
      <c r="D23">
        <v>16.399999999999999</v>
      </c>
      <c r="E23">
        <v>53545</v>
      </c>
      <c r="F23">
        <v>6.8898849999999996</v>
      </c>
      <c r="G23">
        <v>139.73333333333301</v>
      </c>
      <c r="H23">
        <v>7.3760317460317504</v>
      </c>
      <c r="L23">
        <v>6.8898849999999996</v>
      </c>
      <c r="M23">
        <f>F19</f>
        <v>6.6645799999999999</v>
      </c>
      <c r="N23">
        <v>7.3760317460317504</v>
      </c>
      <c r="O23">
        <f>D23/D19</f>
        <v>0.90959511924570147</v>
      </c>
      <c r="P23">
        <f>G23/G19</f>
        <v>1.0307351856405162</v>
      </c>
    </row>
    <row r="24" spans="1:16" x14ac:dyDescent="0.3">
      <c r="A24" t="s">
        <v>15</v>
      </c>
      <c r="B24">
        <v>1992.3</v>
      </c>
      <c r="C24">
        <v>188</v>
      </c>
      <c r="D24">
        <v>16.260000000000002</v>
      </c>
      <c r="E24">
        <v>53733</v>
      </c>
      <c r="F24">
        <v>7.3588399999999998</v>
      </c>
      <c r="G24">
        <v>140.80000000000001</v>
      </c>
      <c r="H24">
        <v>6.6187500000000004</v>
      </c>
      <c r="L24">
        <v>7.3588399999999998</v>
      </c>
      <c r="M24">
        <f>F20</f>
        <v>6.5759749999999997</v>
      </c>
      <c r="N24">
        <v>6.6187500000000004</v>
      </c>
      <c r="O24">
        <f>D24/D20</f>
        <v>0.91451068616422948</v>
      </c>
      <c r="P24">
        <f>G24/G20</f>
        <v>1.0307467057101025</v>
      </c>
    </row>
    <row r="25" spans="1:16" x14ac:dyDescent="0.3">
      <c r="A25" t="s">
        <v>15</v>
      </c>
      <c r="B25">
        <v>1992.4</v>
      </c>
      <c r="C25">
        <v>0</v>
      </c>
      <c r="D25">
        <v>16.11</v>
      </c>
      <c r="E25">
        <v>53733</v>
      </c>
      <c r="F25">
        <v>8.0460980000000006</v>
      </c>
      <c r="G25">
        <v>142.03333333333299</v>
      </c>
      <c r="H25">
        <v>6.7403225806451603</v>
      </c>
      <c r="L25">
        <v>8.0460980000000006</v>
      </c>
      <c r="M25">
        <f>F21</f>
        <v>6.3341510000000003</v>
      </c>
      <c r="N25">
        <v>6.7403225806451603</v>
      </c>
      <c r="O25">
        <f>D25/D21</f>
        <v>0.91899600684540783</v>
      </c>
      <c r="P25">
        <f>G25/G21</f>
        <v>1.0312197483059051</v>
      </c>
    </row>
    <row r="26" spans="1:16" x14ac:dyDescent="0.3">
      <c r="A26" t="s">
        <v>15</v>
      </c>
      <c r="B26">
        <v>1993.1</v>
      </c>
      <c r="C26">
        <v>0</v>
      </c>
      <c r="D26">
        <v>15.89</v>
      </c>
      <c r="E26">
        <v>53733</v>
      </c>
      <c r="F26">
        <v>8.5690469999999994</v>
      </c>
      <c r="G26">
        <v>143.066666666667</v>
      </c>
      <c r="H26">
        <v>6.25819672131147</v>
      </c>
      <c r="L26">
        <v>8.5690469999999994</v>
      </c>
      <c r="M26">
        <f>F22</f>
        <v>6.6432019999999996</v>
      </c>
      <c r="N26">
        <v>6.25819672131147</v>
      </c>
      <c r="O26">
        <f>D26/D22</f>
        <v>0.93691037735849059</v>
      </c>
      <c r="P26">
        <f>G26/G22</f>
        <v>1.0317307692307691</v>
      </c>
    </row>
    <row r="27" spans="1:16" x14ac:dyDescent="0.3">
      <c r="A27" t="s">
        <v>15</v>
      </c>
      <c r="B27">
        <v>1993.2</v>
      </c>
      <c r="C27">
        <v>0</v>
      </c>
      <c r="D27">
        <v>15.67</v>
      </c>
      <c r="E27">
        <v>53733</v>
      </c>
      <c r="F27">
        <v>9.0945719999999994</v>
      </c>
      <c r="G27">
        <v>144.1</v>
      </c>
      <c r="H27">
        <v>5.9880952380952399</v>
      </c>
      <c r="L27">
        <v>9.0945719999999994</v>
      </c>
      <c r="M27">
        <f>F23</f>
        <v>6.8898849999999996</v>
      </c>
      <c r="N27">
        <v>5.9880952380952399</v>
      </c>
      <c r="O27">
        <f>D27/D23</f>
        <v>0.95548780487804885</v>
      </c>
      <c r="P27">
        <f>G27/G23</f>
        <v>1.0312500000000024</v>
      </c>
    </row>
    <row r="28" spans="1:16" x14ac:dyDescent="0.3">
      <c r="A28" t="s">
        <v>15</v>
      </c>
      <c r="B28">
        <v>1993.3</v>
      </c>
      <c r="C28">
        <v>0</v>
      </c>
      <c r="D28">
        <v>15.58</v>
      </c>
      <c r="E28">
        <v>53733</v>
      </c>
      <c r="F28">
        <v>9.2166399999999999</v>
      </c>
      <c r="G28">
        <v>144.76666666666699</v>
      </c>
      <c r="H28">
        <v>5.6153124999999999</v>
      </c>
      <c r="L28">
        <v>9.2166399999999999</v>
      </c>
      <c r="M28">
        <f>F24</f>
        <v>7.3588399999999998</v>
      </c>
      <c r="N28">
        <v>5.6153124999999999</v>
      </c>
      <c r="O28">
        <f>D28/D24</f>
        <v>0.95817958179581786</v>
      </c>
      <c r="P28">
        <f>G28/G24</f>
        <v>1.0281723484848506</v>
      </c>
    </row>
    <row r="29" spans="1:16" x14ac:dyDescent="0.3">
      <c r="A29" t="s">
        <v>15</v>
      </c>
      <c r="B29">
        <v>1993.4</v>
      </c>
      <c r="C29">
        <v>0</v>
      </c>
      <c r="D29">
        <v>15.5</v>
      </c>
      <c r="E29">
        <v>53733</v>
      </c>
      <c r="F29">
        <v>9.2823390000000003</v>
      </c>
      <c r="G29">
        <v>145.96666666666701</v>
      </c>
      <c r="H29">
        <v>5.6159677419354797</v>
      </c>
      <c r="L29">
        <v>9.2823390000000003</v>
      </c>
      <c r="M29">
        <f>F25</f>
        <v>8.0460980000000006</v>
      </c>
      <c r="N29">
        <v>5.6159677419354797</v>
      </c>
      <c r="O29">
        <f>D29/D25</f>
        <v>0.9621353196772191</v>
      </c>
      <c r="P29">
        <f>G29/G25</f>
        <v>1.0276930298052149</v>
      </c>
    </row>
    <row r="30" spans="1:16" x14ac:dyDescent="0.3">
      <c r="A30" t="s">
        <v>15</v>
      </c>
      <c r="B30">
        <v>1994.1</v>
      </c>
      <c r="C30">
        <v>0</v>
      </c>
      <c r="D30">
        <v>15.76</v>
      </c>
      <c r="E30">
        <v>53733</v>
      </c>
      <c r="F30">
        <v>9.2626840000000001</v>
      </c>
      <c r="G30">
        <v>146.69999999999999</v>
      </c>
      <c r="H30">
        <v>6.09032258064516</v>
      </c>
      <c r="L30">
        <v>9.2626840000000001</v>
      </c>
      <c r="M30">
        <f>F26</f>
        <v>8.5690469999999994</v>
      </c>
      <c r="N30">
        <v>6.09032258064516</v>
      </c>
      <c r="O30">
        <f>D30/D26</f>
        <v>0.99181875393329133</v>
      </c>
      <c r="P30">
        <f>G30/G26</f>
        <v>1.0253960857409108</v>
      </c>
    </row>
    <row r="31" spans="1:16" x14ac:dyDescent="0.3">
      <c r="A31" t="s">
        <v>15</v>
      </c>
      <c r="B31">
        <v>1994.2</v>
      </c>
      <c r="C31">
        <v>0</v>
      </c>
      <c r="D31">
        <v>16.02</v>
      </c>
      <c r="E31">
        <v>53733</v>
      </c>
      <c r="F31">
        <v>9.1553909999999998</v>
      </c>
      <c r="G31">
        <v>147.53333333333299</v>
      </c>
      <c r="H31">
        <v>7.0895161290322601</v>
      </c>
      <c r="L31">
        <v>9.1553909999999998</v>
      </c>
      <c r="M31">
        <f>F27</f>
        <v>9.0945719999999994</v>
      </c>
      <c r="N31">
        <v>7.0895161290322601</v>
      </c>
      <c r="O31">
        <f>D31/D27</f>
        <v>1.0223356732610083</v>
      </c>
      <c r="P31">
        <f>G31/G27</f>
        <v>1.0238260467268077</v>
      </c>
    </row>
    <row r="32" spans="1:16" x14ac:dyDescent="0.3">
      <c r="A32" t="s">
        <v>15</v>
      </c>
      <c r="B32">
        <v>1994.3</v>
      </c>
      <c r="C32">
        <v>245</v>
      </c>
      <c r="D32">
        <v>16.02</v>
      </c>
      <c r="E32">
        <v>53978</v>
      </c>
      <c r="F32">
        <v>9.2637640000000001</v>
      </c>
      <c r="G32">
        <v>148.9</v>
      </c>
      <c r="H32">
        <v>7.3279687500000001</v>
      </c>
      <c r="L32">
        <v>9.2637640000000001</v>
      </c>
      <c r="M32">
        <f>F28</f>
        <v>9.2166399999999999</v>
      </c>
      <c r="N32">
        <v>7.3279687500000001</v>
      </c>
      <c r="O32">
        <f>D32/D28</f>
        <v>1.0282413350449293</v>
      </c>
      <c r="P32">
        <f>G32/G28</f>
        <v>1.0285516923785378</v>
      </c>
    </row>
    <row r="33" spans="1:16" x14ac:dyDescent="0.3">
      <c r="A33" t="s">
        <v>15</v>
      </c>
      <c r="B33">
        <v>1994.4</v>
      </c>
      <c r="C33">
        <v>0</v>
      </c>
      <c r="D33">
        <v>16.02</v>
      </c>
      <c r="E33">
        <v>53978</v>
      </c>
      <c r="F33">
        <v>9.6316970000000008</v>
      </c>
      <c r="G33">
        <v>149.76666666666699</v>
      </c>
      <c r="H33">
        <v>7.8372131147540998</v>
      </c>
      <c r="L33">
        <v>9.6316970000000008</v>
      </c>
      <c r="M33">
        <f>F29</f>
        <v>9.2823390000000003</v>
      </c>
      <c r="N33">
        <v>7.8372131147540998</v>
      </c>
      <c r="O33">
        <f>D33/D29</f>
        <v>1.0335483870967741</v>
      </c>
      <c r="P33">
        <f>G33/G29</f>
        <v>1.0260333409454212</v>
      </c>
    </row>
    <row r="34" spans="1:16" x14ac:dyDescent="0.3">
      <c r="A34" t="s">
        <v>15</v>
      </c>
      <c r="B34">
        <v>1995.1</v>
      </c>
      <c r="C34">
        <v>0</v>
      </c>
      <c r="D34">
        <v>16.22</v>
      </c>
      <c r="E34">
        <v>53978</v>
      </c>
      <c r="F34">
        <v>9.8319650000000003</v>
      </c>
      <c r="G34">
        <v>150.86666666666699</v>
      </c>
      <c r="H34">
        <v>7.47129032258065</v>
      </c>
      <c r="L34">
        <v>9.8319650000000003</v>
      </c>
      <c r="M34">
        <f>F30</f>
        <v>9.2626840000000001</v>
      </c>
      <c r="N34">
        <v>7.47129032258065</v>
      </c>
      <c r="O34">
        <f>D34/D30</f>
        <v>1.0291878172588831</v>
      </c>
      <c r="P34">
        <f>G34/G30</f>
        <v>1.0284026357646012</v>
      </c>
    </row>
    <row r="35" spans="1:16" x14ac:dyDescent="0.3">
      <c r="A35" t="s">
        <v>15</v>
      </c>
      <c r="B35">
        <v>1995.2</v>
      </c>
      <c r="C35">
        <v>32</v>
      </c>
      <c r="D35">
        <v>16.420000000000002</v>
      </c>
      <c r="E35">
        <v>54010</v>
      </c>
      <c r="F35">
        <v>10.090389999999999</v>
      </c>
      <c r="G35">
        <v>152.1</v>
      </c>
      <c r="H35">
        <v>6.6001587301587303</v>
      </c>
      <c r="L35">
        <v>10.090389999999999</v>
      </c>
      <c r="M35">
        <f>F31</f>
        <v>9.1553909999999998</v>
      </c>
      <c r="N35">
        <v>6.6001587301587303</v>
      </c>
      <c r="O35">
        <f>D35/D31</f>
        <v>1.0249687890137329</v>
      </c>
      <c r="P35">
        <f>G35/G31</f>
        <v>1.0309534568459129</v>
      </c>
    </row>
    <row r="36" spans="1:16" x14ac:dyDescent="0.3">
      <c r="A36" t="s">
        <v>15</v>
      </c>
      <c r="B36">
        <v>1995.3</v>
      </c>
      <c r="C36">
        <v>0</v>
      </c>
      <c r="D36">
        <v>16.600000000000001</v>
      </c>
      <c r="E36">
        <v>54010</v>
      </c>
      <c r="F36">
        <v>10.334210000000001</v>
      </c>
      <c r="G36">
        <v>152.86666666666699</v>
      </c>
      <c r="H36">
        <v>6.3292063492063502</v>
      </c>
      <c r="L36">
        <v>10.334210000000001</v>
      </c>
      <c r="M36">
        <f>F32</f>
        <v>9.2637640000000001</v>
      </c>
      <c r="N36">
        <v>6.3292063492063502</v>
      </c>
      <c r="O36">
        <f>D36/D32</f>
        <v>1.0362047440699127</v>
      </c>
      <c r="P36">
        <f>G36/G32</f>
        <v>1.0266398029997783</v>
      </c>
    </row>
    <row r="37" spans="1:16" x14ac:dyDescent="0.3">
      <c r="A37" t="s">
        <v>15</v>
      </c>
      <c r="B37">
        <v>1995.4</v>
      </c>
      <c r="C37">
        <v>0</v>
      </c>
      <c r="D37">
        <v>16.78</v>
      </c>
      <c r="E37">
        <v>54010</v>
      </c>
      <c r="F37">
        <v>9.7295289999999994</v>
      </c>
      <c r="G37">
        <v>153.69999999999999</v>
      </c>
      <c r="H37">
        <v>5.8985483870967697</v>
      </c>
      <c r="L37">
        <v>9.7295289999999994</v>
      </c>
      <c r="M37">
        <f>F33</f>
        <v>9.6316970000000008</v>
      </c>
      <c r="N37">
        <v>5.8985483870967697</v>
      </c>
      <c r="O37">
        <f>D37/D33</f>
        <v>1.0474406991260925</v>
      </c>
      <c r="P37">
        <f>G37/G33</f>
        <v>1.0262630758958358</v>
      </c>
    </row>
    <row r="38" spans="1:16" x14ac:dyDescent="0.3">
      <c r="A38" t="s">
        <v>15</v>
      </c>
      <c r="B38">
        <v>1996.1</v>
      </c>
      <c r="C38">
        <v>0</v>
      </c>
      <c r="D38">
        <v>17.02</v>
      </c>
      <c r="E38">
        <v>54010</v>
      </c>
      <c r="F38">
        <v>9.1674860000000002</v>
      </c>
      <c r="G38">
        <v>155.066666666667</v>
      </c>
      <c r="H38">
        <v>5.9104838709677399</v>
      </c>
      <c r="L38">
        <v>9.1674860000000002</v>
      </c>
      <c r="M38">
        <f>F34</f>
        <v>9.8319650000000003</v>
      </c>
      <c r="N38">
        <v>5.9104838709677399</v>
      </c>
      <c r="O38">
        <f>D38/D34</f>
        <v>1.0493218249075216</v>
      </c>
      <c r="P38">
        <f>G38/G34</f>
        <v>1.0278391515687142</v>
      </c>
    </row>
    <row r="39" spans="1:16" x14ac:dyDescent="0.3">
      <c r="A39" t="s">
        <v>15</v>
      </c>
      <c r="B39">
        <v>1996.2</v>
      </c>
      <c r="C39">
        <v>0</v>
      </c>
      <c r="D39">
        <v>17.260000000000002</v>
      </c>
      <c r="E39">
        <v>54010</v>
      </c>
      <c r="F39">
        <v>8.8304379999999991</v>
      </c>
      <c r="G39">
        <v>156.4</v>
      </c>
      <c r="H39">
        <v>6.7140624999999998</v>
      </c>
      <c r="L39">
        <v>8.8304379999999991</v>
      </c>
      <c r="M39">
        <f>F35</f>
        <v>10.090389999999999</v>
      </c>
      <c r="N39">
        <v>6.7140624999999998</v>
      </c>
      <c r="O39">
        <f>D39/D35</f>
        <v>1.05115712545676</v>
      </c>
      <c r="P39">
        <f>G39/G35</f>
        <v>1.0282708744247206</v>
      </c>
    </row>
    <row r="40" spans="1:16" x14ac:dyDescent="0.3">
      <c r="A40" t="s">
        <v>15</v>
      </c>
      <c r="B40">
        <v>1996.3</v>
      </c>
      <c r="C40">
        <v>44</v>
      </c>
      <c r="D40">
        <v>17.54</v>
      </c>
      <c r="E40">
        <v>54054</v>
      </c>
      <c r="F40">
        <v>9.0277239999999992</v>
      </c>
      <c r="G40">
        <v>157.30000000000001</v>
      </c>
      <c r="H40">
        <v>6.7759375000000004</v>
      </c>
      <c r="L40">
        <v>9.0277239999999992</v>
      </c>
      <c r="M40">
        <f>F36</f>
        <v>10.334210000000001</v>
      </c>
      <c r="N40">
        <v>6.7759375000000004</v>
      </c>
      <c r="O40">
        <f>D40/D36</f>
        <v>1.0566265060240962</v>
      </c>
      <c r="P40">
        <f>G40/G36</f>
        <v>1.0290013083296969</v>
      </c>
    </row>
    <row r="41" spans="1:16" x14ac:dyDescent="0.3">
      <c r="A41" t="s">
        <v>15</v>
      </c>
      <c r="B41">
        <v>1996.4</v>
      </c>
      <c r="C41">
        <v>63</v>
      </c>
      <c r="D41">
        <v>17.829999999999998</v>
      </c>
      <c r="E41">
        <v>54117</v>
      </c>
      <c r="F41">
        <v>9.1639789999999994</v>
      </c>
      <c r="G41">
        <v>158.666666666667</v>
      </c>
      <c r="H41">
        <v>6.3541935483870997</v>
      </c>
      <c r="L41">
        <v>9.1639789999999994</v>
      </c>
      <c r="M41">
        <f>F37</f>
        <v>9.7295289999999994</v>
      </c>
      <c r="N41">
        <v>6.3541935483870997</v>
      </c>
      <c r="O41">
        <f>D41/D37</f>
        <v>1.0625744934445767</v>
      </c>
      <c r="P41">
        <f>G41/G37</f>
        <v>1.0323140316634158</v>
      </c>
    </row>
    <row r="42" spans="1:16" x14ac:dyDescent="0.3">
      <c r="A42" t="s">
        <v>15</v>
      </c>
      <c r="B42">
        <v>1997.1</v>
      </c>
      <c r="C42">
        <v>78</v>
      </c>
      <c r="D42">
        <v>18.3</v>
      </c>
      <c r="E42">
        <v>54195</v>
      </c>
      <c r="F42">
        <v>9.3954540000000009</v>
      </c>
      <c r="G42">
        <v>159.63333333333301</v>
      </c>
      <c r="H42">
        <v>6.5670000000000002</v>
      </c>
      <c r="L42">
        <v>9.3954540000000009</v>
      </c>
      <c r="M42">
        <f>F38</f>
        <v>9.1674860000000002</v>
      </c>
      <c r="N42">
        <v>6.5670000000000002</v>
      </c>
      <c r="O42">
        <f>D42/D38</f>
        <v>1.0752056404230319</v>
      </c>
      <c r="P42">
        <f>G42/G38</f>
        <v>1.0294496990541659</v>
      </c>
    </row>
    <row r="43" spans="1:16" x14ac:dyDescent="0.3">
      <c r="A43" t="s">
        <v>15</v>
      </c>
      <c r="B43">
        <v>1997.2</v>
      </c>
      <c r="C43">
        <v>0</v>
      </c>
      <c r="D43">
        <v>18.78</v>
      </c>
      <c r="E43">
        <v>54195</v>
      </c>
      <c r="F43">
        <v>9.1005950000000002</v>
      </c>
      <c r="G43">
        <v>160</v>
      </c>
      <c r="H43">
        <v>6.6996874999999996</v>
      </c>
      <c r="L43">
        <v>9.1005950000000002</v>
      </c>
      <c r="M43">
        <f>F39</f>
        <v>8.8304379999999991</v>
      </c>
      <c r="N43">
        <v>6.6996874999999996</v>
      </c>
      <c r="O43">
        <f>D43/D39</f>
        <v>1.0880648899188876</v>
      </c>
      <c r="P43">
        <f>G43/G39</f>
        <v>1.0230179028132993</v>
      </c>
    </row>
    <row r="44" spans="1:16" x14ac:dyDescent="0.3">
      <c r="A44" t="s">
        <v>15</v>
      </c>
      <c r="B44">
        <v>1997.3</v>
      </c>
      <c r="C44">
        <v>54</v>
      </c>
      <c r="D44">
        <v>19.600000000000001</v>
      </c>
      <c r="E44">
        <v>54249</v>
      </c>
      <c r="F44">
        <v>8.784986</v>
      </c>
      <c r="G44">
        <v>160.80000000000001</v>
      </c>
      <c r="H44">
        <v>6.2421875</v>
      </c>
      <c r="L44">
        <v>8.784986</v>
      </c>
      <c r="M44">
        <f>F40</f>
        <v>9.0277239999999992</v>
      </c>
      <c r="N44">
        <v>6.2421875</v>
      </c>
      <c r="O44">
        <f>D44/D40</f>
        <v>1.1174458380843788</v>
      </c>
      <c r="P44">
        <f>G44/G40</f>
        <v>1.0222504767959313</v>
      </c>
    </row>
    <row r="45" spans="1:16" x14ac:dyDescent="0.3">
      <c r="A45" t="s">
        <v>15</v>
      </c>
      <c r="B45">
        <v>1997.4</v>
      </c>
      <c r="C45">
        <v>0</v>
      </c>
      <c r="D45">
        <v>20.46</v>
      </c>
      <c r="E45">
        <v>54249</v>
      </c>
      <c r="F45">
        <v>8.4019549999999992</v>
      </c>
      <c r="G45">
        <v>161.666666666667</v>
      </c>
      <c r="H45">
        <v>5.9062903225806496</v>
      </c>
      <c r="L45">
        <v>8.4019549999999992</v>
      </c>
      <c r="M45">
        <f>F41</f>
        <v>9.1639789999999994</v>
      </c>
      <c r="N45">
        <v>5.9062903225806496</v>
      </c>
      <c r="O45">
        <f>D45/D41</f>
        <v>1.1475042063937186</v>
      </c>
      <c r="P45">
        <f>G45/G41</f>
        <v>1.01890756302521</v>
      </c>
    </row>
    <row r="46" spans="1:16" x14ac:dyDescent="0.3">
      <c r="A46" t="s">
        <v>15</v>
      </c>
      <c r="B46">
        <v>1998.1</v>
      </c>
      <c r="C46">
        <v>154</v>
      </c>
      <c r="D46">
        <v>21.2</v>
      </c>
      <c r="E46">
        <v>54403</v>
      </c>
      <c r="F46">
        <v>7.7551129999999997</v>
      </c>
      <c r="G46">
        <v>162</v>
      </c>
      <c r="H46">
        <v>5.5909836065573799</v>
      </c>
      <c r="L46">
        <v>7.7551129999999997</v>
      </c>
      <c r="M46">
        <f>F42</f>
        <v>9.3954540000000009</v>
      </c>
      <c r="N46">
        <v>5.5909836065573799</v>
      </c>
      <c r="O46">
        <f>D46/D42</f>
        <v>1.1584699453551912</v>
      </c>
      <c r="P46">
        <f>G46/G42</f>
        <v>1.0148256420964732</v>
      </c>
    </row>
    <row r="47" spans="1:16" x14ac:dyDescent="0.3">
      <c r="A47" t="s">
        <v>15</v>
      </c>
      <c r="B47">
        <v>1998.2</v>
      </c>
      <c r="C47">
        <v>215</v>
      </c>
      <c r="D47">
        <v>21.95</v>
      </c>
      <c r="E47">
        <v>54618</v>
      </c>
      <c r="F47">
        <v>7.6502309999999998</v>
      </c>
      <c r="G47">
        <v>162.53333333333299</v>
      </c>
      <c r="H47">
        <v>5.5930158730158697</v>
      </c>
      <c r="L47">
        <v>7.6502309999999998</v>
      </c>
      <c r="M47">
        <f>F43</f>
        <v>9.1005950000000002</v>
      </c>
      <c r="N47">
        <v>5.5930158730158697</v>
      </c>
      <c r="O47">
        <f>D47/D43</f>
        <v>1.1687965921192758</v>
      </c>
      <c r="P47">
        <f>G47/G43</f>
        <v>1.0158333333333311</v>
      </c>
    </row>
    <row r="48" spans="1:16" x14ac:dyDescent="0.3">
      <c r="A48" t="s">
        <v>15</v>
      </c>
      <c r="B48">
        <v>1998.3</v>
      </c>
      <c r="C48">
        <v>341</v>
      </c>
      <c r="D48">
        <v>22.9</v>
      </c>
      <c r="E48">
        <v>54959</v>
      </c>
      <c r="F48">
        <v>7.2263789999999997</v>
      </c>
      <c r="G48">
        <v>163.36666666666699</v>
      </c>
      <c r="H48">
        <v>5.2073437499999997</v>
      </c>
      <c r="L48">
        <v>7.2263789999999997</v>
      </c>
      <c r="M48">
        <f>F44</f>
        <v>8.784986</v>
      </c>
      <c r="N48">
        <v>5.2073437499999997</v>
      </c>
      <c r="O48">
        <f>D48/D44</f>
        <v>1.1683673469387754</v>
      </c>
      <c r="P48">
        <f>G48/G44</f>
        <v>1.0159618573797697</v>
      </c>
    </row>
    <row r="49" spans="1:16" x14ac:dyDescent="0.3">
      <c r="A49" t="s">
        <v>15</v>
      </c>
      <c r="B49">
        <v>1998.4</v>
      </c>
      <c r="C49">
        <v>282</v>
      </c>
      <c r="D49">
        <v>23.88</v>
      </c>
      <c r="E49">
        <v>55241</v>
      </c>
      <c r="F49">
        <v>7.3235070000000002</v>
      </c>
      <c r="G49">
        <v>164.13333333333301</v>
      </c>
      <c r="H49">
        <v>4.6619354838709697</v>
      </c>
      <c r="L49">
        <v>7.3235070000000002</v>
      </c>
      <c r="M49">
        <f>F45</f>
        <v>8.4019549999999992</v>
      </c>
      <c r="N49">
        <v>4.6619354838709697</v>
      </c>
      <c r="O49">
        <f>D49/D45</f>
        <v>1.1671554252199412</v>
      </c>
      <c r="P49">
        <f>G49/G45</f>
        <v>1.0152577319587588</v>
      </c>
    </row>
    <row r="50" spans="1:16" x14ac:dyDescent="0.3">
      <c r="A50" t="s">
        <v>15</v>
      </c>
      <c r="B50">
        <v>1999.1</v>
      </c>
      <c r="C50">
        <v>84</v>
      </c>
      <c r="D50">
        <v>23.84</v>
      </c>
      <c r="E50">
        <v>55325</v>
      </c>
      <c r="F50">
        <v>7.4411839999999998</v>
      </c>
      <c r="G50">
        <v>164.73333333333301</v>
      </c>
      <c r="H50">
        <v>5.0008196721311498</v>
      </c>
      <c r="L50">
        <v>7.4411839999999998</v>
      </c>
      <c r="M50">
        <f>F46</f>
        <v>7.7551129999999997</v>
      </c>
      <c r="N50">
        <v>5.0008196721311498</v>
      </c>
      <c r="O50">
        <f>D50/D46</f>
        <v>1.1245283018867924</v>
      </c>
      <c r="P50">
        <f>G50/G46</f>
        <v>1.0168724279835371</v>
      </c>
    </row>
    <row r="51" spans="1:16" x14ac:dyDescent="0.3">
      <c r="A51" t="s">
        <v>15</v>
      </c>
      <c r="B51">
        <v>1999.2</v>
      </c>
      <c r="C51">
        <v>153</v>
      </c>
      <c r="D51">
        <v>23.8</v>
      </c>
      <c r="E51">
        <v>55478</v>
      </c>
      <c r="F51">
        <v>7.5487380000000002</v>
      </c>
      <c r="G51">
        <v>165.96666666666701</v>
      </c>
      <c r="H51">
        <v>5.5412499999999998</v>
      </c>
      <c r="L51">
        <v>7.5487380000000002</v>
      </c>
      <c r="M51">
        <f>F47</f>
        <v>7.6502309999999998</v>
      </c>
      <c r="N51">
        <v>5.5412499999999998</v>
      </c>
      <c r="O51">
        <f>D51/D47</f>
        <v>1.0842824601366743</v>
      </c>
      <c r="P51">
        <f>G51/G47</f>
        <v>1.0211238720262552</v>
      </c>
    </row>
    <row r="52" spans="1:16" x14ac:dyDescent="0.3">
      <c r="A52" t="s">
        <v>15</v>
      </c>
      <c r="B52">
        <v>1999.3</v>
      </c>
      <c r="C52">
        <v>1321</v>
      </c>
      <c r="D52">
        <v>24.42</v>
      </c>
      <c r="E52">
        <v>56799</v>
      </c>
      <c r="F52">
        <v>7.5659390000000002</v>
      </c>
      <c r="G52">
        <v>167.2</v>
      </c>
      <c r="H52">
        <v>5.8829687499999999</v>
      </c>
      <c r="L52">
        <v>7.5659390000000002</v>
      </c>
      <c r="M52">
        <f>F48</f>
        <v>7.2263789999999997</v>
      </c>
      <c r="N52">
        <v>5.8829687499999999</v>
      </c>
      <c r="O52">
        <f>D52/D48</f>
        <v>1.0663755458515285</v>
      </c>
      <c r="P52">
        <f>G52/G48</f>
        <v>1.023464599061414</v>
      </c>
    </row>
    <row r="53" spans="1:16" x14ac:dyDescent="0.3">
      <c r="A53" t="s">
        <v>15</v>
      </c>
      <c r="B53">
        <v>1999.4</v>
      </c>
      <c r="C53">
        <v>349</v>
      </c>
      <c r="D53">
        <v>25.06</v>
      </c>
      <c r="E53">
        <v>57148</v>
      </c>
      <c r="F53">
        <v>7.4151899999999999</v>
      </c>
      <c r="G53">
        <v>168.433333333333</v>
      </c>
      <c r="H53">
        <v>6.14483870967742</v>
      </c>
      <c r="L53">
        <v>7.4151899999999999</v>
      </c>
      <c r="M53">
        <f>F49</f>
        <v>7.3235070000000002</v>
      </c>
      <c r="N53">
        <v>6.14483870967742</v>
      </c>
      <c r="O53">
        <f>D53/D49</f>
        <v>1.0494137353433837</v>
      </c>
      <c r="P53">
        <f>G53/G49</f>
        <v>1.0261982128350933</v>
      </c>
    </row>
    <row r="54" spans="1:16" x14ac:dyDescent="0.3">
      <c r="A54" t="s">
        <v>15</v>
      </c>
      <c r="B54">
        <v>2000.1</v>
      </c>
      <c r="C54">
        <v>427</v>
      </c>
      <c r="D54">
        <v>25.76</v>
      </c>
      <c r="E54">
        <v>57575</v>
      </c>
      <c r="F54">
        <v>7.4024760000000001</v>
      </c>
      <c r="G54">
        <v>170.1</v>
      </c>
      <c r="H54">
        <v>6.4684126984126999</v>
      </c>
      <c r="L54">
        <v>7.4024760000000001</v>
      </c>
      <c r="M54">
        <f>F50</f>
        <v>7.4411839999999998</v>
      </c>
      <c r="N54">
        <v>6.4684126984126999</v>
      </c>
      <c r="O54">
        <f>D54/D50</f>
        <v>1.080536912751678</v>
      </c>
      <c r="P54">
        <f>G54/G50</f>
        <v>1.0325779036827216</v>
      </c>
    </row>
    <row r="55" spans="1:16" x14ac:dyDescent="0.3">
      <c r="A55" t="s">
        <v>15</v>
      </c>
      <c r="B55">
        <v>2000.2</v>
      </c>
      <c r="C55">
        <v>817</v>
      </c>
      <c r="D55">
        <v>26.49</v>
      </c>
      <c r="E55">
        <v>58392</v>
      </c>
      <c r="F55">
        <v>7.37601</v>
      </c>
      <c r="G55">
        <v>171.433333333333</v>
      </c>
      <c r="H55">
        <v>6.1849206349206298</v>
      </c>
      <c r="L55">
        <v>7.37601</v>
      </c>
      <c r="M55">
        <f>F51</f>
        <v>7.5487380000000002</v>
      </c>
      <c r="N55">
        <v>6.1849206349206298</v>
      </c>
      <c r="O55">
        <f>D55/D51</f>
        <v>1.1130252100840334</v>
      </c>
      <c r="P55">
        <f>G55/G51</f>
        <v>1.0329383410323316</v>
      </c>
    </row>
    <row r="56" spans="1:16" x14ac:dyDescent="0.3">
      <c r="A56" t="s">
        <v>15</v>
      </c>
      <c r="B56">
        <v>2000.3</v>
      </c>
      <c r="C56">
        <v>1104</v>
      </c>
      <c r="D56">
        <v>26.62</v>
      </c>
      <c r="E56">
        <v>59496</v>
      </c>
      <c r="F56">
        <v>7.4816929999999999</v>
      </c>
      <c r="G56">
        <v>173</v>
      </c>
      <c r="H56">
        <v>5.8898412698412699</v>
      </c>
      <c r="L56">
        <v>7.4816929999999999</v>
      </c>
      <c r="M56">
        <f>F52</f>
        <v>7.5659390000000002</v>
      </c>
      <c r="N56">
        <v>5.8898412698412699</v>
      </c>
      <c r="O56">
        <f>D56/D52</f>
        <v>1.0900900900900901</v>
      </c>
      <c r="P56">
        <f>G56/G52</f>
        <v>1.0346889952153111</v>
      </c>
    </row>
    <row r="57" spans="1:16" x14ac:dyDescent="0.3">
      <c r="A57" t="s">
        <v>15</v>
      </c>
      <c r="B57">
        <v>2000.4</v>
      </c>
      <c r="C57">
        <v>1291</v>
      </c>
      <c r="D57">
        <v>26.74</v>
      </c>
      <c r="E57">
        <v>60787</v>
      </c>
      <c r="F57">
        <v>7.4494119999999997</v>
      </c>
      <c r="G57">
        <v>174.23333333333301</v>
      </c>
      <c r="H57">
        <v>5.5706451612903196</v>
      </c>
      <c r="L57">
        <v>7.4494119999999997</v>
      </c>
      <c r="M57">
        <f>F53</f>
        <v>7.4151899999999999</v>
      </c>
      <c r="N57">
        <v>5.5706451612903196</v>
      </c>
      <c r="O57">
        <f>D57/D53</f>
        <v>1.0670391061452513</v>
      </c>
      <c r="P57">
        <f>G57/G53</f>
        <v>1.0344349891153772</v>
      </c>
    </row>
    <row r="58" spans="1:16" x14ac:dyDescent="0.3">
      <c r="A58" t="s">
        <v>15</v>
      </c>
      <c r="B58">
        <v>2001.1</v>
      </c>
      <c r="C58">
        <v>387</v>
      </c>
      <c r="D58">
        <v>26.89</v>
      </c>
      <c r="E58">
        <v>61174</v>
      </c>
      <c r="F58">
        <v>7.6267740000000002</v>
      </c>
      <c r="G58">
        <v>175.9</v>
      </c>
      <c r="H58">
        <v>5.0441935483871001</v>
      </c>
      <c r="L58">
        <v>7.6267740000000002</v>
      </c>
      <c r="M58">
        <f>F54</f>
        <v>7.4024760000000001</v>
      </c>
      <c r="N58">
        <v>5.0441935483871001</v>
      </c>
      <c r="O58">
        <f>D58/D54</f>
        <v>1.043866459627329</v>
      </c>
      <c r="P58">
        <f>G58/G54</f>
        <v>1.0340975896531452</v>
      </c>
    </row>
    <row r="59" spans="1:16" x14ac:dyDescent="0.3">
      <c r="A59" t="s">
        <v>15</v>
      </c>
      <c r="B59">
        <v>2001.2</v>
      </c>
      <c r="C59">
        <v>677</v>
      </c>
      <c r="D59">
        <v>27.05</v>
      </c>
      <c r="E59">
        <v>61851</v>
      </c>
      <c r="F59">
        <v>7.5188689999999996</v>
      </c>
      <c r="G59">
        <v>177.13333333333301</v>
      </c>
      <c r="H59">
        <v>5.2761904761904797</v>
      </c>
      <c r="L59">
        <v>7.5188689999999996</v>
      </c>
      <c r="M59">
        <f>F55</f>
        <v>7.37601</v>
      </c>
      <c r="N59">
        <v>5.2761904761904797</v>
      </c>
      <c r="O59">
        <f>D59/D55</f>
        <v>1.0211400528501322</v>
      </c>
      <c r="P59">
        <f>G59/G55</f>
        <v>1.0332490764145441</v>
      </c>
    </row>
    <row r="60" spans="1:16" x14ac:dyDescent="0.3">
      <c r="A60" t="s">
        <v>15</v>
      </c>
      <c r="B60">
        <v>2001.3</v>
      </c>
      <c r="C60">
        <v>650</v>
      </c>
      <c r="D60">
        <v>26.9</v>
      </c>
      <c r="E60">
        <v>62501</v>
      </c>
      <c r="F60">
        <v>7.188142</v>
      </c>
      <c r="G60">
        <v>177.63333333333301</v>
      </c>
      <c r="H60">
        <v>4.9957377049180298</v>
      </c>
      <c r="L60">
        <v>7.188142</v>
      </c>
      <c r="M60">
        <f>F56</f>
        <v>7.4816929999999999</v>
      </c>
      <c r="N60">
        <v>4.9957377049180298</v>
      </c>
      <c r="O60">
        <f>D60/D56</f>
        <v>1.0105184072126221</v>
      </c>
      <c r="P60">
        <f>G60/G56</f>
        <v>1.0267822736030809</v>
      </c>
    </row>
    <row r="61" spans="1:16" x14ac:dyDescent="0.3">
      <c r="A61" t="s">
        <v>15</v>
      </c>
      <c r="B61">
        <v>2001.4</v>
      </c>
      <c r="C61">
        <v>1126</v>
      </c>
      <c r="D61">
        <v>26.75</v>
      </c>
      <c r="E61">
        <v>63627</v>
      </c>
      <c r="F61">
        <v>7.2179250000000001</v>
      </c>
      <c r="G61">
        <v>177.5</v>
      </c>
      <c r="H61">
        <v>4.7620967741935498</v>
      </c>
      <c r="L61">
        <v>7.2179250000000001</v>
      </c>
      <c r="M61">
        <f>F57</f>
        <v>7.4494119999999997</v>
      </c>
      <c r="N61">
        <v>4.7620967741935498</v>
      </c>
      <c r="O61">
        <f>D61/D57</f>
        <v>1.0003739715781601</v>
      </c>
      <c r="P61">
        <f>G61/G57</f>
        <v>1.0187488042854429</v>
      </c>
    </row>
    <row r="62" spans="1:16" x14ac:dyDescent="0.3">
      <c r="A62" t="s">
        <v>15</v>
      </c>
      <c r="B62">
        <v>2002.1</v>
      </c>
      <c r="C62">
        <v>136</v>
      </c>
      <c r="D62">
        <v>25.88</v>
      </c>
      <c r="E62">
        <v>63763</v>
      </c>
      <c r="F62">
        <v>7.2206029999999997</v>
      </c>
      <c r="G62">
        <v>178.066666666667</v>
      </c>
      <c r="H62">
        <v>5.0791666666666702</v>
      </c>
      <c r="L62">
        <v>7.2206029999999997</v>
      </c>
      <c r="M62">
        <f>F58</f>
        <v>7.6267740000000002</v>
      </c>
      <c r="N62">
        <v>5.0791666666666702</v>
      </c>
      <c r="O62">
        <f>D62/D58</f>
        <v>0.96243956861286717</v>
      </c>
      <c r="P62">
        <f>G62/G58</f>
        <v>1.0123176046996418</v>
      </c>
    </row>
    <row r="63" spans="1:16" x14ac:dyDescent="0.3">
      <c r="A63" t="s">
        <v>15</v>
      </c>
      <c r="B63">
        <v>2002.2</v>
      </c>
      <c r="C63">
        <v>200</v>
      </c>
      <c r="D63">
        <v>25.05</v>
      </c>
      <c r="E63">
        <v>63963</v>
      </c>
      <c r="F63">
        <v>7.2259909999999996</v>
      </c>
      <c r="G63">
        <v>179.46666666666701</v>
      </c>
      <c r="H63">
        <v>5.1060937500000003</v>
      </c>
      <c r="L63">
        <v>7.2259909999999996</v>
      </c>
      <c r="M63">
        <f>F59</f>
        <v>7.5188689999999996</v>
      </c>
      <c r="N63">
        <v>5.1060937500000003</v>
      </c>
      <c r="O63">
        <f>D63/D59</f>
        <v>0.92606284658040661</v>
      </c>
      <c r="P63">
        <f>G63/G59</f>
        <v>1.0131727512231878</v>
      </c>
    </row>
    <row r="64" spans="1:16" x14ac:dyDescent="0.3">
      <c r="A64" t="s">
        <v>15</v>
      </c>
      <c r="B64">
        <v>2002.3</v>
      </c>
      <c r="C64">
        <v>465</v>
      </c>
      <c r="D64">
        <v>24.36</v>
      </c>
      <c r="E64">
        <v>64428</v>
      </c>
      <c r="F64">
        <v>7.321917</v>
      </c>
      <c r="G64">
        <v>180.433333333333</v>
      </c>
      <c r="H64">
        <v>4.2723437500000001</v>
      </c>
      <c r="L64">
        <v>7.321917</v>
      </c>
      <c r="M64">
        <f>F60</f>
        <v>7.188142</v>
      </c>
      <c r="N64">
        <v>4.2723437500000001</v>
      </c>
      <c r="O64">
        <f>D64/D60</f>
        <v>0.90557620817843865</v>
      </c>
      <c r="P64">
        <f>G64/G60</f>
        <v>1.0157628072809157</v>
      </c>
    </row>
    <row r="65" spans="1:16" x14ac:dyDescent="0.3">
      <c r="A65" t="s">
        <v>15</v>
      </c>
      <c r="B65">
        <v>2002.4</v>
      </c>
      <c r="C65">
        <v>19</v>
      </c>
      <c r="D65">
        <v>23.68</v>
      </c>
      <c r="E65">
        <v>64447</v>
      </c>
      <c r="F65">
        <v>7.383057</v>
      </c>
      <c r="G65">
        <v>181.5</v>
      </c>
      <c r="H65">
        <v>4.0048387096774203</v>
      </c>
      <c r="L65">
        <v>7.383057</v>
      </c>
      <c r="M65">
        <f>F61</f>
        <v>7.2179250000000001</v>
      </c>
      <c r="N65">
        <v>4.0048387096774203</v>
      </c>
      <c r="O65">
        <f>D65/D61</f>
        <v>0.88523364485981304</v>
      </c>
      <c r="P65">
        <f>G65/G61</f>
        <v>1.0225352112676056</v>
      </c>
    </row>
    <row r="66" spans="1:16" x14ac:dyDescent="0.3">
      <c r="A66" t="s">
        <v>15</v>
      </c>
      <c r="B66">
        <v>2003.1</v>
      </c>
      <c r="C66">
        <v>83</v>
      </c>
      <c r="D66">
        <v>23.05</v>
      </c>
      <c r="E66">
        <v>64530</v>
      </c>
      <c r="F66">
        <v>7.4689959999999997</v>
      </c>
      <c r="G66">
        <v>183.36666666666699</v>
      </c>
      <c r="H66">
        <v>3.92</v>
      </c>
      <c r="L66">
        <v>7.4689959999999997</v>
      </c>
      <c r="M66">
        <f>F62</f>
        <v>7.2206029999999997</v>
      </c>
      <c r="N66">
        <v>3.92</v>
      </c>
      <c r="O66">
        <f>D66/D62</f>
        <v>0.89064914992272026</v>
      </c>
      <c r="P66">
        <f>G66/G62</f>
        <v>1.0297641332834142</v>
      </c>
    </row>
    <row r="67" spans="1:16" x14ac:dyDescent="0.3">
      <c r="A67" t="s">
        <v>15</v>
      </c>
      <c r="B67">
        <v>2003.2</v>
      </c>
      <c r="C67">
        <v>439</v>
      </c>
      <c r="D67">
        <v>22.66</v>
      </c>
      <c r="E67">
        <v>64969</v>
      </c>
      <c r="F67">
        <v>7.4268229999999997</v>
      </c>
      <c r="G67">
        <v>183.066666666667</v>
      </c>
      <c r="H67">
        <v>3.6206349206349202</v>
      </c>
      <c r="L67">
        <v>7.4268229999999997</v>
      </c>
      <c r="M67">
        <f>F63</f>
        <v>7.2259909999999996</v>
      </c>
      <c r="N67">
        <v>3.6206349206349202</v>
      </c>
      <c r="O67">
        <f>D67/D63</f>
        <v>0.90459081836327349</v>
      </c>
      <c r="P67">
        <f>G67/G63</f>
        <v>1.0200594353640415</v>
      </c>
    </row>
    <row r="68" spans="1:16" x14ac:dyDescent="0.3">
      <c r="A68" t="s">
        <v>15</v>
      </c>
      <c r="B68">
        <v>2003.3</v>
      </c>
      <c r="C68">
        <v>11</v>
      </c>
      <c r="D68">
        <v>22.32</v>
      </c>
      <c r="E68">
        <v>64980</v>
      </c>
      <c r="F68">
        <v>7.2145619999999999</v>
      </c>
      <c r="G68">
        <v>184.433333333333</v>
      </c>
      <c r="H68">
        <v>4.2276562499999999</v>
      </c>
      <c r="L68">
        <v>7.2145619999999999</v>
      </c>
      <c r="M68">
        <f>F64</f>
        <v>7.321917</v>
      </c>
      <c r="N68">
        <v>4.2276562499999999</v>
      </c>
      <c r="O68">
        <f>D68/D64</f>
        <v>0.91625615763546797</v>
      </c>
      <c r="P68">
        <f>G68/G64</f>
        <v>1.0221688527618695</v>
      </c>
    </row>
    <row r="69" spans="1:16" x14ac:dyDescent="0.3">
      <c r="A69" t="s">
        <v>15</v>
      </c>
      <c r="B69">
        <v>2003.4</v>
      </c>
      <c r="C69">
        <v>36</v>
      </c>
      <c r="D69">
        <v>22.5</v>
      </c>
      <c r="E69">
        <v>65016</v>
      </c>
      <c r="F69">
        <v>7.0771389999999998</v>
      </c>
      <c r="G69">
        <v>185.13333333333301</v>
      </c>
      <c r="H69">
        <v>4.2851612903225798</v>
      </c>
      <c r="L69">
        <v>7.0771389999999998</v>
      </c>
      <c r="M69">
        <f>F65</f>
        <v>7.383057</v>
      </c>
      <c r="N69">
        <v>4.2851612903225798</v>
      </c>
      <c r="O69">
        <f>D69/D65</f>
        <v>0.95016891891891897</v>
      </c>
      <c r="P69">
        <f>G69/G65</f>
        <v>1.0200183654729091</v>
      </c>
    </row>
    <row r="70" spans="1:16" x14ac:dyDescent="0.3">
      <c r="A70" t="s">
        <v>15</v>
      </c>
      <c r="B70">
        <v>2004.1</v>
      </c>
      <c r="C70">
        <v>385</v>
      </c>
      <c r="D70">
        <v>23.52</v>
      </c>
      <c r="E70">
        <v>65401</v>
      </c>
      <c r="F70">
        <v>6.778162</v>
      </c>
      <c r="G70">
        <v>186.7</v>
      </c>
      <c r="H70">
        <v>4.01</v>
      </c>
      <c r="L70">
        <v>6.778162</v>
      </c>
      <c r="M70">
        <f>F66</f>
        <v>7.4689959999999997</v>
      </c>
      <c r="N70">
        <v>4.01</v>
      </c>
      <c r="O70">
        <f>D70/D66</f>
        <v>1.0203904555314534</v>
      </c>
      <c r="P70">
        <f>G70/G66</f>
        <v>1.0181785129976348</v>
      </c>
    </row>
    <row r="71" spans="1:16" x14ac:dyDescent="0.3">
      <c r="A71" t="s">
        <v>15</v>
      </c>
      <c r="B71">
        <v>2004.2</v>
      </c>
      <c r="C71">
        <v>41</v>
      </c>
      <c r="D71">
        <v>22.92</v>
      </c>
      <c r="E71">
        <v>65442</v>
      </c>
      <c r="F71">
        <v>6.5938549999999996</v>
      </c>
      <c r="G71">
        <v>188.166666666667</v>
      </c>
      <c r="H71">
        <v>4.5970967741935498</v>
      </c>
      <c r="L71">
        <v>6.5938549999999996</v>
      </c>
      <c r="M71">
        <f>F67</f>
        <v>7.4268229999999997</v>
      </c>
      <c r="N71">
        <v>4.5970967741935498</v>
      </c>
      <c r="O71">
        <f>D71/D67</f>
        <v>1.0114739629302736</v>
      </c>
      <c r="P71">
        <f>G71/G67</f>
        <v>1.0278587035688274</v>
      </c>
    </row>
    <row r="72" spans="1:16" x14ac:dyDescent="0.3">
      <c r="A72" t="s">
        <v>15</v>
      </c>
      <c r="B72">
        <v>2004.3</v>
      </c>
      <c r="C72">
        <v>101</v>
      </c>
      <c r="D72">
        <v>23.15</v>
      </c>
      <c r="E72">
        <v>65543</v>
      </c>
      <c r="F72">
        <v>6.4007329999999998</v>
      </c>
      <c r="G72">
        <v>189.36666666666699</v>
      </c>
      <c r="H72">
        <v>4.3014062500000003</v>
      </c>
      <c r="L72">
        <v>6.4007329999999998</v>
      </c>
      <c r="M72">
        <f>F68</f>
        <v>7.2145619999999999</v>
      </c>
      <c r="N72">
        <v>4.3014062500000003</v>
      </c>
      <c r="O72">
        <f>D72/D68</f>
        <v>1.0371863799283154</v>
      </c>
      <c r="P72">
        <f>G72/G68</f>
        <v>1.0267485993132153</v>
      </c>
    </row>
    <row r="73" spans="1:16" x14ac:dyDescent="0.3">
      <c r="A73" t="s">
        <v>15</v>
      </c>
      <c r="B73">
        <v>2004.4</v>
      </c>
      <c r="C73">
        <v>11</v>
      </c>
      <c r="D73">
        <v>23.45</v>
      </c>
      <c r="E73">
        <v>65554</v>
      </c>
      <c r="F73">
        <v>6.1184890000000003</v>
      </c>
      <c r="G73">
        <v>191.4</v>
      </c>
      <c r="H73">
        <v>4.1758064516128997</v>
      </c>
      <c r="L73">
        <v>6.1184890000000003</v>
      </c>
      <c r="M73">
        <f>F69</f>
        <v>7.0771389999999998</v>
      </c>
      <c r="N73">
        <v>4.1758064516128997</v>
      </c>
      <c r="O73">
        <f>D73/D69</f>
        <v>1.0422222222222222</v>
      </c>
      <c r="P73">
        <f>G73/G69</f>
        <v>1.033849477853801</v>
      </c>
    </row>
    <row r="74" spans="1:16" x14ac:dyDescent="0.3">
      <c r="A74" t="s">
        <v>15</v>
      </c>
      <c r="B74">
        <v>2005.1</v>
      </c>
      <c r="C74">
        <v>17</v>
      </c>
      <c r="D74">
        <v>24.18</v>
      </c>
      <c r="E74">
        <v>65571</v>
      </c>
      <c r="F74">
        <v>5.9295479999999996</v>
      </c>
      <c r="G74">
        <v>192.36666666666699</v>
      </c>
      <c r="H74">
        <v>4.3036065573770497</v>
      </c>
      <c r="L74">
        <v>5.9295479999999996</v>
      </c>
      <c r="M74">
        <f>F70</f>
        <v>6.778162</v>
      </c>
      <c r="N74">
        <v>4.3036065573770497</v>
      </c>
      <c r="O74">
        <f>D74/D70</f>
        <v>1.028061224489796</v>
      </c>
      <c r="P74">
        <f>G74/G70</f>
        <v>1.0303517229066257</v>
      </c>
    </row>
    <row r="75" spans="1:16" x14ac:dyDescent="0.3">
      <c r="A75" t="s">
        <v>15</v>
      </c>
      <c r="B75">
        <v>2005.2</v>
      </c>
      <c r="C75">
        <v>198</v>
      </c>
      <c r="D75">
        <v>24.56</v>
      </c>
      <c r="E75">
        <v>65769</v>
      </c>
      <c r="F75">
        <v>5.9336679999999999</v>
      </c>
      <c r="G75">
        <v>193.666666666667</v>
      </c>
      <c r="H75">
        <v>4.1585937499999996</v>
      </c>
      <c r="L75">
        <v>5.9336679999999999</v>
      </c>
      <c r="M75">
        <f>F71</f>
        <v>6.5938549999999996</v>
      </c>
      <c r="N75">
        <v>4.1585937499999996</v>
      </c>
      <c r="O75">
        <f>D75/D71</f>
        <v>1.0715532286212912</v>
      </c>
      <c r="P75">
        <f>G75/G71</f>
        <v>1.0292294065544729</v>
      </c>
    </row>
    <row r="76" spans="1:16" x14ac:dyDescent="0.3">
      <c r="A76" t="s">
        <v>15</v>
      </c>
      <c r="B76">
        <v>2005.3</v>
      </c>
      <c r="C76">
        <v>0</v>
      </c>
      <c r="D76">
        <v>24.97</v>
      </c>
      <c r="E76">
        <v>65769</v>
      </c>
      <c r="F76">
        <v>5.891489</v>
      </c>
      <c r="G76">
        <v>196.6</v>
      </c>
      <c r="H76">
        <v>4.2151562499999997</v>
      </c>
      <c r="L76">
        <v>5.891489</v>
      </c>
      <c r="M76">
        <f>F72</f>
        <v>6.4007329999999998</v>
      </c>
      <c r="N76">
        <v>4.2151562499999997</v>
      </c>
      <c r="O76">
        <f>D76/D72</f>
        <v>1.0786177105831534</v>
      </c>
      <c r="P76">
        <f>G76/G72</f>
        <v>1.0381975004400616</v>
      </c>
    </row>
    <row r="77" spans="1:16" x14ac:dyDescent="0.3">
      <c r="A77" t="s">
        <v>15</v>
      </c>
      <c r="B77">
        <v>2005.4</v>
      </c>
      <c r="C77">
        <v>122</v>
      </c>
      <c r="D77">
        <v>25.28</v>
      </c>
      <c r="E77">
        <v>65891</v>
      </c>
      <c r="F77">
        <v>5.76783</v>
      </c>
      <c r="G77">
        <v>198.433333333333</v>
      </c>
      <c r="H77">
        <v>4.4881967213114802</v>
      </c>
      <c r="L77">
        <v>5.76783</v>
      </c>
      <c r="M77">
        <f>F73</f>
        <v>6.1184890000000003</v>
      </c>
      <c r="N77">
        <v>4.4881967213114802</v>
      </c>
      <c r="O77">
        <f>D77/D73</f>
        <v>1.078038379530917</v>
      </c>
      <c r="P77">
        <f>G77/G73</f>
        <v>1.0367467781260866</v>
      </c>
    </row>
    <row r="78" spans="1:16" x14ac:dyDescent="0.3">
      <c r="A78" t="s">
        <v>15</v>
      </c>
      <c r="B78">
        <v>2006.1</v>
      </c>
      <c r="C78">
        <v>343</v>
      </c>
      <c r="D78">
        <v>26.97</v>
      </c>
      <c r="E78">
        <v>66234</v>
      </c>
      <c r="F78">
        <v>5.649553</v>
      </c>
      <c r="G78">
        <v>199.46666666666701</v>
      </c>
      <c r="H78">
        <v>4.5770967741935502</v>
      </c>
      <c r="L78">
        <v>5.649553</v>
      </c>
      <c r="M78">
        <f>F74</f>
        <v>5.9295479999999996</v>
      </c>
      <c r="N78">
        <v>4.5770967741935502</v>
      </c>
      <c r="O78">
        <f>D78/D74</f>
        <v>1.1153846153846154</v>
      </c>
      <c r="P78">
        <f>G78/G74</f>
        <v>1.0369086813377231</v>
      </c>
    </row>
    <row r="79" spans="1:16" x14ac:dyDescent="0.3">
      <c r="A79" t="s">
        <v>15</v>
      </c>
      <c r="B79">
        <v>2006.2</v>
      </c>
      <c r="C79">
        <v>378</v>
      </c>
      <c r="D79">
        <v>27.2</v>
      </c>
      <c r="E79">
        <v>66612</v>
      </c>
      <c r="F79">
        <v>5.4897660000000004</v>
      </c>
      <c r="G79">
        <v>201.26666666666699</v>
      </c>
      <c r="H79">
        <v>5.0726984126984096</v>
      </c>
      <c r="L79">
        <v>5.4897660000000004</v>
      </c>
      <c r="M79">
        <f>F75</f>
        <v>5.9336679999999999</v>
      </c>
      <c r="N79">
        <v>5.0726984126984096</v>
      </c>
      <c r="O79">
        <f>D79/D75</f>
        <v>1.1074918566775245</v>
      </c>
      <c r="P79">
        <f>G79/G75</f>
        <v>1.0392426850258174</v>
      </c>
    </row>
    <row r="80" spans="1:16" x14ac:dyDescent="0.3">
      <c r="A80" t="s">
        <v>15</v>
      </c>
      <c r="B80">
        <v>2006.3</v>
      </c>
      <c r="C80">
        <v>210</v>
      </c>
      <c r="D80">
        <v>27.3</v>
      </c>
      <c r="E80">
        <v>66822</v>
      </c>
      <c r="F80">
        <v>5.4734230000000004</v>
      </c>
      <c r="G80">
        <v>203.166666666667</v>
      </c>
      <c r="H80">
        <v>4.8934920634920704</v>
      </c>
      <c r="L80">
        <v>5.4734230000000004</v>
      </c>
      <c r="M80">
        <f>F76</f>
        <v>5.891489</v>
      </c>
      <c r="N80">
        <v>4.8934920634920704</v>
      </c>
      <c r="O80">
        <f>D80/D76</f>
        <v>1.0933119743692432</v>
      </c>
      <c r="P80">
        <f>G80/G76</f>
        <v>1.0334011529331995</v>
      </c>
    </row>
    <row r="81" spans="1:16" x14ac:dyDescent="0.3">
      <c r="A81" t="s">
        <v>15</v>
      </c>
      <c r="B81">
        <v>2006.4</v>
      </c>
      <c r="C81">
        <v>174</v>
      </c>
      <c r="D81">
        <v>27.48</v>
      </c>
      <c r="E81">
        <v>66996</v>
      </c>
      <c r="F81">
        <v>5.5279800000000003</v>
      </c>
      <c r="G81">
        <v>202.333333333333</v>
      </c>
      <c r="H81">
        <v>4.6306451612903201</v>
      </c>
      <c r="L81">
        <v>5.5279800000000003</v>
      </c>
      <c r="M81">
        <f>F77</f>
        <v>5.76783</v>
      </c>
      <c r="N81">
        <v>4.6306451612903201</v>
      </c>
      <c r="O81">
        <f>D81/D77</f>
        <v>1.0870253164556962</v>
      </c>
      <c r="P81">
        <f>G81/G77</f>
        <v>1.0196539559885773</v>
      </c>
    </row>
    <row r="82" spans="1:16" x14ac:dyDescent="0.3">
      <c r="A82" t="s">
        <v>15</v>
      </c>
      <c r="B82">
        <v>2007.1</v>
      </c>
      <c r="C82">
        <v>598</v>
      </c>
      <c r="D82">
        <v>29.18</v>
      </c>
      <c r="E82">
        <v>67594</v>
      </c>
      <c r="F82">
        <v>5.4931989999999997</v>
      </c>
      <c r="G82">
        <v>204.31700000000001</v>
      </c>
      <c r="H82">
        <v>4.6790322580645203</v>
      </c>
      <c r="L82">
        <v>5.4931989999999997</v>
      </c>
      <c r="M82">
        <f>F78</f>
        <v>5.649553</v>
      </c>
      <c r="N82">
        <v>4.6790322580645203</v>
      </c>
      <c r="O82">
        <f>D82/D78</f>
        <v>1.0819428995179829</v>
      </c>
      <c r="P82">
        <f>G82/G78</f>
        <v>1.0243165106951855</v>
      </c>
    </row>
    <row r="83" spans="1:16" x14ac:dyDescent="0.3">
      <c r="A83" t="s">
        <v>15</v>
      </c>
      <c r="B83">
        <v>2007.2</v>
      </c>
      <c r="C83">
        <v>659</v>
      </c>
      <c r="D83">
        <v>29.09</v>
      </c>
      <c r="E83">
        <v>68253</v>
      </c>
      <c r="F83">
        <v>5.2422040000000001</v>
      </c>
      <c r="G83">
        <v>206.631</v>
      </c>
      <c r="H83">
        <v>4.8460937499999996</v>
      </c>
      <c r="L83">
        <v>5.2422040000000001</v>
      </c>
      <c r="M83">
        <f>F79</f>
        <v>5.4897660000000004</v>
      </c>
      <c r="N83">
        <v>4.8460937499999996</v>
      </c>
      <c r="O83">
        <f>D83/D79</f>
        <v>1.0694852941176471</v>
      </c>
      <c r="P83">
        <f>G83/G79</f>
        <v>1.0266528651871465</v>
      </c>
    </row>
    <row r="84" spans="1:16" x14ac:dyDescent="0.3">
      <c r="A84" t="s">
        <v>15</v>
      </c>
      <c r="B84">
        <v>2007.3</v>
      </c>
      <c r="C84">
        <v>1092</v>
      </c>
      <c r="D84">
        <v>29.32</v>
      </c>
      <c r="E84">
        <v>69345</v>
      </c>
      <c r="F84">
        <v>5.066503</v>
      </c>
      <c r="G84">
        <v>207.93899999999999</v>
      </c>
      <c r="H84">
        <v>4.7384126984127004</v>
      </c>
      <c r="L84">
        <v>5.066503</v>
      </c>
      <c r="M84">
        <f>F80</f>
        <v>5.4734230000000004</v>
      </c>
      <c r="N84">
        <v>4.7384126984127004</v>
      </c>
      <c r="O84">
        <f>D84/D80</f>
        <v>1.073992673992674</v>
      </c>
      <c r="P84">
        <f>G84/G80</f>
        <v>1.0234897456931895</v>
      </c>
    </row>
    <row r="85" spans="1:16" x14ac:dyDescent="0.3">
      <c r="A85" t="s">
        <v>15</v>
      </c>
      <c r="B85">
        <v>2007.4</v>
      </c>
      <c r="C85">
        <v>686</v>
      </c>
      <c r="D85">
        <v>29.51</v>
      </c>
      <c r="E85">
        <v>70031</v>
      </c>
      <c r="F85">
        <v>4.9199719999999996</v>
      </c>
      <c r="G85">
        <v>210.48966666666701</v>
      </c>
      <c r="H85">
        <v>4.26661290322581</v>
      </c>
      <c r="L85">
        <v>4.9199719999999996</v>
      </c>
      <c r="M85">
        <f>F81</f>
        <v>5.5279800000000003</v>
      </c>
      <c r="N85">
        <v>4.26661290322581</v>
      </c>
      <c r="O85">
        <f>D85/D81</f>
        <v>1.0738719068413392</v>
      </c>
      <c r="P85">
        <f>G85/G81</f>
        <v>1.0403113673805635</v>
      </c>
    </row>
    <row r="86" spans="1:16" x14ac:dyDescent="0.3">
      <c r="A86" t="s">
        <v>15</v>
      </c>
      <c r="B86">
        <v>2008.1</v>
      </c>
      <c r="C86">
        <v>764</v>
      </c>
      <c r="D86">
        <v>29.54</v>
      </c>
      <c r="E86">
        <v>70795</v>
      </c>
      <c r="F86">
        <v>4.7897090000000002</v>
      </c>
      <c r="G86">
        <v>212.76966666666701</v>
      </c>
      <c r="H86">
        <v>3.6652459016393402</v>
      </c>
      <c r="L86">
        <v>4.7897090000000002</v>
      </c>
      <c r="M86">
        <f>F82</f>
        <v>5.4931989999999997</v>
      </c>
      <c r="N86">
        <v>3.6652459016393402</v>
      </c>
      <c r="O86">
        <f>D86/D82</f>
        <v>1.0123372172721041</v>
      </c>
      <c r="P86">
        <f>G86/G82</f>
        <v>1.0413703542371266</v>
      </c>
    </row>
    <row r="87" spans="1:16" x14ac:dyDescent="0.3">
      <c r="A87" t="s">
        <v>15</v>
      </c>
      <c r="B87">
        <v>2008.2</v>
      </c>
      <c r="C87">
        <v>446</v>
      </c>
      <c r="D87">
        <v>29.25</v>
      </c>
      <c r="E87">
        <v>71241</v>
      </c>
      <c r="F87">
        <v>4.8800790000000003</v>
      </c>
      <c r="G87">
        <v>215.53766666666701</v>
      </c>
      <c r="H87">
        <v>3.8815624999999998</v>
      </c>
      <c r="L87">
        <v>4.8800790000000003</v>
      </c>
      <c r="M87">
        <f>F83</f>
        <v>5.2422040000000001</v>
      </c>
      <c r="N87">
        <v>3.8815624999999998</v>
      </c>
      <c r="O87">
        <f>D87/D83</f>
        <v>1.0055001718803713</v>
      </c>
      <c r="P87">
        <f>G87/G83</f>
        <v>1.0431042131464641</v>
      </c>
    </row>
    <row r="88" spans="1:16" x14ac:dyDescent="0.3">
      <c r="A88" t="s">
        <v>15</v>
      </c>
      <c r="B88">
        <v>2008.3</v>
      </c>
      <c r="C88">
        <v>40</v>
      </c>
      <c r="D88">
        <v>28.88</v>
      </c>
      <c r="E88">
        <v>71281</v>
      </c>
      <c r="F88">
        <v>5.0122590000000002</v>
      </c>
      <c r="G88">
        <v>218.86099999999999</v>
      </c>
      <c r="H88">
        <v>3.8621875000000001</v>
      </c>
      <c r="L88">
        <v>5.0122590000000002</v>
      </c>
      <c r="M88">
        <f>F84</f>
        <v>5.066503</v>
      </c>
      <c r="N88">
        <v>3.8621875000000001</v>
      </c>
      <c r="O88">
        <f>D88/D84</f>
        <v>0.98499317871759884</v>
      </c>
      <c r="P88">
        <f>G88/G84</f>
        <v>1.0525250193566382</v>
      </c>
    </row>
    <row r="89" spans="1:16" x14ac:dyDescent="0.3">
      <c r="A89" t="s">
        <v>15</v>
      </c>
      <c r="B89">
        <v>2008.4</v>
      </c>
      <c r="C89">
        <v>48</v>
      </c>
      <c r="D89">
        <v>27.99</v>
      </c>
      <c r="E89">
        <v>71329</v>
      </c>
      <c r="F89">
        <v>5.2369500000000002</v>
      </c>
      <c r="G89">
        <v>213.84866666666699</v>
      </c>
      <c r="H89">
        <v>3.2346774193548402</v>
      </c>
      <c r="L89">
        <v>5.2369500000000002</v>
      </c>
      <c r="M89">
        <f>F85</f>
        <v>4.9199719999999996</v>
      </c>
      <c r="N89">
        <v>3.2346774193548402</v>
      </c>
      <c r="O89">
        <f>D89/D85</f>
        <v>0.94849203659776338</v>
      </c>
      <c r="P89">
        <f>G89/G85</f>
        <v>1.0159580280267122</v>
      </c>
    </row>
    <row r="90" spans="1:16" x14ac:dyDescent="0.3">
      <c r="A90" t="s">
        <v>15</v>
      </c>
      <c r="B90">
        <v>2009.1</v>
      </c>
      <c r="C90">
        <v>35</v>
      </c>
      <c r="D90">
        <v>26.17</v>
      </c>
      <c r="E90">
        <v>71364</v>
      </c>
      <c r="F90">
        <v>5.5182599999999997</v>
      </c>
      <c r="G90">
        <v>212.37766666666701</v>
      </c>
      <c r="H90">
        <v>2.7362295081967201</v>
      </c>
      <c r="L90">
        <v>5.5182599999999997</v>
      </c>
      <c r="M90">
        <f>F86</f>
        <v>4.7897090000000002</v>
      </c>
      <c r="N90">
        <v>2.7362295081967201</v>
      </c>
      <c r="O90">
        <f>D90/D86</f>
        <v>0.88591740013540965</v>
      </c>
      <c r="P90">
        <f>G90/G86</f>
        <v>0.99815763211861341</v>
      </c>
    </row>
    <row r="91" spans="1:16" x14ac:dyDescent="0.3">
      <c r="A91" t="s">
        <v>15</v>
      </c>
      <c r="B91">
        <v>2009.2</v>
      </c>
      <c r="C91">
        <v>0</v>
      </c>
      <c r="D91">
        <v>25.33</v>
      </c>
      <c r="E91">
        <v>71364</v>
      </c>
      <c r="F91">
        <v>5.7791030000000001</v>
      </c>
      <c r="G91">
        <v>213.50700000000001</v>
      </c>
      <c r="H91">
        <v>3.3207936507936502</v>
      </c>
      <c r="L91">
        <v>5.7791030000000001</v>
      </c>
      <c r="M91">
        <f>F87</f>
        <v>4.8800790000000003</v>
      </c>
      <c r="N91">
        <v>3.3207936507936502</v>
      </c>
      <c r="O91">
        <f>D91/D87</f>
        <v>0.86598290598290595</v>
      </c>
      <c r="P91">
        <f>G91/G87</f>
        <v>0.99057859956418914</v>
      </c>
    </row>
    <row r="92" spans="1:16" x14ac:dyDescent="0.3">
      <c r="A92" t="s">
        <v>15</v>
      </c>
      <c r="B92">
        <v>2009.3</v>
      </c>
      <c r="C92">
        <v>0</v>
      </c>
      <c r="D92">
        <v>24.94</v>
      </c>
      <c r="E92">
        <v>71364</v>
      </c>
      <c r="F92">
        <v>6.0030109999999999</v>
      </c>
      <c r="G92">
        <v>215.34399999999999</v>
      </c>
      <c r="H92">
        <v>3.5178124999999998</v>
      </c>
      <c r="L92">
        <v>6.0030109999999999</v>
      </c>
      <c r="M92">
        <f>F88</f>
        <v>5.0122590000000002</v>
      </c>
      <c r="N92">
        <v>3.5178124999999998</v>
      </c>
      <c r="O92">
        <f>D92/D88</f>
        <v>0.86357340720221609</v>
      </c>
      <c r="P92">
        <f>G92/G88</f>
        <v>0.98393043986822692</v>
      </c>
    </row>
    <row r="93" spans="1:16" x14ac:dyDescent="0.3">
      <c r="A93" t="s">
        <v>15</v>
      </c>
      <c r="B93">
        <v>2009.4</v>
      </c>
      <c r="C93">
        <v>0</v>
      </c>
      <c r="D93">
        <v>24.29</v>
      </c>
      <c r="E93">
        <v>71364</v>
      </c>
      <c r="F93">
        <v>6.0820319999999999</v>
      </c>
      <c r="G93">
        <v>217.03</v>
      </c>
      <c r="H93">
        <v>3.46403225806452</v>
      </c>
      <c r="L93">
        <v>6.0820319999999999</v>
      </c>
      <c r="M93">
        <f>F89</f>
        <v>5.2369500000000002</v>
      </c>
      <c r="N93">
        <v>3.46403225806452</v>
      </c>
      <c r="O93">
        <f>D93/D89</f>
        <v>0.86780993211861379</v>
      </c>
      <c r="P93">
        <f>G93/G89</f>
        <v>1.0148765638005677</v>
      </c>
    </row>
    <row r="94" spans="1:16" x14ac:dyDescent="0.3">
      <c r="A94" t="s">
        <v>15</v>
      </c>
      <c r="B94">
        <v>2010.1</v>
      </c>
      <c r="C94">
        <v>0</v>
      </c>
      <c r="D94">
        <v>23.45</v>
      </c>
      <c r="E94">
        <v>71364</v>
      </c>
      <c r="F94">
        <v>6.2187409999999996</v>
      </c>
      <c r="G94">
        <v>217.374</v>
      </c>
      <c r="H94">
        <v>3.71786885245902</v>
      </c>
      <c r="L94">
        <v>6.2187409999999996</v>
      </c>
      <c r="M94">
        <f>F90</f>
        <v>5.5182599999999997</v>
      </c>
      <c r="N94">
        <v>3.71786885245902</v>
      </c>
      <c r="O94">
        <f>D94/D90</f>
        <v>0.89606419564386697</v>
      </c>
      <c r="P94">
        <f>G94/G90</f>
        <v>1.0235257002854961</v>
      </c>
    </row>
    <row r="95" spans="1:16" x14ac:dyDescent="0.3">
      <c r="A95" t="s">
        <v>15</v>
      </c>
      <c r="B95">
        <v>2010.2</v>
      </c>
      <c r="C95">
        <v>0</v>
      </c>
      <c r="D95">
        <v>22.63</v>
      </c>
      <c r="E95">
        <v>71364</v>
      </c>
      <c r="F95">
        <v>6.1950799999999999</v>
      </c>
      <c r="G95">
        <v>217.297333333333</v>
      </c>
      <c r="H95">
        <v>3.4925000000000002</v>
      </c>
      <c r="L95">
        <v>6.1950799999999999</v>
      </c>
      <c r="M95">
        <f>F91</f>
        <v>5.7791030000000001</v>
      </c>
      <c r="N95">
        <v>3.4925000000000002</v>
      </c>
      <c r="O95">
        <f>D95/D91</f>
        <v>0.89340702724042642</v>
      </c>
      <c r="P95">
        <f>G95/G91</f>
        <v>1.0177527356636222</v>
      </c>
    </row>
    <row r="96" spans="1:16" x14ac:dyDescent="0.3">
      <c r="A96" t="s">
        <v>15</v>
      </c>
      <c r="B96">
        <v>2010.3</v>
      </c>
      <c r="C96">
        <v>0</v>
      </c>
      <c r="D96">
        <v>21.96</v>
      </c>
      <c r="E96">
        <v>71364</v>
      </c>
      <c r="F96">
        <v>6.0910209999999996</v>
      </c>
      <c r="G96">
        <v>217.934333333333</v>
      </c>
      <c r="H96">
        <v>2.7845312500000001</v>
      </c>
      <c r="L96">
        <v>6.0910209999999996</v>
      </c>
      <c r="M96">
        <f>F92</f>
        <v>6.0030109999999999</v>
      </c>
      <c r="N96">
        <v>2.7845312500000001</v>
      </c>
      <c r="O96">
        <f>D96/D92</f>
        <v>0.88051323175621488</v>
      </c>
      <c r="P96">
        <f>G96/G92</f>
        <v>1.0120288159100463</v>
      </c>
    </row>
    <row r="97" spans="1:16" x14ac:dyDescent="0.3">
      <c r="A97" t="s">
        <v>15</v>
      </c>
      <c r="B97">
        <v>2010.4</v>
      </c>
      <c r="C97">
        <v>0</v>
      </c>
      <c r="D97">
        <v>21.38</v>
      </c>
      <c r="E97">
        <v>71364</v>
      </c>
      <c r="F97">
        <v>6.0986979999999997</v>
      </c>
      <c r="G97">
        <v>219.69900000000001</v>
      </c>
      <c r="H97">
        <v>2.87838709677419</v>
      </c>
      <c r="L97">
        <v>6.0986979999999997</v>
      </c>
      <c r="M97">
        <f>F93</f>
        <v>6.0820319999999999</v>
      </c>
      <c r="N97">
        <v>2.87838709677419</v>
      </c>
      <c r="O97">
        <f>D97/D93</f>
        <v>0.88019761218608483</v>
      </c>
      <c r="P97">
        <f>G97/G93</f>
        <v>1.0122978390084321</v>
      </c>
    </row>
    <row r="98" spans="1:16" x14ac:dyDescent="0.3">
      <c r="A98" t="s">
        <v>15</v>
      </c>
      <c r="B98">
        <v>2011.1</v>
      </c>
      <c r="C98">
        <v>0</v>
      </c>
      <c r="D98">
        <v>21.88</v>
      </c>
      <c r="E98">
        <v>71364</v>
      </c>
      <c r="F98">
        <v>6.0369910000000004</v>
      </c>
      <c r="G98">
        <v>222.04366666666701</v>
      </c>
      <c r="H98">
        <v>3.4574193548387102</v>
      </c>
      <c r="L98">
        <v>6.0369910000000004</v>
      </c>
      <c r="M98">
        <f>F94</f>
        <v>6.2187409999999996</v>
      </c>
      <c r="N98">
        <v>3.4574193548387102</v>
      </c>
      <c r="O98">
        <f>D98/D94</f>
        <v>0.9330490405117271</v>
      </c>
      <c r="P98">
        <f>G98/G94</f>
        <v>1.0214821766479294</v>
      </c>
    </row>
    <row r="99" spans="1:16" x14ac:dyDescent="0.3">
      <c r="A99" t="s">
        <v>15</v>
      </c>
      <c r="B99">
        <v>2011.2</v>
      </c>
      <c r="C99">
        <v>0</v>
      </c>
      <c r="D99">
        <v>21.91</v>
      </c>
      <c r="E99">
        <v>71364</v>
      </c>
      <c r="F99">
        <v>6.4045579999999998</v>
      </c>
      <c r="G99">
        <v>224.56833333333299</v>
      </c>
      <c r="H99">
        <v>3.2014285714285702</v>
      </c>
      <c r="L99">
        <v>6.4045579999999998</v>
      </c>
      <c r="M99">
        <f>F95</f>
        <v>6.1950799999999999</v>
      </c>
      <c r="N99">
        <v>3.2014285714285702</v>
      </c>
      <c r="O99">
        <f>D99/D95</f>
        <v>0.96818382677861248</v>
      </c>
      <c r="P99">
        <f>G99/G95</f>
        <v>1.0334610641026427</v>
      </c>
    </row>
    <row r="100" spans="1:16" x14ac:dyDescent="0.3">
      <c r="A100" t="s">
        <v>15</v>
      </c>
      <c r="B100">
        <v>2011.3</v>
      </c>
      <c r="C100">
        <v>0</v>
      </c>
      <c r="D100">
        <v>21.76</v>
      </c>
      <c r="E100">
        <v>71364</v>
      </c>
      <c r="F100">
        <v>6.25556</v>
      </c>
      <c r="G100">
        <v>226.03266666666701</v>
      </c>
      <c r="H100">
        <v>2.4142187499999999</v>
      </c>
      <c r="L100">
        <v>6.25556</v>
      </c>
      <c r="M100">
        <f>F96</f>
        <v>6.0910209999999996</v>
      </c>
      <c r="N100">
        <v>2.4142187499999999</v>
      </c>
      <c r="O100">
        <f>D100/D96</f>
        <v>0.99089253187613846</v>
      </c>
      <c r="P100">
        <f>G100/G96</f>
        <v>1.0371595113512817</v>
      </c>
    </row>
    <row r="101" spans="1:16" x14ac:dyDescent="0.3">
      <c r="A101" t="s">
        <v>15</v>
      </c>
      <c r="B101">
        <v>2011.4</v>
      </c>
      <c r="C101">
        <v>48</v>
      </c>
      <c r="D101">
        <v>22.43</v>
      </c>
      <c r="E101">
        <v>71412</v>
      </c>
      <c r="F101">
        <v>5.9895399999999999</v>
      </c>
      <c r="G101">
        <v>227.047333333333</v>
      </c>
      <c r="H101">
        <v>2.0467213114754101</v>
      </c>
      <c r="L101">
        <v>5.9895399999999999</v>
      </c>
      <c r="M101">
        <f>F97</f>
        <v>6.0986979999999997</v>
      </c>
      <c r="N101">
        <v>2.0467213114754101</v>
      </c>
      <c r="O101">
        <f>D101/D97</f>
        <v>1.0491113189897101</v>
      </c>
      <c r="P101">
        <f>G101/G97</f>
        <v>1.0334472771079204</v>
      </c>
    </row>
    <row r="102" spans="1:16" x14ac:dyDescent="0.3">
      <c r="A102" t="s">
        <v>15</v>
      </c>
      <c r="B102">
        <v>2012.1</v>
      </c>
      <c r="C102">
        <v>0</v>
      </c>
      <c r="D102">
        <v>21.74</v>
      </c>
      <c r="E102">
        <v>71412</v>
      </c>
      <c r="F102">
        <v>5.7726839999999999</v>
      </c>
      <c r="G102">
        <v>228.32599999999999</v>
      </c>
      <c r="H102">
        <v>2.04</v>
      </c>
      <c r="L102">
        <v>5.7726839999999999</v>
      </c>
      <c r="M102">
        <f>F98</f>
        <v>6.0369910000000004</v>
      </c>
      <c r="N102">
        <v>2.04</v>
      </c>
      <c r="O102">
        <f>D102/D98</f>
        <v>0.99360146252285186</v>
      </c>
      <c r="P102">
        <f>G102/G98</f>
        <v>1.0282932336132067</v>
      </c>
    </row>
    <row r="103" spans="1:16" x14ac:dyDescent="0.3">
      <c r="A103" t="s">
        <v>15</v>
      </c>
      <c r="B103">
        <v>2012.2</v>
      </c>
      <c r="C103">
        <v>0</v>
      </c>
      <c r="D103">
        <v>22.01</v>
      </c>
      <c r="E103">
        <v>71412</v>
      </c>
      <c r="F103">
        <v>5.2130520000000002</v>
      </c>
      <c r="G103">
        <v>228.80799999999999</v>
      </c>
      <c r="H103">
        <v>1.8257812499999999</v>
      </c>
      <c r="L103">
        <v>5.2130520000000002</v>
      </c>
      <c r="M103">
        <f>F99</f>
        <v>6.4045579999999998</v>
      </c>
      <c r="N103">
        <v>1.8257812499999999</v>
      </c>
      <c r="O103">
        <f>D103/D99</f>
        <v>1.0045641259698768</v>
      </c>
      <c r="P103">
        <f>G103/G99</f>
        <v>1.0188791830252129</v>
      </c>
    </row>
    <row r="104" spans="1:16" x14ac:dyDescent="0.3">
      <c r="A104" t="s">
        <v>15</v>
      </c>
      <c r="B104">
        <v>2012.3</v>
      </c>
      <c r="C104">
        <v>0</v>
      </c>
      <c r="D104">
        <v>22.14</v>
      </c>
      <c r="E104">
        <v>71412</v>
      </c>
      <c r="F104">
        <v>5.0936360000000001</v>
      </c>
      <c r="G104">
        <v>229.84100000000001</v>
      </c>
      <c r="H104">
        <v>1.6412698412698401</v>
      </c>
      <c r="L104">
        <v>5.0936360000000001</v>
      </c>
      <c r="M104">
        <f>F100</f>
        <v>6.25556</v>
      </c>
      <c r="N104">
        <v>1.6412698412698401</v>
      </c>
      <c r="O104">
        <f>D104/D100</f>
        <v>1.0174632352941175</v>
      </c>
      <c r="P104">
        <f>G104/G100</f>
        <v>1.0168485971054315</v>
      </c>
    </row>
    <row r="105" spans="1:16" x14ac:dyDescent="0.3">
      <c r="A105" t="s">
        <v>15</v>
      </c>
      <c r="B105">
        <v>2012.4</v>
      </c>
      <c r="C105">
        <v>0</v>
      </c>
      <c r="D105">
        <v>22.69</v>
      </c>
      <c r="E105">
        <v>71412</v>
      </c>
      <c r="F105">
        <v>5.1051039999999999</v>
      </c>
      <c r="G105">
        <v>231.369333333333</v>
      </c>
      <c r="H105">
        <v>1.70704918032787</v>
      </c>
      <c r="L105">
        <v>5.1051039999999999</v>
      </c>
      <c r="M105">
        <f>F101</f>
        <v>5.9895399999999999</v>
      </c>
      <c r="N105">
        <v>1.70704918032787</v>
      </c>
      <c r="O105">
        <f>D105/D101</f>
        <v>1.011591618368257</v>
      </c>
      <c r="P105">
        <f>G105/G101</f>
        <v>1.0190356783167094</v>
      </c>
    </row>
    <row r="106" spans="1:16" x14ac:dyDescent="0.3">
      <c r="A106" t="s">
        <v>15</v>
      </c>
      <c r="B106">
        <v>2013.1</v>
      </c>
      <c r="C106">
        <v>0</v>
      </c>
      <c r="D106">
        <v>22.57</v>
      </c>
      <c r="E106">
        <v>71412</v>
      </c>
      <c r="F106">
        <v>5.0698889999999999</v>
      </c>
      <c r="G106">
        <v>232.29933333333301</v>
      </c>
      <c r="H106">
        <v>1.9510000000000001</v>
      </c>
      <c r="L106">
        <v>5.0698889999999999</v>
      </c>
      <c r="M106">
        <f>F102</f>
        <v>5.7726839999999999</v>
      </c>
      <c r="N106">
        <v>1.9510000000000001</v>
      </c>
      <c r="O106">
        <f>D106/D102</f>
        <v>1.0381784728610857</v>
      </c>
      <c r="P106">
        <f>G106/G102</f>
        <v>1.0174020187509658</v>
      </c>
    </row>
    <row r="107" spans="1:16" x14ac:dyDescent="0.3">
      <c r="A107" t="s">
        <v>15</v>
      </c>
      <c r="B107">
        <v>2013.2</v>
      </c>
      <c r="C107">
        <v>0</v>
      </c>
      <c r="D107">
        <v>22.48</v>
      </c>
      <c r="E107">
        <v>71412</v>
      </c>
      <c r="F107">
        <v>5.038335</v>
      </c>
      <c r="G107">
        <v>232.04499999999999</v>
      </c>
      <c r="H107">
        <v>1.9862500000000001</v>
      </c>
      <c r="L107">
        <v>5.038335</v>
      </c>
      <c r="M107">
        <f>F103</f>
        <v>5.2130520000000002</v>
      </c>
      <c r="N107">
        <v>1.9862500000000001</v>
      </c>
      <c r="O107">
        <f>D107/D103</f>
        <v>1.0213539300318037</v>
      </c>
      <c r="P107">
        <f>G107/G103</f>
        <v>1.0141472326142442</v>
      </c>
    </row>
    <row r="108" spans="1:16" x14ac:dyDescent="0.3">
      <c r="A108" t="s">
        <v>15</v>
      </c>
      <c r="B108">
        <v>2013.3</v>
      </c>
      <c r="C108">
        <v>0</v>
      </c>
      <c r="D108">
        <v>22.71</v>
      </c>
      <c r="E108">
        <v>71412</v>
      </c>
      <c r="F108">
        <v>5.0587840000000002</v>
      </c>
      <c r="G108">
        <v>233.3</v>
      </c>
      <c r="H108">
        <v>2.7065625</v>
      </c>
      <c r="L108">
        <v>5.0587840000000002</v>
      </c>
      <c r="M108">
        <f>F104</f>
        <v>5.0936360000000001</v>
      </c>
      <c r="N108">
        <v>2.7065625</v>
      </c>
      <c r="O108">
        <f>D108/D104</f>
        <v>1.0257452574525745</v>
      </c>
      <c r="P108">
        <f>G108/G104</f>
        <v>1.0150495342432377</v>
      </c>
    </row>
    <row r="109" spans="1:16" x14ac:dyDescent="0.3">
      <c r="A109" t="s">
        <v>15</v>
      </c>
      <c r="B109">
        <v>2013.4</v>
      </c>
      <c r="C109">
        <v>0</v>
      </c>
      <c r="D109">
        <v>22.77</v>
      </c>
      <c r="E109">
        <v>71412</v>
      </c>
      <c r="F109">
        <v>4.9081340000000004</v>
      </c>
      <c r="G109">
        <v>234.16266666666701</v>
      </c>
      <c r="H109">
        <v>2.7441935483870998</v>
      </c>
      <c r="L109">
        <v>4.9081340000000004</v>
      </c>
      <c r="M109">
        <f>F105</f>
        <v>5.1051039999999999</v>
      </c>
      <c r="N109">
        <v>2.7441935483870998</v>
      </c>
      <c r="O109">
        <f>D109/D105</f>
        <v>1.003525782282944</v>
      </c>
      <c r="P109">
        <f>G109/G105</f>
        <v>1.0120730491508556</v>
      </c>
    </row>
    <row r="110" spans="1:16" x14ac:dyDescent="0.3">
      <c r="A110" t="s">
        <v>15</v>
      </c>
      <c r="B110">
        <v>2014.1</v>
      </c>
      <c r="C110">
        <v>0</v>
      </c>
      <c r="D110">
        <v>22.83</v>
      </c>
      <c r="E110">
        <v>71412</v>
      </c>
      <c r="F110">
        <v>4.8282930000000004</v>
      </c>
      <c r="G110">
        <v>235.62100000000001</v>
      </c>
      <c r="H110">
        <v>2.7654098360655701</v>
      </c>
      <c r="L110">
        <v>4.8282930000000004</v>
      </c>
      <c r="M110">
        <f>F106</f>
        <v>5.0698889999999999</v>
      </c>
      <c r="N110">
        <v>2.7654098360655701</v>
      </c>
      <c r="O110">
        <f>D110/D106</f>
        <v>1.0115197164377492</v>
      </c>
      <c r="P110">
        <f>G110/G106</f>
        <v>1.0142990796357587</v>
      </c>
    </row>
    <row r="111" spans="1:16" x14ac:dyDescent="0.3">
      <c r="A111" t="s">
        <v>15</v>
      </c>
      <c r="B111">
        <v>2014.2</v>
      </c>
      <c r="C111">
        <v>0</v>
      </c>
      <c r="D111">
        <v>23.81</v>
      </c>
      <c r="E111">
        <v>71412</v>
      </c>
      <c r="F111">
        <v>4.7286190000000001</v>
      </c>
      <c r="G111">
        <v>236.87233333333299</v>
      </c>
      <c r="H111">
        <v>2.6209523809523798</v>
      </c>
      <c r="L111">
        <v>4.7286190000000001</v>
      </c>
      <c r="M111">
        <f>F107</f>
        <v>5.038335</v>
      </c>
      <c r="N111">
        <v>2.6209523809523798</v>
      </c>
      <c r="O111">
        <f>D111/D107</f>
        <v>1.0591637010676156</v>
      </c>
      <c r="P111">
        <f>G111/G107</f>
        <v>1.0208034361151199</v>
      </c>
    </row>
    <row r="112" spans="1:16" x14ac:dyDescent="0.3">
      <c r="A112" t="s">
        <v>15</v>
      </c>
      <c r="B112">
        <v>2014.3</v>
      </c>
      <c r="C112">
        <v>435</v>
      </c>
      <c r="D112">
        <v>23.66</v>
      </c>
      <c r="E112">
        <v>71847</v>
      </c>
      <c r="F112">
        <v>4.5300659999999997</v>
      </c>
      <c r="G112">
        <v>237.47833333333301</v>
      </c>
      <c r="H112">
        <v>2.49953125</v>
      </c>
      <c r="L112">
        <v>4.5300659999999997</v>
      </c>
      <c r="M112">
        <f>F108</f>
        <v>5.0587840000000002</v>
      </c>
      <c r="N112">
        <v>2.49953125</v>
      </c>
      <c r="O112">
        <f>D112/D108</f>
        <v>1.041831792162043</v>
      </c>
      <c r="P112">
        <f>G112/G108</f>
        <v>1.0179097013859109</v>
      </c>
    </row>
    <row r="113" spans="1:16" x14ac:dyDescent="0.3">
      <c r="A113" t="s">
        <v>15</v>
      </c>
      <c r="B113">
        <v>2014.4</v>
      </c>
      <c r="C113">
        <v>0</v>
      </c>
      <c r="D113">
        <v>25.09</v>
      </c>
      <c r="E113">
        <v>71847</v>
      </c>
      <c r="F113">
        <v>4.4739610000000001</v>
      </c>
      <c r="G113">
        <v>236.88833333333301</v>
      </c>
      <c r="H113">
        <v>2.2759677419354798</v>
      </c>
      <c r="L113">
        <v>4.4739610000000001</v>
      </c>
      <c r="M113">
        <f>F109</f>
        <v>4.9081340000000004</v>
      </c>
      <c r="N113">
        <v>2.2759677419354798</v>
      </c>
      <c r="O113">
        <f>D113/D109</f>
        <v>1.1018884497145367</v>
      </c>
      <c r="P113">
        <f>G113/G109</f>
        <v>1.0116400564849477</v>
      </c>
    </row>
    <row r="114" spans="1:16" x14ac:dyDescent="0.3">
      <c r="A114" t="s">
        <v>15</v>
      </c>
      <c r="B114">
        <v>2015.1</v>
      </c>
      <c r="C114">
        <v>110</v>
      </c>
      <c r="D114">
        <v>25.66</v>
      </c>
      <c r="E114">
        <v>71957</v>
      </c>
      <c r="F114">
        <v>4.3198840000000001</v>
      </c>
      <c r="G114">
        <v>235.35499999999999</v>
      </c>
      <c r="H114">
        <v>1.9688524590163901</v>
      </c>
      <c r="L114">
        <v>4.3198840000000001</v>
      </c>
      <c r="M114">
        <f>F110</f>
        <v>4.8282930000000004</v>
      </c>
      <c r="N114">
        <v>1.9688524590163901</v>
      </c>
      <c r="O114">
        <f>D114/D110</f>
        <v>1.1239597021462988</v>
      </c>
      <c r="P114">
        <f>G114/G110</f>
        <v>0.99887106836826933</v>
      </c>
    </row>
    <row r="115" spans="1:16" x14ac:dyDescent="0.3">
      <c r="A115" t="s">
        <v>15</v>
      </c>
      <c r="B115">
        <v>2015.2</v>
      </c>
      <c r="C115">
        <v>0</v>
      </c>
      <c r="D115">
        <v>26.14</v>
      </c>
      <c r="E115">
        <v>71957</v>
      </c>
      <c r="F115">
        <v>4.1988599999999998</v>
      </c>
      <c r="G115">
        <v>236.96</v>
      </c>
      <c r="H115">
        <v>2.1643750000000002</v>
      </c>
      <c r="L115">
        <v>4.1988599999999998</v>
      </c>
      <c r="M115">
        <f>F111</f>
        <v>4.7286190000000001</v>
      </c>
      <c r="N115">
        <v>2.1643750000000002</v>
      </c>
      <c r="O115">
        <f>D115/D111</f>
        <v>1.0978580428391433</v>
      </c>
      <c r="P115">
        <f>G115/G111</f>
        <v>1.0003701009123074</v>
      </c>
    </row>
    <row r="116" spans="1:16" x14ac:dyDescent="0.3">
      <c r="A116" t="s">
        <v>15</v>
      </c>
      <c r="B116">
        <v>2015.3</v>
      </c>
      <c r="C116">
        <v>0</v>
      </c>
      <c r="D116">
        <v>26.71</v>
      </c>
      <c r="E116">
        <v>71957</v>
      </c>
      <c r="F116">
        <v>4.2506259999999996</v>
      </c>
      <c r="G116">
        <v>237.85499999999999</v>
      </c>
      <c r="H116">
        <v>2.223125</v>
      </c>
      <c r="L116">
        <v>4.2506259999999996</v>
      </c>
      <c r="M116">
        <f>F112</f>
        <v>4.5300659999999997</v>
      </c>
      <c r="N116">
        <v>2.223125</v>
      </c>
      <c r="O116">
        <f>D116/D112</f>
        <v>1.1289095519864751</v>
      </c>
      <c r="P116">
        <f>G116/G112</f>
        <v>1.0015861096100007</v>
      </c>
    </row>
    <row r="117" spans="1:16" x14ac:dyDescent="0.3">
      <c r="A117" t="s">
        <v>15</v>
      </c>
      <c r="B117">
        <v>2015.4</v>
      </c>
      <c r="C117">
        <v>0</v>
      </c>
      <c r="D117">
        <v>27.72</v>
      </c>
      <c r="E117">
        <v>71957</v>
      </c>
      <c r="F117">
        <v>4.4018949999999997</v>
      </c>
      <c r="G117">
        <v>237.83699999999999</v>
      </c>
      <c r="H117">
        <v>2.1904838709677401</v>
      </c>
      <c r="L117">
        <v>4.4018949999999997</v>
      </c>
      <c r="M117">
        <f>F113</f>
        <v>4.4739610000000001</v>
      </c>
      <c r="N117">
        <v>2.1904838709677401</v>
      </c>
      <c r="O117">
        <f>D117/D113</f>
        <v>1.1048226385013948</v>
      </c>
      <c r="P117">
        <f>G117/G113</f>
        <v>1.0040046998234062</v>
      </c>
    </row>
    <row r="118" spans="1:16" x14ac:dyDescent="0.3">
      <c r="A118" t="s">
        <v>15</v>
      </c>
      <c r="B118">
        <v>2016.1</v>
      </c>
      <c r="C118">
        <v>617</v>
      </c>
      <c r="D118">
        <v>28.39</v>
      </c>
      <c r="E118">
        <v>72574</v>
      </c>
      <c r="F118">
        <v>4.4771570000000001</v>
      </c>
      <c r="G118">
        <v>237.689333333333</v>
      </c>
      <c r="H118">
        <v>1.9142619999999999</v>
      </c>
      <c r="L118">
        <v>4.4771570000000001</v>
      </c>
      <c r="M118">
        <f>F114</f>
        <v>4.3198840000000001</v>
      </c>
      <c r="N118">
        <v>1.9142619999999999</v>
      </c>
      <c r="O118">
        <f>D118/D114</f>
        <v>1.1063912704598597</v>
      </c>
      <c r="P118">
        <f>G118/G114</f>
        <v>1.0099183502935267</v>
      </c>
    </row>
    <row r="119" spans="1:16" x14ac:dyDescent="0.3">
      <c r="A119" t="s">
        <v>15</v>
      </c>
      <c r="B119">
        <v>2016.2</v>
      </c>
      <c r="C119">
        <v>0</v>
      </c>
      <c r="D119">
        <v>28.61</v>
      </c>
      <c r="E119">
        <v>72574</v>
      </c>
      <c r="F119">
        <v>4.5235440000000002</v>
      </c>
      <c r="G119">
        <v>239.59033333333301</v>
      </c>
      <c r="H119">
        <v>1.750156</v>
      </c>
      <c r="L119">
        <v>4.5235440000000002</v>
      </c>
      <c r="M119">
        <f>F115</f>
        <v>4.1988599999999998</v>
      </c>
      <c r="N119">
        <v>1.750156</v>
      </c>
      <c r="O119">
        <f>D119/D115</f>
        <v>1.0944912012241774</v>
      </c>
      <c r="P119">
        <f>G119/G115</f>
        <v>1.0111003263560643</v>
      </c>
    </row>
    <row r="120" spans="1:16" x14ac:dyDescent="0.3">
      <c r="A120" t="s">
        <v>15</v>
      </c>
      <c r="B120">
        <v>2016.3</v>
      </c>
      <c r="C120">
        <v>0</v>
      </c>
      <c r="D120">
        <v>28.58</v>
      </c>
      <c r="E120">
        <v>72574</v>
      </c>
      <c r="F120">
        <v>4.6797659999999999</v>
      </c>
      <c r="G120">
        <v>240.607333333333</v>
      </c>
      <c r="H120">
        <v>1.5643750000000001</v>
      </c>
      <c r="L120">
        <v>4.6797659999999999</v>
      </c>
      <c r="M120">
        <f>F116</f>
        <v>4.2506259999999996</v>
      </c>
      <c r="N120">
        <v>1.5643750000000001</v>
      </c>
      <c r="O120">
        <f>D120/D116</f>
        <v>1.0700112317484087</v>
      </c>
      <c r="P120">
        <f>G120/G116</f>
        <v>1.011571475618898</v>
      </c>
    </row>
    <row r="121" spans="1:16" x14ac:dyDescent="0.3">
      <c r="A121" t="s">
        <v>15</v>
      </c>
      <c r="B121">
        <v>2016.4</v>
      </c>
      <c r="C121">
        <v>0</v>
      </c>
      <c r="D121">
        <v>29.28</v>
      </c>
      <c r="E121">
        <v>72574</v>
      </c>
      <c r="F121">
        <v>4.4913869999999996</v>
      </c>
      <c r="G121">
        <v>242.13466666666699</v>
      </c>
      <c r="H121">
        <v>2.1386889999999998</v>
      </c>
      <c r="L121">
        <v>4.4913869999999996</v>
      </c>
      <c r="M121">
        <f>F117</f>
        <v>4.4018949999999997</v>
      </c>
      <c r="N121">
        <v>2.1386889999999998</v>
      </c>
      <c r="O121">
        <f>D121/D117</f>
        <v>1.0562770562770563</v>
      </c>
      <c r="P121">
        <f>G121/G117</f>
        <v>1.0180697985034581</v>
      </c>
    </row>
    <row r="122" spans="1:16" x14ac:dyDescent="0.3">
      <c r="A122" t="s">
        <v>15</v>
      </c>
      <c r="B122">
        <v>2017.1</v>
      </c>
      <c r="C122">
        <v>213</v>
      </c>
      <c r="D122">
        <v>29.99</v>
      </c>
      <c r="E122">
        <v>72787</v>
      </c>
      <c r="F122">
        <v>4.4182079999999999</v>
      </c>
      <c r="G122">
        <v>243.838666666667</v>
      </c>
      <c r="H122">
        <v>2.4466130000000001</v>
      </c>
      <c r="L122">
        <v>4.4182079999999999</v>
      </c>
      <c r="M122">
        <f>F118</f>
        <v>4.4771570000000001</v>
      </c>
      <c r="N122">
        <v>2.4466130000000001</v>
      </c>
      <c r="O122">
        <f>D122/D118</f>
        <v>1.0563578724903133</v>
      </c>
      <c r="P122">
        <f>G122/G118</f>
        <v>1.0258713054014512</v>
      </c>
    </row>
    <row r="123" spans="1:16" x14ac:dyDescent="0.3">
      <c r="A123" t="s">
        <v>15</v>
      </c>
      <c r="B123">
        <v>2017.2</v>
      </c>
      <c r="C123">
        <v>0</v>
      </c>
      <c r="D123">
        <v>30.74</v>
      </c>
      <c r="E123">
        <v>72787</v>
      </c>
      <c r="F123">
        <v>4.3963140000000003</v>
      </c>
      <c r="G123">
        <v>244.12</v>
      </c>
      <c r="H123">
        <v>2.2609520000000001</v>
      </c>
      <c r="L123">
        <v>4.3963140000000003</v>
      </c>
      <c r="M123">
        <f>F119</f>
        <v>4.5235440000000002</v>
      </c>
      <c r="N123">
        <v>2.2609520000000001</v>
      </c>
      <c r="O123">
        <f>D123/D119</f>
        <v>1.0744494931842012</v>
      </c>
      <c r="P123">
        <f>G123/G119</f>
        <v>1.018905882402046</v>
      </c>
    </row>
    <row r="124" spans="1:16" x14ac:dyDescent="0.3">
      <c r="A124" t="s">
        <v>15</v>
      </c>
      <c r="B124">
        <v>2017.3</v>
      </c>
      <c r="C124">
        <v>467</v>
      </c>
      <c r="D124">
        <v>30.98</v>
      </c>
      <c r="E124">
        <v>73254</v>
      </c>
      <c r="F124">
        <v>4.2528839999999999</v>
      </c>
      <c r="G124">
        <v>245.28700000000001</v>
      </c>
      <c r="H124">
        <v>2.2414290000000001</v>
      </c>
      <c r="L124">
        <v>4.2528839999999999</v>
      </c>
      <c r="M124">
        <f>F120</f>
        <v>4.6797659999999999</v>
      </c>
      <c r="N124">
        <v>2.2414290000000001</v>
      </c>
      <c r="O124">
        <f>D124/D120</f>
        <v>1.0839748075577327</v>
      </c>
      <c r="P124">
        <f>G124/G120</f>
        <v>1.019449393340742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00BF-24DB-43D5-97D0-CF56A5B5E7D3}">
  <dimension ref="A1:I145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0.93674609711729129</v>
      </c>
    </row>
    <row r="5" spans="1:9" x14ac:dyDescent="0.3">
      <c r="A5" s="2" t="s">
        <v>21</v>
      </c>
      <c r="B5" s="2">
        <v>0.87749325046447779</v>
      </c>
    </row>
    <row r="6" spans="1:9" x14ac:dyDescent="0.3">
      <c r="A6" s="2" t="s">
        <v>22</v>
      </c>
      <c r="B6" s="2">
        <v>0.87429742221572504</v>
      </c>
    </row>
    <row r="7" spans="1:9" x14ac:dyDescent="0.3">
      <c r="A7" s="2" t="s">
        <v>23</v>
      </c>
      <c r="B7" s="2">
        <v>0.5924890188268882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289.16266534658439</v>
      </c>
      <c r="D12" s="2">
        <v>96.38755511552813</v>
      </c>
      <c r="E12" s="2">
        <v>274.57459605563594</v>
      </c>
      <c r="F12" s="2">
        <v>2.9953335777218633E-52</v>
      </c>
    </row>
    <row r="13" spans="1:9" x14ac:dyDescent="0.3">
      <c r="A13" s="2" t="s">
        <v>27</v>
      </c>
      <c r="B13" s="2">
        <v>115</v>
      </c>
      <c r="C13" s="2">
        <v>40.369972304501594</v>
      </c>
      <c r="D13" s="2">
        <v>0.35104323743044863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329.53263765108596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3.1731828234480188</v>
      </c>
      <c r="C17" s="2">
        <v>0.84918179652507453</v>
      </c>
      <c r="D17" s="2">
        <v>3.7367532328565658</v>
      </c>
      <c r="E17" s="2">
        <v>2.9186291277831397E-4</v>
      </c>
      <c r="F17" s="2">
        <v>1.4911171171229851</v>
      </c>
      <c r="G17" s="2">
        <v>4.8552485297730525</v>
      </c>
      <c r="H17" s="2">
        <v>1.4911171171229851</v>
      </c>
      <c r="I17" s="2">
        <v>4.8552485297730525</v>
      </c>
    </row>
    <row r="18" spans="1:9" x14ac:dyDescent="0.3">
      <c r="A18" s="2" t="s">
        <v>42</v>
      </c>
      <c r="B18" s="2">
        <v>0.96010877440346809</v>
      </c>
      <c r="C18" s="2">
        <v>4.3729811904641543E-2</v>
      </c>
      <c r="D18" s="2">
        <v>21.955474596989081</v>
      </c>
      <c r="E18" s="2">
        <v>6.1099077052866232E-43</v>
      </c>
      <c r="F18" s="2">
        <v>0.87348843321169856</v>
      </c>
      <c r="G18" s="2">
        <v>1.0467291155952376</v>
      </c>
      <c r="H18" s="2">
        <v>0.87348843321169856</v>
      </c>
      <c r="I18" s="2">
        <v>1.0467291155952376</v>
      </c>
    </row>
    <row r="19" spans="1:9" x14ac:dyDescent="0.3">
      <c r="A19" s="2" t="s">
        <v>43</v>
      </c>
      <c r="B19" s="2">
        <v>6.6533438802921549E-2</v>
      </c>
      <c r="C19" s="2">
        <v>3.173502975365261E-2</v>
      </c>
      <c r="D19" s="2">
        <v>2.0965299014809884</v>
      </c>
      <c r="E19" s="2">
        <v>3.8227649930951436E-2</v>
      </c>
      <c r="F19" s="2">
        <v>3.6724525497294908E-3</v>
      </c>
      <c r="G19" s="2">
        <v>0.12939442505611359</v>
      </c>
      <c r="H19" s="2">
        <v>3.6724525497294908E-3</v>
      </c>
      <c r="I19" s="2">
        <v>0.12939442505611359</v>
      </c>
    </row>
    <row r="20" spans="1:9" ht="15" thickBot="1" x14ac:dyDescent="0.35">
      <c r="A20" s="3" t="s">
        <v>44</v>
      </c>
      <c r="B20" s="3">
        <v>-3.2438681938197855</v>
      </c>
      <c r="C20" s="3">
        <v>0.87689241507147686</v>
      </c>
      <c r="D20" s="3">
        <v>-3.6992772865476011</v>
      </c>
      <c r="E20" s="3">
        <v>3.3314368276214889E-4</v>
      </c>
      <c r="F20" s="3">
        <v>-4.9808233023301867</v>
      </c>
      <c r="G20" s="3">
        <v>-1.5069130853093842</v>
      </c>
      <c r="H20" s="3">
        <v>-4.9808233023301867</v>
      </c>
      <c r="I20" s="3">
        <v>-1.5069130853093842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7.4954232506554321</v>
      </c>
      <c r="C27" s="2">
        <v>-0.74832925065543243</v>
      </c>
    </row>
    <row r="28" spans="1:9" x14ac:dyDescent="0.3">
      <c r="A28" s="2">
        <v>2</v>
      </c>
      <c r="B28" s="2">
        <v>7.2910285118741989</v>
      </c>
      <c r="C28" s="2">
        <v>-0.65519451187419886</v>
      </c>
    </row>
    <row r="29" spans="1:9" x14ac:dyDescent="0.3">
      <c r="A29" s="2">
        <v>3</v>
      </c>
      <c r="B29" s="2">
        <v>7.1686987011114685</v>
      </c>
      <c r="C29" s="2">
        <v>-0.86210770111146839</v>
      </c>
    </row>
    <row r="30" spans="1:9" x14ac:dyDescent="0.3">
      <c r="A30" s="2">
        <v>4</v>
      </c>
      <c r="B30" s="2">
        <v>7.0654272198459243</v>
      </c>
      <c r="C30" s="2">
        <v>-1.0260222198459239</v>
      </c>
    </row>
    <row r="31" spans="1:9" x14ac:dyDescent="0.3">
      <c r="A31" s="2">
        <v>5</v>
      </c>
      <c r="B31" s="2">
        <v>7.0471131198510903</v>
      </c>
      <c r="C31" s="2">
        <v>-1.1067501198510907</v>
      </c>
    </row>
    <row r="32" spans="1:9" x14ac:dyDescent="0.3">
      <c r="A32" s="2">
        <v>6</v>
      </c>
      <c r="B32" s="2">
        <v>6.9065627933344835</v>
      </c>
      <c r="C32" s="2">
        <v>-0.52993279333448395</v>
      </c>
    </row>
    <row r="33" spans="1:3" x14ac:dyDescent="0.3">
      <c r="A33" s="2">
        <v>7</v>
      </c>
      <c r="B33" s="2">
        <v>6.5327760136382205</v>
      </c>
      <c r="C33" s="2">
        <v>0.10781798636177964</v>
      </c>
    </row>
    <row r="34" spans="1:3" x14ac:dyDescent="0.3">
      <c r="A34" s="2">
        <v>8</v>
      </c>
      <c r="B34" s="2">
        <v>6.248456118725235</v>
      </c>
      <c r="C34" s="2">
        <v>0.77651888127476543</v>
      </c>
    </row>
    <row r="35" spans="1:3" x14ac:dyDescent="0.3">
      <c r="A35" s="2">
        <v>9</v>
      </c>
      <c r="B35" s="2">
        <v>6.2457620381089782</v>
      </c>
      <c r="C35" s="2">
        <v>0.88587696189102161</v>
      </c>
    </row>
    <row r="36" spans="1:3" x14ac:dyDescent="0.3">
      <c r="A36" s="2">
        <v>10</v>
      </c>
      <c r="B36" s="2">
        <v>6.7376080927346251</v>
      </c>
      <c r="C36" s="2">
        <v>0.37270090726537486</v>
      </c>
    </row>
    <row r="37" spans="1:3" x14ac:dyDescent="0.3">
      <c r="A37" s="2">
        <v>11</v>
      </c>
      <c r="B37" s="2">
        <v>6.9926049020715855</v>
      </c>
      <c r="C37" s="2">
        <v>0.13958309792841472</v>
      </c>
    </row>
    <row r="38" spans="1:3" x14ac:dyDescent="0.3">
      <c r="A38" s="2">
        <v>12</v>
      </c>
      <c r="B38" s="2">
        <v>7.3417628420429946</v>
      </c>
      <c r="C38" s="2">
        <v>-0.2859428420429948</v>
      </c>
    </row>
    <row r="39" spans="1:3" x14ac:dyDescent="0.3">
      <c r="A39" s="2">
        <v>13</v>
      </c>
      <c r="B39" s="2">
        <v>7.4761523013761177</v>
      </c>
      <c r="C39" s="2">
        <v>-0.39343630137611818</v>
      </c>
    </row>
    <row r="40" spans="1:3" x14ac:dyDescent="0.3">
      <c r="A40" s="2">
        <v>14</v>
      </c>
      <c r="B40" s="2">
        <v>7.5219991309152352</v>
      </c>
      <c r="C40" s="2">
        <v>-0.54096413091523488</v>
      </c>
    </row>
    <row r="41" spans="1:3" x14ac:dyDescent="0.3">
      <c r="A41" s="2">
        <v>15</v>
      </c>
      <c r="B41" s="2">
        <v>7.5739116157268764</v>
      </c>
      <c r="C41" s="2">
        <v>-0.59706661572687647</v>
      </c>
    </row>
    <row r="42" spans="1:3" x14ac:dyDescent="0.3">
      <c r="A42" s="2">
        <v>16</v>
      </c>
      <c r="B42" s="2">
        <v>7.502721764641457</v>
      </c>
      <c r="C42" s="2">
        <v>-0.2989817646414572</v>
      </c>
    </row>
    <row r="43" spans="1:3" x14ac:dyDescent="0.3">
      <c r="A43" s="2">
        <v>17</v>
      </c>
      <c r="B43" s="2">
        <v>7.4526251500819143</v>
      </c>
      <c r="C43" s="2">
        <v>-0.10091815008191407</v>
      </c>
    </row>
    <row r="44" spans="1:3" x14ac:dyDescent="0.3">
      <c r="A44" s="2">
        <v>18</v>
      </c>
      <c r="B44" s="2">
        <v>7.2841072488128304</v>
      </c>
      <c r="C44" s="2">
        <v>0.53762375118716932</v>
      </c>
    </row>
    <row r="45" spans="1:3" x14ac:dyDescent="0.3">
      <c r="A45" s="2">
        <v>19</v>
      </c>
      <c r="B45" s="2">
        <v>7.2643157929604909</v>
      </c>
      <c r="C45" s="2">
        <v>0.8295522070395096</v>
      </c>
    </row>
    <row r="46" spans="1:3" x14ac:dyDescent="0.3">
      <c r="A46" s="2">
        <v>20</v>
      </c>
      <c r="B46" s="2">
        <v>7.525702646285886</v>
      </c>
      <c r="C46" s="2">
        <v>0.67822135371411463</v>
      </c>
    </row>
    <row r="47" spans="1:3" x14ac:dyDescent="0.3">
      <c r="A47" s="2">
        <v>21</v>
      </c>
      <c r="B47" s="2">
        <v>7.6178756288267993</v>
      </c>
      <c r="C47" s="2">
        <v>0.78823537117319997</v>
      </c>
    </row>
    <row r="48" spans="1:3" x14ac:dyDescent="0.3">
      <c r="A48" s="2">
        <v>22</v>
      </c>
      <c r="B48" s="2">
        <v>8.0328751029032013</v>
      </c>
      <c r="C48" s="2">
        <v>0.22473689709679867</v>
      </c>
    </row>
    <row r="49" spans="1:3" x14ac:dyDescent="0.3">
      <c r="A49" s="2">
        <v>23</v>
      </c>
      <c r="B49" s="2">
        <v>8.1782747367164639</v>
      </c>
      <c r="C49" s="2">
        <v>0.34639826328353607</v>
      </c>
    </row>
    <row r="50" spans="1:3" x14ac:dyDescent="0.3">
      <c r="A50" s="2">
        <v>24</v>
      </c>
      <c r="B50" s="2">
        <v>8.1885293019619603</v>
      </c>
      <c r="C50" s="2">
        <v>0.6115656980380404</v>
      </c>
    </row>
    <row r="51" spans="1:3" x14ac:dyDescent="0.3">
      <c r="A51" s="2">
        <v>25</v>
      </c>
      <c r="B51" s="2">
        <v>8.4142790200466528</v>
      </c>
      <c r="C51" s="2">
        <v>0.85882597995334642</v>
      </c>
    </row>
    <row r="52" spans="1:3" x14ac:dyDescent="0.3">
      <c r="A52" s="2">
        <v>26</v>
      </c>
      <c r="B52" s="2">
        <v>8.3359918599410072</v>
      </c>
      <c r="C52" s="2">
        <v>1.3898711400589931</v>
      </c>
    </row>
    <row r="53" spans="1:3" x14ac:dyDescent="0.3">
      <c r="A53" s="2">
        <v>27</v>
      </c>
      <c r="B53" s="2">
        <v>8.486914184228624</v>
      </c>
      <c r="C53" s="2">
        <v>1.4792398157713755</v>
      </c>
    </row>
    <row r="54" spans="1:3" x14ac:dyDescent="0.3">
      <c r="A54" s="2">
        <v>28</v>
      </c>
      <c r="B54" s="2">
        <v>8.6586863974935007</v>
      </c>
      <c r="C54" s="2">
        <v>1.3426536025065001</v>
      </c>
    </row>
    <row r="55" spans="1:3" x14ac:dyDescent="0.3">
      <c r="A55" s="2">
        <v>29</v>
      </c>
      <c r="B55" s="2">
        <v>9.1428811096469378</v>
      </c>
      <c r="C55" s="2">
        <v>1.095158890353062</v>
      </c>
    </row>
    <row r="56" spans="1:3" x14ac:dyDescent="0.3">
      <c r="A56" s="2">
        <v>30</v>
      </c>
      <c r="B56" s="2">
        <v>9.5749465686028135</v>
      </c>
      <c r="C56" s="2">
        <v>0.70643343139718695</v>
      </c>
    </row>
    <row r="57" spans="1:3" x14ac:dyDescent="0.3">
      <c r="A57" s="2">
        <v>31</v>
      </c>
      <c r="B57" s="2">
        <v>9.9016519033833745</v>
      </c>
      <c r="C57" s="2">
        <v>0.45596809661662618</v>
      </c>
    </row>
    <row r="58" spans="1:3" x14ac:dyDescent="0.3">
      <c r="A58" s="2">
        <v>32</v>
      </c>
      <c r="B58" s="2">
        <v>10.015574733599355</v>
      </c>
      <c r="C58" s="2">
        <v>0.41305526640064549</v>
      </c>
    </row>
    <row r="59" spans="1:3" x14ac:dyDescent="0.3">
      <c r="A59" s="2">
        <v>33</v>
      </c>
      <c r="B59" s="2">
        <v>10.056470782445363</v>
      </c>
      <c r="C59" s="2">
        <v>-0.2516787824453619</v>
      </c>
    </row>
    <row r="60" spans="1:3" x14ac:dyDescent="0.3">
      <c r="A60" s="2">
        <v>34</v>
      </c>
      <c r="B60" s="2">
        <v>9.9555370188982781</v>
      </c>
      <c r="C60" s="2">
        <v>-0.13475101889827812</v>
      </c>
    </row>
    <row r="61" spans="1:3" x14ac:dyDescent="0.3">
      <c r="A61" s="2">
        <v>35</v>
      </c>
      <c r="B61" s="2">
        <v>10.033217489923237</v>
      </c>
      <c r="C61" s="2">
        <v>-0.42171548992323693</v>
      </c>
    </row>
    <row r="62" spans="1:3" x14ac:dyDescent="0.3">
      <c r="A62" s="2">
        <v>36</v>
      </c>
      <c r="B62" s="2">
        <v>10.076023674454007</v>
      </c>
      <c r="C62" s="2">
        <v>-1.0165406744540064</v>
      </c>
    </row>
    <row r="63" spans="1:3" x14ac:dyDescent="0.3">
      <c r="A63" s="2">
        <v>37</v>
      </c>
      <c r="B63" s="2">
        <v>9.4927105788002084</v>
      </c>
      <c r="C63" s="2">
        <v>-0.46442957880020863</v>
      </c>
    </row>
    <row r="64" spans="1:3" x14ac:dyDescent="0.3">
      <c r="A64" s="2">
        <v>38</v>
      </c>
      <c r="B64" s="2">
        <v>9.5164570550973817</v>
      </c>
      <c r="C64" s="2">
        <v>-0.70365705509738241</v>
      </c>
    </row>
    <row r="65" spans="1:3" x14ac:dyDescent="0.3">
      <c r="A65" s="2">
        <v>39</v>
      </c>
      <c r="B65" s="2">
        <v>9.1825806830483625</v>
      </c>
      <c r="C65" s="2">
        <v>-0.55466568304836272</v>
      </c>
    </row>
    <row r="66" spans="1:3" x14ac:dyDescent="0.3">
      <c r="A66" s="2">
        <v>40</v>
      </c>
      <c r="B66" s="2">
        <v>8.5235786030157783</v>
      </c>
      <c r="C66" s="2">
        <v>0.42646339698422153</v>
      </c>
    </row>
    <row r="67" spans="1:3" x14ac:dyDescent="0.3">
      <c r="A67" s="2">
        <v>41</v>
      </c>
      <c r="B67" s="2">
        <v>8.4816198012535633</v>
      </c>
      <c r="C67" s="2">
        <v>0.5351291987464375</v>
      </c>
    </row>
    <row r="68" spans="1:3" x14ac:dyDescent="0.3">
      <c r="A68" s="2">
        <v>42</v>
      </c>
      <c r="B68" s="2">
        <v>8.2838096086566182</v>
      </c>
      <c r="C68" s="2">
        <v>0.55558939134338203</v>
      </c>
    </row>
    <row r="69" spans="1:3" x14ac:dyDescent="0.3">
      <c r="A69" s="2">
        <v>43</v>
      </c>
      <c r="B69" s="2">
        <v>8.0857501565518213</v>
      </c>
      <c r="C69" s="2">
        <v>0.80948584344817931</v>
      </c>
    </row>
    <row r="70" spans="1:3" x14ac:dyDescent="0.3">
      <c r="A70" s="2">
        <v>44</v>
      </c>
      <c r="B70" s="2">
        <v>8.3642281482113781</v>
      </c>
      <c r="C70" s="2">
        <v>1.6388517886216647E-3</v>
      </c>
    </row>
    <row r="71" spans="1:3" x14ac:dyDescent="0.3">
      <c r="A71" s="2">
        <v>45</v>
      </c>
      <c r="B71" s="2">
        <v>8.5725995881469199</v>
      </c>
      <c r="C71" s="2">
        <v>-0.60340358814691974</v>
      </c>
    </row>
    <row r="72" spans="1:3" x14ac:dyDescent="0.3">
      <c r="A72" s="2">
        <v>46</v>
      </c>
      <c r="B72" s="2">
        <v>8.5561560245563317</v>
      </c>
      <c r="C72" s="2">
        <v>-0.52176302455633206</v>
      </c>
    </row>
    <row r="73" spans="1:3" x14ac:dyDescent="0.3">
      <c r="A73" s="2">
        <v>47</v>
      </c>
      <c r="B73" s="2">
        <v>8.7516057191141474</v>
      </c>
      <c r="C73" s="2">
        <v>-1.0164087191141471</v>
      </c>
    </row>
    <row r="74" spans="1:3" x14ac:dyDescent="0.3">
      <c r="A74" s="2">
        <v>48</v>
      </c>
      <c r="B74" s="2">
        <v>8.3762462437965759</v>
      </c>
      <c r="C74" s="2">
        <v>-0.56588424379657631</v>
      </c>
    </row>
    <row r="75" spans="1:3" x14ac:dyDescent="0.3">
      <c r="A75" s="2">
        <v>49</v>
      </c>
      <c r="B75" s="2">
        <v>7.8007798712232184</v>
      </c>
      <c r="C75" s="2">
        <v>-3.353587122321855E-2</v>
      </c>
    </row>
    <row r="76" spans="1:3" x14ac:dyDescent="0.3">
      <c r="A76" s="2">
        <v>50</v>
      </c>
      <c r="B76" s="2">
        <v>7.6141292596472407</v>
      </c>
      <c r="C76" s="2">
        <v>2.2268740352759053E-2</v>
      </c>
    </row>
    <row r="77" spans="1:3" x14ac:dyDescent="0.3">
      <c r="A77" s="2">
        <v>51</v>
      </c>
      <c r="B77" s="2">
        <v>7.0882996342621025</v>
      </c>
      <c r="C77" s="2">
        <v>0.70262636573789727</v>
      </c>
    </row>
    <row r="78" spans="1:3" x14ac:dyDescent="0.3">
      <c r="A78" s="2">
        <v>52</v>
      </c>
      <c r="B78" s="2">
        <v>7.1130017006424566</v>
      </c>
      <c r="C78" s="2">
        <v>0.96947629935754343</v>
      </c>
    </row>
    <row r="79" spans="1:3" x14ac:dyDescent="0.3">
      <c r="A79" s="2">
        <v>53</v>
      </c>
      <c r="B79" s="2">
        <v>7.1567093992162878</v>
      </c>
      <c r="C79" s="2">
        <v>1.0176696007837123</v>
      </c>
    </row>
    <row r="80" spans="1:3" x14ac:dyDescent="0.3">
      <c r="A80" s="2">
        <v>54</v>
      </c>
      <c r="B80" s="2">
        <v>7.3083876240078443</v>
      </c>
      <c r="C80" s="2">
        <v>1.0722993759921557</v>
      </c>
    </row>
    <row r="81" spans="1:3" x14ac:dyDescent="0.3">
      <c r="A81" s="2">
        <v>55</v>
      </c>
      <c r="B81" s="2">
        <v>7.6054334663020136</v>
      </c>
      <c r="C81" s="2">
        <v>0.91268453369798586</v>
      </c>
    </row>
    <row r="82" spans="1:3" x14ac:dyDescent="0.3">
      <c r="A82" s="2">
        <v>56</v>
      </c>
      <c r="B82" s="2">
        <v>8.0726638857288755</v>
      </c>
      <c r="C82" s="2">
        <v>0.53963711427112493</v>
      </c>
    </row>
    <row r="83" spans="1:3" x14ac:dyDescent="0.3">
      <c r="A83" s="2">
        <v>57</v>
      </c>
      <c r="B83" s="2">
        <v>8.2586012941868336</v>
      </c>
      <c r="C83" s="2">
        <v>0.45818170581316586</v>
      </c>
    </row>
    <row r="84" spans="1:3" x14ac:dyDescent="0.3">
      <c r="A84" s="2">
        <v>58</v>
      </c>
      <c r="B84" s="2">
        <v>8.4272277943964866</v>
      </c>
      <c r="C84" s="2">
        <v>-4.6023794396486295E-2</v>
      </c>
    </row>
    <row r="85" spans="1:3" x14ac:dyDescent="0.3">
      <c r="A85" s="2">
        <v>59</v>
      </c>
      <c r="B85" s="2">
        <v>8.409737789149645</v>
      </c>
      <c r="C85" s="2">
        <v>-0.22783278914964455</v>
      </c>
    </row>
    <row r="86" spans="1:3" x14ac:dyDescent="0.3">
      <c r="A86" s="2">
        <v>60</v>
      </c>
      <c r="B86" s="2">
        <v>8.3288314292675061</v>
      </c>
      <c r="C86" s="2">
        <v>-0.40558242926750587</v>
      </c>
    </row>
    <row r="87" spans="1:3" x14ac:dyDescent="0.3">
      <c r="A87" s="2">
        <v>61</v>
      </c>
      <c r="B87" s="2">
        <v>8.4619069216501384</v>
      </c>
      <c r="C87" s="2">
        <v>-0.55774292165013861</v>
      </c>
    </row>
    <row r="88" spans="1:3" x14ac:dyDescent="0.3">
      <c r="A88" s="2">
        <v>62</v>
      </c>
      <c r="B88" s="2">
        <v>8.1411153606610593</v>
      </c>
      <c r="C88" s="2">
        <v>-0.19391936066105941</v>
      </c>
    </row>
    <row r="89" spans="1:3" x14ac:dyDescent="0.3">
      <c r="A89" s="2">
        <v>63</v>
      </c>
      <c r="B89" s="2">
        <v>8.1714110061887268</v>
      </c>
      <c r="C89" s="2">
        <v>-0.28200900618872726</v>
      </c>
    </row>
    <row r="90" spans="1:3" x14ac:dyDescent="0.3">
      <c r="A90" s="2">
        <v>64</v>
      </c>
      <c r="B90" s="2">
        <v>7.9554568169880095</v>
      </c>
      <c r="C90" s="2">
        <v>-0.10802081698800947</v>
      </c>
    </row>
    <row r="91" spans="1:3" x14ac:dyDescent="0.3">
      <c r="A91" s="2">
        <v>65</v>
      </c>
      <c r="B91" s="2">
        <v>7.8624653548883057</v>
      </c>
      <c r="C91" s="2">
        <v>-7.6752354888305341E-2</v>
      </c>
    </row>
    <row r="92" spans="1:3" x14ac:dyDescent="0.3">
      <c r="A92" s="2">
        <v>66</v>
      </c>
      <c r="B92" s="2">
        <v>7.9042840503932208</v>
      </c>
      <c r="C92" s="2">
        <v>-0.49148605039322035</v>
      </c>
    </row>
    <row r="93" spans="1:3" x14ac:dyDescent="0.3">
      <c r="A93" s="2">
        <v>67</v>
      </c>
      <c r="B93" s="2">
        <v>7.7778190485179888</v>
      </c>
      <c r="C93" s="2">
        <v>-0.49295104851798843</v>
      </c>
    </row>
    <row r="94" spans="1:3" x14ac:dyDescent="0.3">
      <c r="A94" s="2">
        <v>68</v>
      </c>
      <c r="B94" s="2">
        <v>7.6622961040939428</v>
      </c>
      <c r="C94" s="2">
        <v>-0.65942510409394295</v>
      </c>
    </row>
    <row r="95" spans="1:3" x14ac:dyDescent="0.3">
      <c r="A95" s="2">
        <v>69</v>
      </c>
      <c r="B95" s="2">
        <v>7.5903004569470482</v>
      </c>
      <c r="C95" s="2">
        <v>-0.84275045694704787</v>
      </c>
    </row>
    <row r="96" spans="1:3" x14ac:dyDescent="0.3">
      <c r="A96" s="2">
        <v>70</v>
      </c>
      <c r="B96" s="2">
        <v>7.2060965696086896</v>
      </c>
      <c r="C96" s="2">
        <v>-0.45107256960868991</v>
      </c>
    </row>
    <row r="97" spans="1:3" x14ac:dyDescent="0.3">
      <c r="A97" s="2">
        <v>71</v>
      </c>
      <c r="B97" s="2">
        <v>7.0401725412603611</v>
      </c>
      <c r="C97" s="2">
        <v>-0.70678454126036083</v>
      </c>
    </row>
    <row r="98" spans="1:3" x14ac:dyDescent="0.3">
      <c r="A98" s="2">
        <v>72</v>
      </c>
      <c r="B98" s="2">
        <v>6.7549984374712055</v>
      </c>
      <c r="C98" s="2">
        <v>-0.68394943747120518</v>
      </c>
    </row>
    <row r="99" spans="1:3" x14ac:dyDescent="0.3">
      <c r="A99" s="2">
        <v>73</v>
      </c>
      <c r="B99" s="2">
        <v>6.4366902964333983</v>
      </c>
      <c r="C99" s="2">
        <v>-0.78003129643339797</v>
      </c>
    </row>
    <row r="100" spans="1:3" x14ac:dyDescent="0.3">
      <c r="A100" s="2">
        <v>74</v>
      </c>
      <c r="B100" s="2">
        <v>6.5134547439768919</v>
      </c>
      <c r="C100" s="2">
        <v>-1.2426847439768922</v>
      </c>
    </row>
    <row r="101" spans="1:3" x14ac:dyDescent="0.3">
      <c r="A101" s="2">
        <v>75</v>
      </c>
      <c r="B101" s="2">
        <v>6.1292302218997889</v>
      </c>
      <c r="C101" s="2">
        <v>-0.91495222189978875</v>
      </c>
    </row>
    <row r="102" spans="1:3" x14ac:dyDescent="0.3">
      <c r="A102" s="2">
        <v>76</v>
      </c>
      <c r="B102" s="2">
        <v>5.8972509663010122</v>
      </c>
      <c r="C102" s="2">
        <v>-0.78112196630101227</v>
      </c>
    </row>
    <row r="103" spans="1:3" x14ac:dyDescent="0.3">
      <c r="A103" s="2">
        <v>77</v>
      </c>
      <c r="B103" s="2">
        <v>5.5551881251880371</v>
      </c>
      <c r="C103" s="2">
        <v>-0.43590412518803667</v>
      </c>
    </row>
    <row r="104" spans="1:3" x14ac:dyDescent="0.3">
      <c r="A104" s="2">
        <v>78</v>
      </c>
      <c r="B104" s="2">
        <v>5.1904709888900991</v>
      </c>
      <c r="C104" s="2">
        <v>-0.12329698889009943</v>
      </c>
    </row>
    <row r="105" spans="1:3" x14ac:dyDescent="0.3">
      <c r="A105" s="2">
        <v>79</v>
      </c>
      <c r="B105" s="2">
        <v>5.1031023157838327</v>
      </c>
      <c r="C105" s="2">
        <v>-0.17311831578383252</v>
      </c>
    </row>
    <row r="106" spans="1:3" x14ac:dyDescent="0.3">
      <c r="A106" s="2">
        <v>80</v>
      </c>
      <c r="B106" s="2">
        <v>4.9403665279975053</v>
      </c>
      <c r="C106" s="2">
        <v>-4.12252799750501E-3</v>
      </c>
    </row>
    <row r="107" spans="1:3" x14ac:dyDescent="0.3">
      <c r="A107" s="2">
        <v>81</v>
      </c>
      <c r="B107" s="2">
        <v>5.0325751853454266</v>
      </c>
      <c r="C107" s="2">
        <v>-0.17664618534542686</v>
      </c>
    </row>
    <row r="108" spans="1:3" x14ac:dyDescent="0.3">
      <c r="A108" s="2">
        <v>82</v>
      </c>
      <c r="B108" s="2">
        <v>5.0291311875818572</v>
      </c>
      <c r="C108" s="2">
        <v>-0.2152051875818568</v>
      </c>
    </row>
    <row r="109" spans="1:3" x14ac:dyDescent="0.3">
      <c r="A109" s="2">
        <v>83</v>
      </c>
      <c r="B109" s="2">
        <v>4.9290913031890664</v>
      </c>
      <c r="C109" s="2">
        <v>-0.10390530318906599</v>
      </c>
    </row>
    <row r="110" spans="1:3" x14ac:dyDescent="0.3">
      <c r="A110" s="2">
        <v>84</v>
      </c>
      <c r="B110" s="2">
        <v>4.9879636193244234</v>
      </c>
      <c r="C110" s="2">
        <v>-5.4799619324423787E-2</v>
      </c>
    </row>
    <row r="111" spans="1:3" x14ac:dyDescent="0.3">
      <c r="A111" s="2">
        <v>85</v>
      </c>
      <c r="B111" s="2">
        <v>5.083026457165758</v>
      </c>
      <c r="C111" s="2">
        <v>0.14691054283424165</v>
      </c>
    </row>
    <row r="112" spans="1:3" x14ac:dyDescent="0.3">
      <c r="A112" s="2">
        <v>86</v>
      </c>
      <c r="B112" s="2">
        <v>5.2520570818243062</v>
      </c>
      <c r="C112" s="2">
        <v>0.25582091817569363</v>
      </c>
    </row>
    <row r="113" spans="1:3" x14ac:dyDescent="0.3">
      <c r="A113" s="2">
        <v>87</v>
      </c>
      <c r="B113" s="2">
        <v>5.2275988112886447</v>
      </c>
      <c r="C113" s="2">
        <v>0.57383918871135542</v>
      </c>
    </row>
    <row r="114" spans="1:3" x14ac:dyDescent="0.3">
      <c r="A114" s="2">
        <v>88</v>
      </c>
      <c r="B114" s="2">
        <v>5.3371394268641357</v>
      </c>
      <c r="C114" s="2">
        <v>0.71788157313586431</v>
      </c>
    </row>
    <row r="115" spans="1:3" x14ac:dyDescent="0.3">
      <c r="A115" s="2">
        <v>89</v>
      </c>
      <c r="B115" s="2">
        <v>5.4481404611109721</v>
      </c>
      <c r="C115" s="2">
        <v>0.69497753888902825</v>
      </c>
    </row>
    <row r="116" spans="1:3" x14ac:dyDescent="0.3">
      <c r="A116" s="2">
        <v>90</v>
      </c>
      <c r="B116" s="2">
        <v>5.5729350981956909</v>
      </c>
      <c r="C116" s="2">
        <v>0.71365390180430932</v>
      </c>
    </row>
    <row r="117" spans="1:3" x14ac:dyDescent="0.3">
      <c r="A117" s="2">
        <v>91</v>
      </c>
      <c r="B117" s="2">
        <v>5.9188225238470533</v>
      </c>
      <c r="C117" s="2">
        <v>0.46320147615294704</v>
      </c>
    </row>
    <row r="118" spans="1:3" x14ac:dyDescent="0.3">
      <c r="A118" s="2">
        <v>92</v>
      </c>
      <c r="B118" s="2">
        <v>6.1309759255821898</v>
      </c>
      <c r="C118" s="2">
        <v>-8.7585925582190249E-2</v>
      </c>
    </row>
    <row r="119" spans="1:3" x14ac:dyDescent="0.3">
      <c r="A119" s="2">
        <v>93</v>
      </c>
      <c r="B119" s="2">
        <v>6.2856029493784273</v>
      </c>
      <c r="C119" s="2">
        <v>-0.28176094937842766</v>
      </c>
    </row>
    <row r="120" spans="1:3" x14ac:dyDescent="0.3">
      <c r="A120" s="2">
        <v>94</v>
      </c>
      <c r="B120" s="2">
        <v>6.297024696050137</v>
      </c>
      <c r="C120" s="2">
        <v>-0.23389469605013691</v>
      </c>
    </row>
    <row r="121" spans="1:3" x14ac:dyDescent="0.3">
      <c r="A121" s="2">
        <v>95</v>
      </c>
      <c r="B121" s="2">
        <v>6.3344046028732244</v>
      </c>
      <c r="C121" s="2">
        <v>-0.48296260287322479</v>
      </c>
    </row>
    <row r="122" spans="1:3" x14ac:dyDescent="0.3">
      <c r="A122" s="2">
        <v>96</v>
      </c>
      <c r="B122" s="2">
        <v>5.9685101291728122</v>
      </c>
      <c r="C122" s="2">
        <v>0.27645787082718787</v>
      </c>
    </row>
    <row r="123" spans="1:3" x14ac:dyDescent="0.3">
      <c r="A123" s="2">
        <v>97</v>
      </c>
      <c r="B123" s="2">
        <v>5.7330988437665855</v>
      </c>
      <c r="C123" s="2">
        <v>0.45650915623341426</v>
      </c>
    </row>
    <row r="124" spans="1:3" x14ac:dyDescent="0.3">
      <c r="A124" s="2">
        <v>98</v>
      </c>
      <c r="B124" s="2">
        <v>5.885469949256664</v>
      </c>
      <c r="C124" s="2">
        <v>0.11937005074333573</v>
      </c>
    </row>
    <row r="125" spans="1:3" x14ac:dyDescent="0.3">
      <c r="A125" s="2">
        <v>99</v>
      </c>
      <c r="B125" s="2">
        <v>5.5924213044494611</v>
      </c>
      <c r="C125" s="2">
        <v>0.45064169555053901</v>
      </c>
    </row>
    <row r="126" spans="1:3" x14ac:dyDescent="0.3">
      <c r="A126" s="2">
        <v>100</v>
      </c>
      <c r="B126" s="2">
        <v>5.7529176158071591</v>
      </c>
      <c r="C126" s="2">
        <v>4.0519384192840846E-2</v>
      </c>
    </row>
    <row r="127" spans="1:3" x14ac:dyDescent="0.3">
      <c r="A127" s="2">
        <v>101</v>
      </c>
      <c r="B127" s="2">
        <v>5.8161157555708183</v>
      </c>
      <c r="C127" s="2">
        <v>-0.10145675557081812</v>
      </c>
    </row>
    <row r="128" spans="1:3" x14ac:dyDescent="0.3">
      <c r="A128" s="2">
        <v>102</v>
      </c>
      <c r="B128" s="2">
        <v>5.5465650060061877</v>
      </c>
      <c r="C128" s="2">
        <v>-4.5423006006187983E-2</v>
      </c>
    </row>
    <row r="129" spans="1:3" x14ac:dyDescent="0.3">
      <c r="A129" s="2">
        <v>103</v>
      </c>
      <c r="B129" s="2">
        <v>5.6358277638872405</v>
      </c>
      <c r="C129" s="2">
        <v>-0.33162176388724074</v>
      </c>
    </row>
    <row r="130" spans="1:3" x14ac:dyDescent="0.3">
      <c r="A130" s="2">
        <v>104</v>
      </c>
      <c r="B130" s="2">
        <v>5.5950449157714894</v>
      </c>
      <c r="C130" s="2">
        <v>-0.39356091577148966</v>
      </c>
    </row>
    <row r="131" spans="1:3" x14ac:dyDescent="0.3">
      <c r="A131" s="2">
        <v>105</v>
      </c>
      <c r="B131" s="2">
        <v>5.533977673364646</v>
      </c>
      <c r="C131" s="2">
        <v>-0.44731067336464569</v>
      </c>
    </row>
    <row r="132" spans="1:3" x14ac:dyDescent="0.3">
      <c r="A132" s="2">
        <v>106</v>
      </c>
      <c r="B132" s="2">
        <v>5.2998295642668136</v>
      </c>
      <c r="C132" s="2">
        <v>-0.38052756426681356</v>
      </c>
    </row>
    <row r="133" spans="1:3" x14ac:dyDescent="0.3">
      <c r="A133" s="2">
        <v>107</v>
      </c>
      <c r="B133" s="2">
        <v>5.1265847028942773</v>
      </c>
      <c r="C133" s="2">
        <v>-0.2550947028942776</v>
      </c>
    </row>
    <row r="134" spans="1:3" x14ac:dyDescent="0.3">
      <c r="A134" s="2">
        <v>108</v>
      </c>
      <c r="B134" s="2">
        <v>5.0158428242840323</v>
      </c>
      <c r="C134" s="2">
        <v>-0.26431482428403186</v>
      </c>
    </row>
    <row r="135" spans="1:3" x14ac:dyDescent="0.3">
      <c r="A135" s="2">
        <v>109</v>
      </c>
      <c r="B135" s="2">
        <v>4.8634849409511141</v>
      </c>
      <c r="C135" s="2">
        <v>-0.16061494095111417</v>
      </c>
    </row>
    <row r="136" spans="1:3" x14ac:dyDescent="0.3">
      <c r="A136" s="2">
        <v>110</v>
      </c>
      <c r="B136" s="2">
        <v>4.6791929312435663</v>
      </c>
      <c r="C136" s="2">
        <v>8.9383068756434092E-2</v>
      </c>
    </row>
    <row r="137" spans="1:3" x14ac:dyDescent="0.3">
      <c r="A137" s="2">
        <v>111</v>
      </c>
      <c r="B137" s="2">
        <v>4.5341767007149336</v>
      </c>
      <c r="C137" s="2">
        <v>0.23128129928506613</v>
      </c>
    </row>
    <row r="138" spans="1:3" x14ac:dyDescent="0.3">
      <c r="A138" s="2">
        <v>112</v>
      </c>
      <c r="B138" s="2">
        <v>4.375553118332455</v>
      </c>
      <c r="C138" s="2">
        <v>0.30317488166754547</v>
      </c>
    </row>
    <row r="139" spans="1:3" x14ac:dyDescent="0.3">
      <c r="A139" s="2">
        <v>113</v>
      </c>
      <c r="B139" s="2">
        <v>4.328921739654187</v>
      </c>
      <c r="C139" s="2">
        <v>0.18698626034581256</v>
      </c>
    </row>
    <row r="140" spans="1:3" x14ac:dyDescent="0.3">
      <c r="A140" s="2">
        <v>114</v>
      </c>
      <c r="B140" s="2">
        <v>4.410728489329319</v>
      </c>
      <c r="C140" s="2">
        <v>-2.8085489329319202E-2</v>
      </c>
    </row>
    <row r="141" spans="1:3" x14ac:dyDescent="0.3">
      <c r="A141" s="2">
        <v>115</v>
      </c>
      <c r="B141" s="2">
        <v>4.4523976185587184</v>
      </c>
      <c r="C141" s="2">
        <v>-8.5828618558718262E-2</v>
      </c>
    </row>
    <row r="142" spans="1:3" x14ac:dyDescent="0.3">
      <c r="A142" s="2">
        <v>116</v>
      </c>
      <c r="B142" s="2">
        <v>4.4432643989682745</v>
      </c>
      <c r="C142" s="2">
        <v>-4.5972398968274319E-2</v>
      </c>
    </row>
    <row r="143" spans="1:3" x14ac:dyDescent="0.3">
      <c r="A143" s="2">
        <v>117</v>
      </c>
      <c r="B143" s="2">
        <v>4.3491728552329141</v>
      </c>
      <c r="C143" s="2">
        <v>2.4021144767085723E-2</v>
      </c>
    </row>
    <row r="144" spans="1:3" x14ac:dyDescent="0.3">
      <c r="A144" s="2">
        <v>118</v>
      </c>
      <c r="B144" s="2">
        <v>4.1825284185761005</v>
      </c>
      <c r="C144" s="2">
        <v>0.2351115814238991</v>
      </c>
    </row>
    <row r="145" spans="1:3" ht="15" thickBot="1" x14ac:dyDescent="0.35">
      <c r="A145" s="3">
        <v>119</v>
      </c>
      <c r="B145" s="3">
        <v>4.2005654290331549</v>
      </c>
      <c r="C145" s="3">
        <v>0.24925757096684542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33A5-D3C2-4214-BF72-6D6512772A06}">
  <dimension ref="A1:I146"/>
  <sheetViews>
    <sheetView tabSelected="1" workbookViewId="0">
      <selection sqref="A1:I146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0.94062230757543996</v>
      </c>
    </row>
    <row r="5" spans="1:9" x14ac:dyDescent="0.3">
      <c r="A5" s="2" t="s">
        <v>21</v>
      </c>
      <c r="B5" s="2">
        <v>0.88477032550854551</v>
      </c>
    </row>
    <row r="6" spans="1:9" x14ac:dyDescent="0.3">
      <c r="A6" s="2" t="s">
        <v>22</v>
      </c>
      <c r="B6" s="2">
        <v>0.88072717903516118</v>
      </c>
    </row>
    <row r="7" spans="1:9" x14ac:dyDescent="0.3">
      <c r="A7" s="2" t="s">
        <v>23</v>
      </c>
      <c r="B7" s="2">
        <v>0.577137055166283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291.56069908024091</v>
      </c>
      <c r="D12" s="2">
        <v>72.890174770060227</v>
      </c>
      <c r="E12" s="2">
        <v>218.83212278677038</v>
      </c>
      <c r="F12" s="2">
        <v>1.6611151497978125E-52</v>
      </c>
    </row>
    <row r="13" spans="1:9" x14ac:dyDescent="0.3">
      <c r="A13" s="2" t="s">
        <v>27</v>
      </c>
      <c r="B13" s="2">
        <v>114</v>
      </c>
      <c r="C13" s="2">
        <v>37.971938570845047</v>
      </c>
      <c r="D13" s="2">
        <v>0.33308718044600921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329.53263765108596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17.825573245344053</v>
      </c>
      <c r="C17" s="2">
        <v>5.5231372848714937</v>
      </c>
      <c r="D17" s="2">
        <v>3.2274362062609492</v>
      </c>
      <c r="E17" s="2">
        <v>1.6311089380587364E-3</v>
      </c>
      <c r="F17" s="2">
        <v>6.8842808233503234</v>
      </c>
      <c r="G17" s="2">
        <v>28.766865667337782</v>
      </c>
      <c r="H17" s="2">
        <v>6.8842808233503234</v>
      </c>
      <c r="I17" s="2">
        <v>28.766865667337782</v>
      </c>
    </row>
    <row r="18" spans="1:9" x14ac:dyDescent="0.3">
      <c r="A18" s="2" t="s">
        <v>42</v>
      </c>
      <c r="B18" s="2">
        <v>0.92675316139772834</v>
      </c>
      <c r="C18" s="2">
        <v>4.4373655137938929E-2</v>
      </c>
      <c r="D18" s="2">
        <v>20.885211247909254</v>
      </c>
      <c r="E18" s="2">
        <v>9.0415159569588539E-41</v>
      </c>
      <c r="F18" s="2">
        <v>0.83884929233643435</v>
      </c>
      <c r="G18" s="2">
        <v>1.0146570304590223</v>
      </c>
      <c r="H18" s="2">
        <v>0.83884929233643435</v>
      </c>
      <c r="I18" s="2">
        <v>1.0146570304590223</v>
      </c>
    </row>
    <row r="19" spans="1:9" x14ac:dyDescent="0.3">
      <c r="A19" s="2" t="s">
        <v>43</v>
      </c>
      <c r="B19" s="2">
        <v>0.14196105650291291</v>
      </c>
      <c r="C19" s="2">
        <v>4.1783319415968835E-2</v>
      </c>
      <c r="D19" s="2">
        <v>3.3975533415532788</v>
      </c>
      <c r="E19" s="2">
        <v>9.3710337753082334E-4</v>
      </c>
      <c r="F19" s="2">
        <v>5.9188622556013454E-2</v>
      </c>
      <c r="G19" s="2">
        <v>0.22473349044981236</v>
      </c>
      <c r="H19" s="2">
        <v>5.9188622556013454E-2</v>
      </c>
      <c r="I19" s="2">
        <v>0.22473349044981236</v>
      </c>
    </row>
    <row r="20" spans="1:9" x14ac:dyDescent="0.3">
      <c r="A20" s="2" t="s">
        <v>44</v>
      </c>
      <c r="B20" s="2">
        <v>-2.8622993702681772</v>
      </c>
      <c r="C20" s="2">
        <v>0.86592823833003452</v>
      </c>
      <c r="D20" s="2">
        <v>-3.3054694876196637</v>
      </c>
      <c r="E20" s="2">
        <v>1.2680671867279659E-3</v>
      </c>
      <c r="F20" s="2">
        <v>-4.5776965409997796</v>
      </c>
      <c r="G20" s="2">
        <v>-1.1469021995365742</v>
      </c>
      <c r="H20" s="2">
        <v>-4.5776965409997796</v>
      </c>
      <c r="I20" s="2">
        <v>-1.1469021995365742</v>
      </c>
    </row>
    <row r="21" spans="1:9" ht="15" thickBot="1" x14ac:dyDescent="0.35">
      <c r="A21" s="3" t="s">
        <v>61</v>
      </c>
      <c r="B21" s="3">
        <v>-14.793387212011226</v>
      </c>
      <c r="C21" s="3">
        <v>5.5133928664728415</v>
      </c>
      <c r="D21" s="3">
        <v>-2.6831730606339326</v>
      </c>
      <c r="E21" s="3">
        <v>8.3780362388839093E-3</v>
      </c>
      <c r="F21" s="3">
        <v>-25.715376016208971</v>
      </c>
      <c r="G21" s="3">
        <v>-3.87139840781348</v>
      </c>
      <c r="H21" s="3">
        <v>-25.715376016208971</v>
      </c>
      <c r="I21" s="3">
        <v>-3.87139840781348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7.5374310671927098</v>
      </c>
      <c r="C28" s="2">
        <v>-0.79033706719271013</v>
      </c>
    </row>
    <row r="29" spans="1:9" x14ac:dyDescent="0.3">
      <c r="A29" s="2">
        <v>2</v>
      </c>
      <c r="B29" s="2">
        <v>7.3752547136470863</v>
      </c>
      <c r="C29" s="2">
        <v>-0.73942071364708628</v>
      </c>
    </row>
    <row r="30" spans="1:9" x14ac:dyDescent="0.3">
      <c r="A30" s="2">
        <v>3</v>
      </c>
      <c r="B30" s="2">
        <v>7.2491283160814355</v>
      </c>
      <c r="C30" s="2">
        <v>-0.94253731608143543</v>
      </c>
    </row>
    <row r="31" spans="1:9" x14ac:dyDescent="0.3">
      <c r="A31" s="2">
        <v>4</v>
      </c>
      <c r="B31" s="2">
        <v>7.1149572150278058</v>
      </c>
      <c r="C31" s="2">
        <v>-1.0755522150278054</v>
      </c>
    </row>
    <row r="32" spans="1:9" x14ac:dyDescent="0.3">
      <c r="A32" s="2">
        <v>5</v>
      </c>
      <c r="B32" s="2">
        <v>7.0627533479079379</v>
      </c>
      <c r="C32" s="2">
        <v>-1.1223903479079382</v>
      </c>
    </row>
    <row r="33" spans="1:3" x14ac:dyDescent="0.3">
      <c r="A33" s="2">
        <v>6</v>
      </c>
      <c r="B33" s="2">
        <v>6.8202621582079281</v>
      </c>
      <c r="C33" s="2">
        <v>-0.44363215820792856</v>
      </c>
    </row>
    <row r="34" spans="1:3" x14ac:dyDescent="0.3">
      <c r="A34" s="2">
        <v>7</v>
      </c>
      <c r="B34" s="2">
        <v>6.4772925834164514</v>
      </c>
      <c r="C34" s="2">
        <v>0.16330141658354869</v>
      </c>
    </row>
    <row r="35" spans="1:3" x14ac:dyDescent="0.3">
      <c r="A35" s="2">
        <v>8</v>
      </c>
      <c r="B35" s="2">
        <v>6.2000949038521878</v>
      </c>
      <c r="C35" s="2">
        <v>0.82488009614781266</v>
      </c>
    </row>
    <row r="36" spans="1:3" x14ac:dyDescent="0.3">
      <c r="A36" s="2">
        <v>9</v>
      </c>
      <c r="B36" s="2">
        <v>6.1432771299823408</v>
      </c>
      <c r="C36" s="2">
        <v>0.98836187001765907</v>
      </c>
    </row>
    <row r="37" spans="1:3" x14ac:dyDescent="0.3">
      <c r="A37" s="2">
        <v>10</v>
      </c>
      <c r="B37" s="2">
        <v>6.728894103437371</v>
      </c>
      <c r="C37" s="2">
        <v>0.38141489656262895</v>
      </c>
    </row>
    <row r="38" spans="1:3" x14ac:dyDescent="0.3">
      <c r="A38" s="2">
        <v>11</v>
      </c>
      <c r="B38" s="2">
        <v>6.8320349975774981</v>
      </c>
      <c r="C38" s="2">
        <v>0.30015300242250209</v>
      </c>
    </row>
    <row r="39" spans="1:3" x14ac:dyDescent="0.3">
      <c r="A39" s="2">
        <v>12</v>
      </c>
      <c r="B39" s="2">
        <v>7.0407958185882897</v>
      </c>
      <c r="C39" s="2">
        <v>1.5024181411710025E-2</v>
      </c>
    </row>
    <row r="40" spans="1:3" x14ac:dyDescent="0.3">
      <c r="A40" s="2">
        <v>13</v>
      </c>
      <c r="B40" s="2">
        <v>7.2865092456060463</v>
      </c>
      <c r="C40" s="2">
        <v>-0.20379324560604672</v>
      </c>
    </row>
    <row r="41" spans="1:3" x14ac:dyDescent="0.3">
      <c r="A41" s="2">
        <v>14</v>
      </c>
      <c r="B41" s="2">
        <v>7.3947962445512978</v>
      </c>
      <c r="C41" s="2">
        <v>-0.41376124455129748</v>
      </c>
    </row>
    <row r="42" spans="1:3" x14ac:dyDescent="0.3">
      <c r="A42" s="2">
        <v>15</v>
      </c>
      <c r="B42" s="2">
        <v>7.5748712705249872</v>
      </c>
      <c r="C42" s="2">
        <v>-0.59802627052498725</v>
      </c>
    </row>
    <row r="43" spans="1:3" x14ac:dyDescent="0.3">
      <c r="A43" s="2">
        <v>16</v>
      </c>
      <c r="B43" s="2">
        <v>7.5867734318628184</v>
      </c>
      <c r="C43" s="2">
        <v>-0.38303343186281857</v>
      </c>
    </row>
    <row r="44" spans="1:3" x14ac:dyDescent="0.3">
      <c r="A44" s="2">
        <v>17</v>
      </c>
      <c r="B44" s="2">
        <v>7.5521140450394206</v>
      </c>
      <c r="C44" s="2">
        <v>-0.20040704503942042</v>
      </c>
    </row>
    <row r="45" spans="1:3" x14ac:dyDescent="0.3">
      <c r="A45" s="2">
        <v>18</v>
      </c>
      <c r="B45" s="2">
        <v>7.3745062442991589</v>
      </c>
      <c r="C45" s="2">
        <v>0.44722475570084086</v>
      </c>
    </row>
    <row r="46" spans="1:3" x14ac:dyDescent="0.3">
      <c r="A46" s="2">
        <v>19</v>
      </c>
      <c r="B46" s="2">
        <v>7.2934923732544679</v>
      </c>
      <c r="C46" s="2">
        <v>0.80037562674553264</v>
      </c>
    </row>
    <row r="47" spans="1:3" x14ac:dyDescent="0.3">
      <c r="A47" s="2">
        <v>20</v>
      </c>
      <c r="B47" s="2">
        <v>7.5453126204404484</v>
      </c>
      <c r="C47" s="2">
        <v>0.65861137955955229</v>
      </c>
    </row>
    <row r="48" spans="1:3" x14ac:dyDescent="0.3">
      <c r="A48" s="2">
        <v>21</v>
      </c>
      <c r="B48" s="2">
        <v>7.590720150875903</v>
      </c>
      <c r="C48" s="2">
        <v>0.81539084912409621</v>
      </c>
    </row>
    <row r="49" spans="1:3" x14ac:dyDescent="0.3">
      <c r="A49" s="2">
        <v>22</v>
      </c>
      <c r="B49" s="2">
        <v>7.9789338277368032</v>
      </c>
      <c r="C49" s="2">
        <v>0.2786781722631968</v>
      </c>
    </row>
    <row r="50" spans="1:3" x14ac:dyDescent="0.3">
      <c r="A50" s="2">
        <v>23</v>
      </c>
      <c r="B50" s="2">
        <v>8.1433803535256519</v>
      </c>
      <c r="C50" s="2">
        <v>0.38129264647434802</v>
      </c>
    </row>
    <row r="51" spans="1:3" x14ac:dyDescent="0.3">
      <c r="A51" s="2">
        <v>24</v>
      </c>
      <c r="B51" s="2">
        <v>8.1683322296677563</v>
      </c>
      <c r="C51" s="2">
        <v>0.63176277033224437</v>
      </c>
    </row>
    <row r="52" spans="1:3" x14ac:dyDescent="0.3">
      <c r="A52" s="2">
        <v>25</v>
      </c>
      <c r="B52" s="2">
        <v>8.4570889459137319</v>
      </c>
      <c r="C52" s="2">
        <v>0.81601605408626732</v>
      </c>
    </row>
    <row r="53" spans="1:3" x14ac:dyDescent="0.3">
      <c r="A53" s="2">
        <v>26</v>
      </c>
      <c r="B53" s="2">
        <v>8.4826058555937021</v>
      </c>
      <c r="C53" s="2">
        <v>1.2432571444062983</v>
      </c>
    </row>
    <row r="54" spans="1:3" x14ac:dyDescent="0.3">
      <c r="A54" s="2">
        <v>27</v>
      </c>
      <c r="B54" s="2">
        <v>8.5869719697747282</v>
      </c>
      <c r="C54" s="2">
        <v>1.3791820302252713</v>
      </c>
    </row>
    <row r="55" spans="1:3" x14ac:dyDescent="0.3">
      <c r="A55" s="2">
        <v>28</v>
      </c>
      <c r="B55" s="2">
        <v>8.840108508690566</v>
      </c>
      <c r="C55" s="2">
        <v>1.1612314913094348</v>
      </c>
    </row>
    <row r="56" spans="1:3" x14ac:dyDescent="0.3">
      <c r="A56" s="2">
        <v>29</v>
      </c>
      <c r="B56" s="2">
        <v>9.2394761820867188</v>
      </c>
      <c r="C56" s="2">
        <v>0.99856381791328097</v>
      </c>
    </row>
    <row r="57" spans="1:3" x14ac:dyDescent="0.3">
      <c r="A57" s="2">
        <v>30</v>
      </c>
      <c r="B57" s="2">
        <v>9.5464888596387354</v>
      </c>
      <c r="C57" s="2">
        <v>0.73489114036126502</v>
      </c>
    </row>
    <row r="58" spans="1:3" x14ac:dyDescent="0.3">
      <c r="A58" s="2">
        <v>31</v>
      </c>
      <c r="B58" s="2">
        <v>9.8951426365235342</v>
      </c>
      <c r="C58" s="2">
        <v>0.46247736347646651</v>
      </c>
    </row>
    <row r="59" spans="1:3" x14ac:dyDescent="0.3">
      <c r="A59" s="2">
        <v>32</v>
      </c>
      <c r="B59" s="2">
        <v>9.9681842389159936</v>
      </c>
      <c r="C59" s="2">
        <v>0.46044576108400648</v>
      </c>
    </row>
    <row r="60" spans="1:3" x14ac:dyDescent="0.3">
      <c r="A60" s="2">
        <v>33</v>
      </c>
      <c r="B60" s="2">
        <v>10.000784492644041</v>
      </c>
      <c r="C60" s="2">
        <v>-0.19599249264403973</v>
      </c>
    </row>
    <row r="61" spans="1:3" x14ac:dyDescent="0.3">
      <c r="A61" s="2">
        <v>34</v>
      </c>
      <c r="B61" s="2">
        <v>9.9756866526403183</v>
      </c>
      <c r="C61" s="2">
        <v>-0.15490065264031827</v>
      </c>
    </row>
    <row r="62" spans="1:3" x14ac:dyDescent="0.3">
      <c r="A62" s="2">
        <v>35</v>
      </c>
      <c r="B62" s="2">
        <v>10.044642647334044</v>
      </c>
      <c r="C62" s="2">
        <v>-0.433140647334044</v>
      </c>
    </row>
    <row r="63" spans="1:3" x14ac:dyDescent="0.3">
      <c r="A63" s="2">
        <v>36</v>
      </c>
      <c r="B63" s="2">
        <v>10.0039464158366</v>
      </c>
      <c r="C63" s="2">
        <v>-0.94446341583659965</v>
      </c>
    </row>
    <row r="64" spans="1:3" x14ac:dyDescent="0.3">
      <c r="A64" s="2">
        <v>37</v>
      </c>
      <c r="B64" s="2">
        <v>9.4996923366782333</v>
      </c>
      <c r="C64" s="2">
        <v>-0.47141133667823354</v>
      </c>
    </row>
    <row r="65" spans="1:3" x14ac:dyDescent="0.3">
      <c r="A65" s="2">
        <v>38</v>
      </c>
      <c r="B65" s="2">
        <v>9.6281131584272686</v>
      </c>
      <c r="C65" s="2">
        <v>-0.81531315842726926</v>
      </c>
    </row>
    <row r="66" spans="1:3" x14ac:dyDescent="0.3">
      <c r="A66" s="2">
        <v>39</v>
      </c>
      <c r="B66" s="2">
        <v>9.2901193447825374</v>
      </c>
      <c r="C66" s="2">
        <v>-0.66220434478253765</v>
      </c>
    </row>
    <row r="67" spans="1:3" x14ac:dyDescent="0.3">
      <c r="A67" s="2">
        <v>40</v>
      </c>
      <c r="B67" s="2">
        <v>8.6861929225077006</v>
      </c>
      <c r="C67" s="2">
        <v>0.26384907749229924</v>
      </c>
    </row>
    <row r="68" spans="1:3" x14ac:dyDescent="0.3">
      <c r="A68" s="2">
        <v>41</v>
      </c>
      <c r="B68" s="2">
        <v>8.6808215465718348</v>
      </c>
      <c r="C68" s="2">
        <v>0.33592745342816599</v>
      </c>
    </row>
    <row r="69" spans="1:3" x14ac:dyDescent="0.3">
      <c r="A69" s="2">
        <v>42</v>
      </c>
      <c r="B69" s="2">
        <v>8.4743934097563987</v>
      </c>
      <c r="C69" s="2">
        <v>0.36500559024360157</v>
      </c>
    </row>
    <row r="70" spans="1:3" x14ac:dyDescent="0.3">
      <c r="A70" s="2">
        <v>43</v>
      </c>
      <c r="B70" s="2">
        <v>8.2509081557531676</v>
      </c>
      <c r="C70" s="2">
        <v>0.64432784424683298</v>
      </c>
    </row>
    <row r="71" spans="1:3" x14ac:dyDescent="0.3">
      <c r="A71" s="2">
        <v>44</v>
      </c>
      <c r="B71" s="2">
        <v>8.487273308523184</v>
      </c>
      <c r="C71" s="2">
        <v>-0.12140630852318424</v>
      </c>
    </row>
    <row r="72" spans="1:3" x14ac:dyDescent="0.3">
      <c r="A72" s="2">
        <v>45</v>
      </c>
      <c r="B72" s="2">
        <v>8.6807695911893408</v>
      </c>
      <c r="C72" s="2">
        <v>-0.7115735911893406</v>
      </c>
    </row>
    <row r="73" spans="1:3" x14ac:dyDescent="0.3">
      <c r="A73" s="2">
        <v>46</v>
      </c>
      <c r="B73" s="2">
        <v>8.6342463875223512</v>
      </c>
      <c r="C73" s="2">
        <v>-0.59985338752235151</v>
      </c>
    </row>
    <row r="74" spans="1:3" x14ac:dyDescent="0.3">
      <c r="A74" s="2">
        <v>47</v>
      </c>
      <c r="B74" s="2">
        <v>8.8049713780662966</v>
      </c>
      <c r="C74" s="2">
        <v>-1.0697743780662963</v>
      </c>
    </row>
    <row r="75" spans="1:3" x14ac:dyDescent="0.3">
      <c r="A75" s="2">
        <v>48</v>
      </c>
      <c r="B75" s="2">
        <v>8.4129997671311987</v>
      </c>
      <c r="C75" s="2">
        <v>-0.6026377671311991</v>
      </c>
    </row>
    <row r="76" spans="1:3" x14ac:dyDescent="0.3">
      <c r="A76" s="2">
        <v>49</v>
      </c>
      <c r="B76" s="2">
        <v>7.806218721394492</v>
      </c>
      <c r="C76" s="2">
        <v>-3.8974721394492207E-2</v>
      </c>
    </row>
    <row r="77" spans="1:3" x14ac:dyDescent="0.3">
      <c r="A77" s="2">
        <v>50</v>
      </c>
      <c r="B77" s="2">
        <v>7.6177778804941312</v>
      </c>
      <c r="C77" s="2">
        <v>1.8620119505868615E-2</v>
      </c>
    </row>
    <row r="78" spans="1:3" x14ac:dyDescent="0.3">
      <c r="A78" s="2">
        <v>51</v>
      </c>
      <c r="B78" s="2">
        <v>7.0795258575485871</v>
      </c>
      <c r="C78" s="2">
        <v>0.7114001424514127</v>
      </c>
    </row>
    <row r="79" spans="1:3" x14ac:dyDescent="0.3">
      <c r="A79" s="2">
        <v>52</v>
      </c>
      <c r="B79" s="2">
        <v>7.084487214752647</v>
      </c>
      <c r="C79" s="2">
        <v>0.99799078524735307</v>
      </c>
    </row>
    <row r="80" spans="1:3" x14ac:dyDescent="0.3">
      <c r="A80" s="2">
        <v>53</v>
      </c>
      <c r="B80" s="2">
        <v>7.0807845412755697</v>
      </c>
      <c r="C80" s="2">
        <v>1.0935944587244304</v>
      </c>
    </row>
    <row r="81" spans="1:3" x14ac:dyDescent="0.3">
      <c r="A81" s="2">
        <v>54</v>
      </c>
      <c r="B81" s="2">
        <v>7.2360755138128354</v>
      </c>
      <c r="C81" s="2">
        <v>1.1446114861871646</v>
      </c>
    </row>
    <row r="82" spans="1:3" x14ac:dyDescent="0.3">
      <c r="A82" s="2">
        <v>55</v>
      </c>
      <c r="B82" s="2">
        <v>7.5827949976570075</v>
      </c>
      <c r="C82" s="2">
        <v>0.93532300234299193</v>
      </c>
    </row>
    <row r="83" spans="1:3" x14ac:dyDescent="0.3">
      <c r="A83" s="2">
        <v>56</v>
      </c>
      <c r="B83" s="2">
        <v>8.1176585439773206</v>
      </c>
      <c r="C83" s="2">
        <v>0.49464245602267987</v>
      </c>
    </row>
    <row r="84" spans="1:3" x14ac:dyDescent="0.3">
      <c r="A84" s="2">
        <v>57</v>
      </c>
      <c r="B84" s="2">
        <v>8.4105745188386667</v>
      </c>
      <c r="C84" s="2">
        <v>0.30620848116133281</v>
      </c>
    </row>
    <row r="85" spans="1:3" x14ac:dyDescent="0.3">
      <c r="A85" s="2">
        <v>58</v>
      </c>
      <c r="B85" s="2">
        <v>8.5653750844996424</v>
      </c>
      <c r="C85" s="2">
        <v>-0.18417108449964203</v>
      </c>
    </row>
    <row r="86" spans="1:3" x14ac:dyDescent="0.3">
      <c r="A86" s="2">
        <v>59</v>
      </c>
      <c r="B86" s="2">
        <v>8.4531505660971256</v>
      </c>
      <c r="C86" s="2">
        <v>-0.27124556609712513</v>
      </c>
    </row>
    <row r="87" spans="1:3" x14ac:dyDescent="0.3">
      <c r="A87" s="2">
        <v>60</v>
      </c>
      <c r="B87" s="2">
        <v>8.2667984965371559</v>
      </c>
      <c r="C87" s="2">
        <v>-0.34354949653715572</v>
      </c>
    </row>
    <row r="88" spans="1:3" x14ac:dyDescent="0.3">
      <c r="A88" s="2">
        <v>61</v>
      </c>
      <c r="B88" s="2">
        <v>8.2785318910581083</v>
      </c>
      <c r="C88" s="2">
        <v>-0.37436789105810853</v>
      </c>
    </row>
    <row r="89" spans="1:3" x14ac:dyDescent="0.3">
      <c r="A89" s="2">
        <v>62</v>
      </c>
      <c r="B89" s="2">
        <v>8.087411077901649</v>
      </c>
      <c r="C89" s="2">
        <v>-0.14021507790164911</v>
      </c>
    </row>
    <row r="90" spans="1:3" x14ac:dyDescent="0.3">
      <c r="A90" s="2">
        <v>63</v>
      </c>
      <c r="B90" s="2">
        <v>8.1176143429190439</v>
      </c>
      <c r="C90" s="2">
        <v>-0.22821234291904435</v>
      </c>
    </row>
    <row r="91" spans="1:3" x14ac:dyDescent="0.3">
      <c r="A91" s="2">
        <v>64</v>
      </c>
      <c r="B91" s="2">
        <v>7.9430790655897745</v>
      </c>
      <c r="C91" s="2">
        <v>-9.5643065589774423E-2</v>
      </c>
    </row>
    <row r="92" spans="1:3" x14ac:dyDescent="0.3">
      <c r="A92" s="2">
        <v>65</v>
      </c>
      <c r="B92" s="2">
        <v>7.8638166254592914</v>
      </c>
      <c r="C92" s="2">
        <v>-7.8103625459291059E-2</v>
      </c>
    </row>
    <row r="93" spans="1:3" x14ac:dyDescent="0.3">
      <c r="A93" s="2">
        <v>66</v>
      </c>
      <c r="B93" s="2">
        <v>7.809815987592966</v>
      </c>
      <c r="C93" s="2">
        <v>-0.39701798759296558</v>
      </c>
    </row>
    <row r="94" spans="1:3" x14ac:dyDescent="0.3">
      <c r="A94" s="2">
        <v>67</v>
      </c>
      <c r="B94" s="2">
        <v>7.6854323850378101</v>
      </c>
      <c r="C94" s="2">
        <v>-0.40056438503780978</v>
      </c>
    </row>
    <row r="95" spans="1:3" x14ac:dyDescent="0.3">
      <c r="A95" s="2">
        <v>68</v>
      </c>
      <c r="B95" s="2">
        <v>7.4646557900695285</v>
      </c>
      <c r="C95" s="2">
        <v>-0.46178479006952866</v>
      </c>
    </row>
    <row r="96" spans="1:3" x14ac:dyDescent="0.3">
      <c r="A96" s="2">
        <v>69</v>
      </c>
      <c r="B96" s="2">
        <v>7.4586004102411287</v>
      </c>
      <c r="C96" s="2">
        <v>-0.71105041024112836</v>
      </c>
    </row>
    <row r="97" spans="1:3" x14ac:dyDescent="0.3">
      <c r="A97" s="2">
        <v>70</v>
      </c>
      <c r="B97" s="2">
        <v>7.0944430455889229</v>
      </c>
      <c r="C97" s="2">
        <v>-0.33941904558892322</v>
      </c>
    </row>
    <row r="98" spans="1:3" x14ac:dyDescent="0.3">
      <c r="A98" s="2">
        <v>71</v>
      </c>
      <c r="B98" s="2">
        <v>6.8098961968597269</v>
      </c>
      <c r="C98" s="2">
        <v>-0.47650819685972667</v>
      </c>
    </row>
    <row r="99" spans="1:3" x14ac:dyDescent="0.3">
      <c r="A99" s="2">
        <v>72</v>
      </c>
      <c r="B99" s="2">
        <v>6.5800179620247921</v>
      </c>
      <c r="C99" s="2">
        <v>-0.50896896202479169</v>
      </c>
    </row>
    <row r="100" spans="1:3" x14ac:dyDescent="0.3">
      <c r="A100" s="2">
        <v>73</v>
      </c>
      <c r="B100" s="2">
        <v>6.2838394594468472</v>
      </c>
      <c r="C100" s="2">
        <v>-0.62718045944684686</v>
      </c>
    </row>
    <row r="101" spans="1:3" x14ac:dyDescent="0.3">
      <c r="A101" s="2">
        <v>74</v>
      </c>
      <c r="B101" s="2">
        <v>6.3589019559870028</v>
      </c>
      <c r="C101" s="2">
        <v>-1.0881319559870031</v>
      </c>
    </row>
    <row r="102" spans="1:3" x14ac:dyDescent="0.3">
      <c r="A102" s="2">
        <v>75</v>
      </c>
      <c r="B102" s="2">
        <v>6.0578156203393796</v>
      </c>
      <c r="C102" s="2">
        <v>-0.8435376203393794</v>
      </c>
    </row>
    <row r="103" spans="1:3" x14ac:dyDescent="0.3">
      <c r="A103" s="2">
        <v>76</v>
      </c>
      <c r="B103" s="2">
        <v>6.0137312778063592</v>
      </c>
      <c r="C103" s="2">
        <v>-0.89760227780635926</v>
      </c>
    </row>
    <row r="104" spans="1:3" x14ac:dyDescent="0.3">
      <c r="A104" s="2">
        <v>77</v>
      </c>
      <c r="B104" s="2">
        <v>5.6139808705072518</v>
      </c>
      <c r="C104" s="2">
        <v>-0.49469687050725142</v>
      </c>
    </row>
    <row r="105" spans="1:3" x14ac:dyDescent="0.3">
      <c r="A105" s="2">
        <v>78</v>
      </c>
      <c r="B105" s="2">
        <v>5.2408015190711907</v>
      </c>
      <c r="C105" s="2">
        <v>-0.17362751907119112</v>
      </c>
    </row>
    <row r="106" spans="1:3" x14ac:dyDescent="0.3">
      <c r="A106" s="2">
        <v>79</v>
      </c>
      <c r="B106" s="2">
        <v>5.1970425974839287</v>
      </c>
      <c r="C106" s="2">
        <v>-0.26705859748392857</v>
      </c>
    </row>
    <row r="107" spans="1:3" x14ac:dyDescent="0.3">
      <c r="A107" s="2">
        <v>80</v>
      </c>
      <c r="B107" s="2">
        <v>4.757510486004831</v>
      </c>
      <c r="C107" s="2">
        <v>0.17873351399516935</v>
      </c>
    </row>
    <row r="108" spans="1:3" x14ac:dyDescent="0.3">
      <c r="A108" s="2">
        <v>81</v>
      </c>
      <c r="B108" s="2">
        <v>4.7733918359785292</v>
      </c>
      <c r="C108" s="2">
        <v>8.2537164021470488E-2</v>
      </c>
    </row>
    <row r="109" spans="1:3" x14ac:dyDescent="0.3">
      <c r="A109" s="2">
        <v>82</v>
      </c>
      <c r="B109" s="2">
        <v>4.7585655761537744</v>
      </c>
      <c r="C109" s="2">
        <v>5.536042384622597E-2</v>
      </c>
    </row>
    <row r="110" spans="1:3" x14ac:dyDescent="0.3">
      <c r="A110" s="2">
        <v>83</v>
      </c>
      <c r="B110" s="2">
        <v>4.5183969270355355</v>
      </c>
      <c r="C110" s="2">
        <v>0.30678907296446489</v>
      </c>
    </row>
    <row r="111" spans="1:3" x14ac:dyDescent="0.3">
      <c r="A111" s="2">
        <v>84</v>
      </c>
      <c r="B111" s="2">
        <v>5.0595494629202946</v>
      </c>
      <c r="C111" s="2">
        <v>-0.12638546292029496</v>
      </c>
    </row>
    <row r="112" spans="1:3" x14ac:dyDescent="0.3">
      <c r="A112" s="2">
        <v>85</v>
      </c>
      <c r="B112" s="2">
        <v>5.3588692938354399</v>
      </c>
      <c r="C112" s="2">
        <v>-0.12893229383544025</v>
      </c>
    </row>
    <row r="113" spans="1:3" x14ac:dyDescent="0.3">
      <c r="A113" s="2">
        <v>86</v>
      </c>
      <c r="B113" s="2">
        <v>5.6654613874672268</v>
      </c>
      <c r="C113" s="2">
        <v>-0.157583387467227</v>
      </c>
    </row>
    <row r="114" spans="1:3" x14ac:dyDescent="0.3">
      <c r="A114" s="2">
        <v>87</v>
      </c>
      <c r="B114" s="2">
        <v>5.7595275234549383</v>
      </c>
      <c r="C114" s="2">
        <v>4.1910476545061748E-2</v>
      </c>
    </row>
    <row r="115" spans="1:3" x14ac:dyDescent="0.3">
      <c r="A115" s="2">
        <v>88</v>
      </c>
      <c r="B115" s="2">
        <v>5.4025005898111296</v>
      </c>
      <c r="C115" s="2">
        <v>0.65252041018887041</v>
      </c>
    </row>
    <row r="116" spans="1:3" x14ac:dyDescent="0.3">
      <c r="A116" s="2">
        <v>89</v>
      </c>
      <c r="B116" s="2">
        <v>5.4172447942171154</v>
      </c>
      <c r="C116" s="2">
        <v>0.72587320578288494</v>
      </c>
    </row>
    <row r="117" spans="1:3" x14ac:dyDescent="0.3">
      <c r="A117" s="2">
        <v>90</v>
      </c>
      <c r="B117" s="2">
        <v>5.6161174989991629</v>
      </c>
      <c r="C117" s="2">
        <v>0.6704715010008373</v>
      </c>
    </row>
    <row r="118" spans="1:3" x14ac:dyDescent="0.3">
      <c r="A118" s="2">
        <v>91</v>
      </c>
      <c r="B118" s="2">
        <v>5.9704154958399585</v>
      </c>
      <c r="C118" s="2">
        <v>0.41160850416004191</v>
      </c>
    </row>
    <row r="119" spans="1:3" x14ac:dyDescent="0.3">
      <c r="A119" s="2">
        <v>92</v>
      </c>
      <c r="B119" s="2">
        <v>6.1816279518608503</v>
      </c>
      <c r="C119" s="2">
        <v>-0.13823795186085075</v>
      </c>
    </row>
    <row r="120" spans="1:3" x14ac:dyDescent="0.3">
      <c r="A120" s="2">
        <v>93</v>
      </c>
      <c r="B120" s="2">
        <v>6.2374164619730585</v>
      </c>
      <c r="C120" s="2">
        <v>-0.23357446197305887</v>
      </c>
    </row>
    <row r="121" spans="1:3" x14ac:dyDescent="0.3">
      <c r="A121" s="2">
        <v>94</v>
      </c>
      <c r="B121" s="2">
        <v>6.0603915627111284</v>
      </c>
      <c r="C121" s="2">
        <v>2.7384372888716868E-3</v>
      </c>
    </row>
    <row r="122" spans="1:3" x14ac:dyDescent="0.3">
      <c r="A122" s="2">
        <v>95</v>
      </c>
      <c r="B122" s="2">
        <v>5.9807184870124281</v>
      </c>
      <c r="C122" s="2">
        <v>-0.12927648701242855</v>
      </c>
    </row>
    <row r="123" spans="1:3" x14ac:dyDescent="0.3">
      <c r="A123" s="2">
        <v>96</v>
      </c>
      <c r="B123" s="2">
        <v>5.6552358847746973</v>
      </c>
      <c r="C123" s="2">
        <v>0.58973211522530278</v>
      </c>
    </row>
    <row r="124" spans="1:3" x14ac:dyDescent="0.3">
      <c r="A124" s="2">
        <v>97</v>
      </c>
      <c r="B124" s="2">
        <v>5.5200544571562737</v>
      </c>
      <c r="C124" s="2">
        <v>0.66955354284372604</v>
      </c>
    </row>
    <row r="125" spans="1:3" x14ac:dyDescent="0.3">
      <c r="A125" s="2">
        <v>98</v>
      </c>
      <c r="B125" s="2">
        <v>5.7806517953631431</v>
      </c>
      <c r="C125" s="2">
        <v>0.22418820463685663</v>
      </c>
    </row>
    <row r="126" spans="1:3" x14ac:dyDescent="0.3">
      <c r="A126" s="2">
        <v>99</v>
      </c>
      <c r="B126" s="2">
        <v>5.5199056762401391</v>
      </c>
      <c r="C126" s="2">
        <v>0.52315732375986101</v>
      </c>
    </row>
    <row r="127" spans="1:3" x14ac:dyDescent="0.3">
      <c r="A127" s="2">
        <v>100</v>
      </c>
      <c r="B127" s="2">
        <v>5.6659619306923279</v>
      </c>
      <c r="C127" s="2">
        <v>0.12747506930767205</v>
      </c>
    </row>
    <row r="128" spans="1:3" x14ac:dyDescent="0.3">
      <c r="A128" s="2">
        <v>101</v>
      </c>
      <c r="B128" s="2">
        <v>5.7617978698169292</v>
      </c>
      <c r="C128" s="2">
        <v>-4.7138869816929052E-2</v>
      </c>
    </row>
    <row r="129" spans="1:3" x14ac:dyDescent="0.3">
      <c r="A129" s="2">
        <v>102</v>
      </c>
      <c r="B129" s="2">
        <v>5.5603339691205136</v>
      </c>
      <c r="C129" s="2">
        <v>-5.9191969120513832E-2</v>
      </c>
    </row>
    <row r="130" spans="1:3" x14ac:dyDescent="0.3">
      <c r="A130" s="2">
        <v>103</v>
      </c>
      <c r="B130" s="2">
        <v>5.6887593821426741</v>
      </c>
      <c r="C130" s="2">
        <v>-0.38455338214267432</v>
      </c>
    </row>
    <row r="131" spans="1:3" x14ac:dyDescent="0.3">
      <c r="A131" s="2">
        <v>104</v>
      </c>
      <c r="B131" s="2">
        <v>5.6800737658688636</v>
      </c>
      <c r="C131" s="2">
        <v>-0.47858976586886381</v>
      </c>
    </row>
    <row r="132" spans="1:3" x14ac:dyDescent="0.3">
      <c r="A132" s="2">
        <v>105</v>
      </c>
      <c r="B132" s="2">
        <v>5.5887563925414891</v>
      </c>
      <c r="C132" s="2">
        <v>-0.50208939254148888</v>
      </c>
    </row>
    <row r="133" spans="1:3" x14ac:dyDescent="0.3">
      <c r="A133" s="2">
        <v>106</v>
      </c>
      <c r="B133" s="2">
        <v>5.2569108577707624</v>
      </c>
      <c r="C133" s="2">
        <v>-0.33760885777076233</v>
      </c>
    </row>
    <row r="134" spans="1:3" x14ac:dyDescent="0.3">
      <c r="A134" s="2">
        <v>107</v>
      </c>
      <c r="B134" s="2">
        <v>5.1210716367490097</v>
      </c>
      <c r="C134" s="2">
        <v>-0.24958163674901002</v>
      </c>
    </row>
    <row r="135" spans="1:3" x14ac:dyDescent="0.3">
      <c r="A135" s="2">
        <v>108</v>
      </c>
      <c r="B135" s="2">
        <v>5.0893182516839151</v>
      </c>
      <c r="C135" s="2">
        <v>-0.33779025168391463</v>
      </c>
    </row>
    <row r="136" spans="1:3" x14ac:dyDescent="0.3">
      <c r="A136" s="2">
        <v>109</v>
      </c>
      <c r="B136" s="2">
        <v>5.1090728386070143</v>
      </c>
      <c r="C136" s="2">
        <v>-0.40620283860701445</v>
      </c>
    </row>
    <row r="137" spans="1:3" x14ac:dyDescent="0.3">
      <c r="A137" s="2">
        <v>110</v>
      </c>
      <c r="B137" s="2">
        <v>4.9272420303534687</v>
      </c>
      <c r="C137" s="2">
        <v>-0.15866603035346838</v>
      </c>
    </row>
    <row r="138" spans="1:3" x14ac:dyDescent="0.3">
      <c r="A138" s="2">
        <v>111</v>
      </c>
      <c r="B138" s="2">
        <v>4.7823811323465257</v>
      </c>
      <c r="C138" s="2">
        <v>-1.6923132346525982E-2</v>
      </c>
    </row>
    <row r="139" spans="1:3" x14ac:dyDescent="0.3">
      <c r="A139" s="2">
        <v>112</v>
      </c>
      <c r="B139" s="2">
        <v>4.5943728898307228</v>
      </c>
      <c r="C139" s="2">
        <v>8.4355110169277658E-2</v>
      </c>
    </row>
    <row r="140" spans="1:3" x14ac:dyDescent="0.3">
      <c r="A140" s="2">
        <v>113</v>
      </c>
      <c r="B140" s="2">
        <v>4.4388750202146863</v>
      </c>
      <c r="C140" s="2">
        <v>7.7032979785313316E-2</v>
      </c>
    </row>
    <row r="141" spans="1:3" x14ac:dyDescent="0.3">
      <c r="A141" s="2">
        <v>114</v>
      </c>
      <c r="B141" s="2">
        <v>4.4851400215391468</v>
      </c>
      <c r="C141" s="2">
        <v>-0.10249702153914697</v>
      </c>
    </row>
    <row r="142" spans="1:3" x14ac:dyDescent="0.3">
      <c r="A142" s="2">
        <v>115</v>
      </c>
      <c r="B142" s="2">
        <v>4.4992227095799002</v>
      </c>
      <c r="C142" s="2">
        <v>-0.13265370957990008</v>
      </c>
    </row>
    <row r="143" spans="1:3" x14ac:dyDescent="0.3">
      <c r="A143" s="2">
        <v>116</v>
      </c>
      <c r="B143" s="2">
        <v>4.4359434673117182</v>
      </c>
      <c r="C143" s="2">
        <v>-3.865146731171798E-2</v>
      </c>
    </row>
    <row r="144" spans="1:3" x14ac:dyDescent="0.3">
      <c r="A144" s="2">
        <v>117</v>
      </c>
      <c r="B144" s="2">
        <v>4.2501876443882072</v>
      </c>
      <c r="C144" s="2">
        <v>0.12300635561179263</v>
      </c>
    </row>
    <row r="145" spans="1:3" x14ac:dyDescent="0.3">
      <c r="A145" s="2">
        <v>118</v>
      </c>
      <c r="B145" s="2">
        <v>4.1801252285748998</v>
      </c>
      <c r="C145" s="2">
        <v>0.2375147714250998</v>
      </c>
    </row>
    <row r="146" spans="1:3" ht="15" thickBot="1" x14ac:dyDescent="0.35">
      <c r="A146" s="3">
        <v>119</v>
      </c>
      <c r="B146" s="3">
        <v>4.1850956893818108</v>
      </c>
      <c r="C146" s="3">
        <v>0.26472731061818955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FD10-CA46-4023-9693-4E7632DDCD83}">
  <dimension ref="A1:P124"/>
  <sheetViews>
    <sheetView topLeftCell="A6" workbookViewId="0">
      <selection activeCell="P6" sqref="P6:P124"/>
    </sheetView>
  </sheetViews>
  <sheetFormatPr defaultRowHeight="14.4" x14ac:dyDescent="0.3"/>
  <cols>
    <col min="1" max="1" width="9" bestFit="1" customWidth="1"/>
    <col min="2" max="2" width="7" bestFit="1" customWidth="1"/>
    <col min="3" max="3" width="6.33203125" bestFit="1" customWidth="1"/>
    <col min="4" max="5" width="6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7</v>
      </c>
      <c r="B2">
        <v>1987.1</v>
      </c>
      <c r="C2">
        <v>206</v>
      </c>
      <c r="D2">
        <v>18.239999999999998</v>
      </c>
      <c r="E2">
        <v>24575</v>
      </c>
      <c r="F2">
        <v>7.2605620000000002</v>
      </c>
      <c r="G2">
        <v>111.8</v>
      </c>
      <c r="H2">
        <v>7.1954098360655703</v>
      </c>
      <c r="L2">
        <v>7.2605620000000002</v>
      </c>
      <c r="N2">
        <v>7.1954098360655703</v>
      </c>
    </row>
    <row r="3" spans="1:16" x14ac:dyDescent="0.3">
      <c r="A3" t="s">
        <v>7</v>
      </c>
      <c r="B3">
        <v>1987.2</v>
      </c>
      <c r="C3">
        <v>243</v>
      </c>
      <c r="D3">
        <v>18.32</v>
      </c>
      <c r="E3">
        <v>24818</v>
      </c>
      <c r="F3">
        <v>6.990926</v>
      </c>
      <c r="G3">
        <v>113.066666666667</v>
      </c>
      <c r="H3">
        <v>8.3426984126984092</v>
      </c>
      <c r="L3">
        <v>6.990926</v>
      </c>
      <c r="N3">
        <v>8.3426984126984092</v>
      </c>
    </row>
    <row r="4" spans="1:16" x14ac:dyDescent="0.3">
      <c r="A4" t="s">
        <v>7</v>
      </c>
      <c r="B4">
        <v>1987.3</v>
      </c>
      <c r="C4">
        <v>283</v>
      </c>
      <c r="D4">
        <v>18.2</v>
      </c>
      <c r="E4">
        <v>25101</v>
      </c>
      <c r="F4">
        <v>6.8647580000000001</v>
      </c>
      <c r="G4">
        <v>114.26666666666701</v>
      </c>
      <c r="H4">
        <v>8.8696874999999995</v>
      </c>
      <c r="L4">
        <v>6.8647580000000001</v>
      </c>
      <c r="N4">
        <v>8.8696874999999995</v>
      </c>
    </row>
    <row r="5" spans="1:16" x14ac:dyDescent="0.3">
      <c r="A5" t="s">
        <v>7</v>
      </c>
      <c r="B5">
        <v>1987.4</v>
      </c>
      <c r="C5">
        <v>1499</v>
      </c>
      <c r="D5">
        <v>18.079999999999998</v>
      </c>
      <c r="E5">
        <v>26600</v>
      </c>
      <c r="F5">
        <v>6.7820049999999998</v>
      </c>
      <c r="G5">
        <v>115.333333333333</v>
      </c>
      <c r="H5">
        <v>9.1290322580645196</v>
      </c>
      <c r="L5">
        <v>6.7820049999999998</v>
      </c>
      <c r="N5">
        <v>9.1290322580645196</v>
      </c>
    </row>
    <row r="6" spans="1:16" x14ac:dyDescent="0.3">
      <c r="A6" t="s">
        <v>7</v>
      </c>
      <c r="B6">
        <v>1988.1</v>
      </c>
      <c r="C6">
        <v>942</v>
      </c>
      <c r="D6">
        <v>18.04</v>
      </c>
      <c r="E6">
        <v>27542</v>
      </c>
      <c r="F6">
        <v>6.7470939999999997</v>
      </c>
      <c r="G6">
        <v>116.23333333333299</v>
      </c>
      <c r="H6">
        <v>8.4109677419354902</v>
      </c>
      <c r="L6">
        <v>6.7470939999999997</v>
      </c>
      <c r="M6">
        <f>F2</f>
        <v>7.2605620000000002</v>
      </c>
      <c r="N6">
        <v>8.4109677419354902</v>
      </c>
      <c r="O6">
        <f>D6/D2</f>
        <v>0.98903508771929827</v>
      </c>
      <c r="P6">
        <f>G6/G2</f>
        <v>1.039654144305304</v>
      </c>
    </row>
    <row r="7" spans="1:16" x14ac:dyDescent="0.3">
      <c r="A7" t="s">
        <v>7</v>
      </c>
      <c r="B7">
        <v>1988.2</v>
      </c>
      <c r="C7">
        <v>288</v>
      </c>
      <c r="D7">
        <v>18</v>
      </c>
      <c r="E7">
        <v>27830</v>
      </c>
      <c r="F7">
        <v>6.635834</v>
      </c>
      <c r="G7">
        <v>117.566666666667</v>
      </c>
      <c r="H7">
        <v>8.9128571428571401</v>
      </c>
      <c r="L7">
        <v>6.635834</v>
      </c>
      <c r="M7">
        <f>F3</f>
        <v>6.990926</v>
      </c>
      <c r="N7">
        <v>8.9128571428571401</v>
      </c>
      <c r="O7">
        <f>D7/D3</f>
        <v>0.98253275109170302</v>
      </c>
      <c r="P7">
        <f>G7/G3</f>
        <v>1.0397995283018866</v>
      </c>
    </row>
    <row r="8" spans="1:16" x14ac:dyDescent="0.3">
      <c r="A8" t="s">
        <v>7</v>
      </c>
      <c r="B8">
        <v>1988.3</v>
      </c>
      <c r="C8">
        <v>379</v>
      </c>
      <c r="D8">
        <v>17.96</v>
      </c>
      <c r="E8">
        <v>28209</v>
      </c>
      <c r="F8">
        <v>6.3065910000000001</v>
      </c>
      <c r="G8">
        <v>119</v>
      </c>
      <c r="H8">
        <v>9.1035937499999999</v>
      </c>
      <c r="L8">
        <v>6.3065910000000001</v>
      </c>
      <c r="M8">
        <f>F4</f>
        <v>6.8647580000000001</v>
      </c>
      <c r="N8">
        <v>9.1035937499999999</v>
      </c>
      <c r="O8">
        <f>D8/D4</f>
        <v>0.98681318681318686</v>
      </c>
      <c r="P8">
        <f>G8/G4</f>
        <v>1.041423570595096</v>
      </c>
    </row>
    <row r="9" spans="1:16" x14ac:dyDescent="0.3">
      <c r="A9" t="s">
        <v>7</v>
      </c>
      <c r="B9">
        <v>1988.4</v>
      </c>
      <c r="C9">
        <v>742</v>
      </c>
      <c r="D9">
        <v>17.920000000000002</v>
      </c>
      <c r="E9">
        <v>28951</v>
      </c>
      <c r="F9">
        <v>6.0394050000000004</v>
      </c>
      <c r="G9">
        <v>120.3</v>
      </c>
      <c r="H9">
        <v>8.9570491803278696</v>
      </c>
      <c r="L9">
        <v>6.0394050000000004</v>
      </c>
      <c r="M9">
        <f>F5</f>
        <v>6.7820049999999998</v>
      </c>
      <c r="N9">
        <v>8.9570491803278696</v>
      </c>
      <c r="O9">
        <f>D9/D5</f>
        <v>0.99115044247787631</v>
      </c>
      <c r="P9">
        <f>G9/G5</f>
        <v>1.0430635838150319</v>
      </c>
    </row>
    <row r="10" spans="1:16" x14ac:dyDescent="0.3">
      <c r="A10" t="s">
        <v>7</v>
      </c>
      <c r="B10">
        <v>1989.1</v>
      </c>
      <c r="C10">
        <v>538</v>
      </c>
      <c r="D10">
        <v>17.89</v>
      </c>
      <c r="E10">
        <v>29489</v>
      </c>
      <c r="F10">
        <v>5.9403629999999996</v>
      </c>
      <c r="G10">
        <v>121.666666666667</v>
      </c>
      <c r="H10">
        <v>9.2116393442623004</v>
      </c>
      <c r="L10">
        <v>5.9403629999999996</v>
      </c>
      <c r="M10">
        <f>F6</f>
        <v>6.7470939999999997</v>
      </c>
      <c r="N10">
        <v>9.2116393442623004</v>
      </c>
      <c r="O10">
        <f>D10/D6</f>
        <v>0.99168514412416864</v>
      </c>
      <c r="P10">
        <f>G10/G6</f>
        <v>1.0467450530542073</v>
      </c>
    </row>
    <row r="11" spans="1:16" x14ac:dyDescent="0.3">
      <c r="A11" t="s">
        <v>7</v>
      </c>
      <c r="B11">
        <v>1989.2</v>
      </c>
      <c r="C11">
        <v>1974</v>
      </c>
      <c r="D11">
        <v>17.87</v>
      </c>
      <c r="E11">
        <v>31463</v>
      </c>
      <c r="F11">
        <v>6.3766299999999996</v>
      </c>
      <c r="G11">
        <v>123.633333333333</v>
      </c>
      <c r="H11">
        <v>8.7579687499999999</v>
      </c>
      <c r="L11">
        <v>6.3766299999999996</v>
      </c>
      <c r="M11">
        <f>F7</f>
        <v>6.635834</v>
      </c>
      <c r="N11">
        <v>8.7579687499999999</v>
      </c>
      <c r="O11">
        <f>D11/D7</f>
        <v>0.99277777777777787</v>
      </c>
      <c r="P11">
        <f>G11/G7</f>
        <v>1.0516019279841167</v>
      </c>
    </row>
    <row r="12" spans="1:16" x14ac:dyDescent="0.3">
      <c r="A12" t="s">
        <v>7</v>
      </c>
      <c r="B12">
        <v>1989.3</v>
      </c>
      <c r="C12">
        <v>228</v>
      </c>
      <c r="D12">
        <v>17.91</v>
      </c>
      <c r="E12">
        <v>31691</v>
      </c>
      <c r="F12">
        <v>6.6405940000000001</v>
      </c>
      <c r="G12">
        <v>124.6</v>
      </c>
      <c r="H12">
        <v>8.1074603174603208</v>
      </c>
      <c r="L12">
        <v>6.6405940000000001</v>
      </c>
      <c r="M12">
        <f>F8</f>
        <v>6.3065910000000001</v>
      </c>
      <c r="N12">
        <v>8.1074603174603208</v>
      </c>
      <c r="O12">
        <f>D12/D8</f>
        <v>0.99721603563474381</v>
      </c>
      <c r="P12">
        <f>G12/G8</f>
        <v>1.0470588235294118</v>
      </c>
    </row>
    <row r="13" spans="1:16" x14ac:dyDescent="0.3">
      <c r="A13" t="s">
        <v>7</v>
      </c>
      <c r="B13">
        <v>1989.4</v>
      </c>
      <c r="C13">
        <v>821</v>
      </c>
      <c r="D13">
        <v>17.95</v>
      </c>
      <c r="E13">
        <v>32512</v>
      </c>
      <c r="F13">
        <v>7.0249750000000004</v>
      </c>
      <c r="G13">
        <v>125.866666666667</v>
      </c>
      <c r="H13">
        <v>7.9070967741935503</v>
      </c>
      <c r="L13">
        <v>7.0249750000000004</v>
      </c>
      <c r="M13">
        <f>F9</f>
        <v>6.0394050000000004</v>
      </c>
      <c r="N13">
        <v>7.9070967741935503</v>
      </c>
      <c r="O13">
        <f>D13/D9</f>
        <v>1.001674107142857</v>
      </c>
      <c r="P13">
        <f>G13/G9</f>
        <v>1.0462732058742061</v>
      </c>
    </row>
    <row r="14" spans="1:16" x14ac:dyDescent="0.3">
      <c r="A14" t="s">
        <v>7</v>
      </c>
      <c r="B14">
        <v>1990.1</v>
      </c>
      <c r="C14">
        <v>1083</v>
      </c>
      <c r="D14">
        <v>17.600000000000001</v>
      </c>
      <c r="E14">
        <v>33595</v>
      </c>
      <c r="F14">
        <v>7.1316389999999998</v>
      </c>
      <c r="G14">
        <v>128.03333333333299</v>
      </c>
      <c r="H14">
        <v>8.4238709677419301</v>
      </c>
      <c r="L14">
        <v>7.1316389999999998</v>
      </c>
      <c r="M14">
        <f>F10</f>
        <v>5.9403629999999996</v>
      </c>
      <c r="N14">
        <v>8.4238709677419301</v>
      </c>
      <c r="O14">
        <f>D14/D10</f>
        <v>0.98378982671883741</v>
      </c>
      <c r="P14">
        <f>G14/G10</f>
        <v>1.0523287671232819</v>
      </c>
    </row>
    <row r="15" spans="1:16" x14ac:dyDescent="0.3">
      <c r="A15" t="s">
        <v>7</v>
      </c>
      <c r="B15">
        <v>1990.2</v>
      </c>
      <c r="C15">
        <v>278</v>
      </c>
      <c r="D15">
        <v>17.27</v>
      </c>
      <c r="E15">
        <v>33873</v>
      </c>
      <c r="F15">
        <v>7.110309</v>
      </c>
      <c r="G15">
        <v>129.30000000000001</v>
      </c>
      <c r="H15">
        <v>8.6741269841269801</v>
      </c>
      <c r="L15">
        <v>7.110309</v>
      </c>
      <c r="M15">
        <f>F11</f>
        <v>6.3766299999999996</v>
      </c>
      <c r="N15">
        <v>8.6741269841269801</v>
      </c>
      <c r="O15">
        <f>D15/D11</f>
        <v>0.96642417459429208</v>
      </c>
      <c r="P15">
        <f>G15/G11</f>
        <v>1.0458344567268836</v>
      </c>
    </row>
    <row r="16" spans="1:16" x14ac:dyDescent="0.3">
      <c r="A16" t="s">
        <v>7</v>
      </c>
      <c r="B16">
        <v>1990.3</v>
      </c>
      <c r="C16">
        <v>400</v>
      </c>
      <c r="D16">
        <v>17.309999999999999</v>
      </c>
      <c r="E16">
        <v>34273</v>
      </c>
      <c r="F16">
        <v>7.1321880000000002</v>
      </c>
      <c r="G16">
        <v>131.53333333333299</v>
      </c>
      <c r="H16">
        <v>8.7012698412698395</v>
      </c>
      <c r="L16">
        <v>7.1321880000000002</v>
      </c>
      <c r="M16">
        <f>F12</f>
        <v>6.6405940000000001</v>
      </c>
      <c r="N16">
        <v>8.7012698412698395</v>
      </c>
      <c r="O16">
        <f>D16/D12</f>
        <v>0.96649916247906187</v>
      </c>
      <c r="P16">
        <f>G16/G12</f>
        <v>1.0556447298020304</v>
      </c>
    </row>
    <row r="17" spans="1:16" x14ac:dyDescent="0.3">
      <c r="A17" t="s">
        <v>7</v>
      </c>
      <c r="B17">
        <v>1990.4</v>
      </c>
      <c r="C17">
        <v>859</v>
      </c>
      <c r="D17">
        <v>17.350000000000001</v>
      </c>
      <c r="E17">
        <v>35132</v>
      </c>
      <c r="F17">
        <v>7.0558199999999998</v>
      </c>
      <c r="G17">
        <v>133.76666666666699</v>
      </c>
      <c r="H17">
        <v>8.4059677419354895</v>
      </c>
      <c r="L17">
        <v>7.0558199999999998</v>
      </c>
      <c r="M17">
        <f>F13</f>
        <v>7.0249750000000004</v>
      </c>
      <c r="N17">
        <v>8.4059677419354895</v>
      </c>
      <c r="O17">
        <f>D17/D13</f>
        <v>0.96657381615598903</v>
      </c>
      <c r="P17">
        <f>G17/G13</f>
        <v>1.0627648305084743</v>
      </c>
    </row>
    <row r="18" spans="1:16" x14ac:dyDescent="0.3">
      <c r="A18" t="s">
        <v>7</v>
      </c>
      <c r="B18">
        <v>1991.1</v>
      </c>
      <c r="C18">
        <v>304</v>
      </c>
      <c r="D18">
        <v>16.7</v>
      </c>
      <c r="E18">
        <v>35436</v>
      </c>
      <c r="F18">
        <v>7.0827159999999996</v>
      </c>
      <c r="G18">
        <v>134.76666666666699</v>
      </c>
      <c r="H18">
        <v>8.0231666666666595</v>
      </c>
      <c r="L18">
        <v>7.0827159999999996</v>
      </c>
      <c r="M18">
        <f>F14</f>
        <v>7.1316389999999998</v>
      </c>
      <c r="N18">
        <v>8.0231666666666595</v>
      </c>
      <c r="O18">
        <f>D18/D14</f>
        <v>0.94886363636363624</v>
      </c>
      <c r="P18">
        <f>G18/G14</f>
        <v>1.0525904712314555</v>
      </c>
    </row>
    <row r="19" spans="1:16" x14ac:dyDescent="0.3">
      <c r="A19" t="s">
        <v>7</v>
      </c>
      <c r="B19">
        <v>1991.2</v>
      </c>
      <c r="C19">
        <v>304</v>
      </c>
      <c r="D19">
        <v>16.07</v>
      </c>
      <c r="E19">
        <v>35740</v>
      </c>
      <c r="F19">
        <v>6.9810350000000003</v>
      </c>
      <c r="G19">
        <v>135.566666666667</v>
      </c>
      <c r="H19">
        <v>8.1254687499999996</v>
      </c>
      <c r="L19">
        <v>6.9810350000000003</v>
      </c>
      <c r="M19">
        <f>F15</f>
        <v>7.110309</v>
      </c>
      <c r="N19">
        <v>8.1254687499999996</v>
      </c>
      <c r="O19">
        <f>D19/D15</f>
        <v>0.93051534452808338</v>
      </c>
      <c r="P19">
        <f>G19/G15</f>
        <v>1.0484660995101855</v>
      </c>
    </row>
    <row r="20" spans="1:16" x14ac:dyDescent="0.3">
      <c r="A20" t="s">
        <v>7</v>
      </c>
      <c r="B20">
        <v>1991.3</v>
      </c>
      <c r="C20">
        <v>38</v>
      </c>
      <c r="D20">
        <v>15.88</v>
      </c>
      <c r="E20">
        <v>35778</v>
      </c>
      <c r="F20">
        <v>6.976845</v>
      </c>
      <c r="G20">
        <v>136.6</v>
      </c>
      <c r="H20">
        <v>7.95</v>
      </c>
      <c r="L20">
        <v>6.976845</v>
      </c>
      <c r="M20">
        <f>F16</f>
        <v>7.1321880000000002</v>
      </c>
      <c r="N20">
        <v>7.95</v>
      </c>
      <c r="O20">
        <f>D20/D16</f>
        <v>0.91738879260543049</v>
      </c>
      <c r="P20">
        <f>G20/G16</f>
        <v>1.0385200202736975</v>
      </c>
    </row>
    <row r="21" spans="1:16" x14ac:dyDescent="0.3">
      <c r="A21" t="s">
        <v>7</v>
      </c>
      <c r="B21">
        <v>1991.4</v>
      </c>
      <c r="C21">
        <v>682</v>
      </c>
      <c r="D21">
        <v>15.69</v>
      </c>
      <c r="E21">
        <v>36460</v>
      </c>
      <c r="F21">
        <v>7.2037399999999998</v>
      </c>
      <c r="G21">
        <v>137.73333333333301</v>
      </c>
      <c r="H21">
        <v>7.3449999999999998</v>
      </c>
      <c r="L21">
        <v>7.2037399999999998</v>
      </c>
      <c r="M21">
        <f>F17</f>
        <v>7.0558199999999998</v>
      </c>
      <c r="N21">
        <v>7.3449999999999998</v>
      </c>
      <c r="O21">
        <f>D21/D17</f>
        <v>0.90432276657060506</v>
      </c>
      <c r="P21">
        <f>G21/G17</f>
        <v>1.0296536257164166</v>
      </c>
    </row>
    <row r="22" spans="1:16" x14ac:dyDescent="0.3">
      <c r="A22" t="s">
        <v>7</v>
      </c>
      <c r="B22">
        <v>1992.1</v>
      </c>
      <c r="C22">
        <v>0</v>
      </c>
      <c r="D22">
        <v>15.48</v>
      </c>
      <c r="E22">
        <v>36460</v>
      </c>
      <c r="F22">
        <v>7.3517070000000002</v>
      </c>
      <c r="G22">
        <v>138.666666666667</v>
      </c>
      <c r="H22">
        <v>7.3069354838709701</v>
      </c>
      <c r="L22">
        <v>7.3517070000000002</v>
      </c>
      <c r="M22">
        <f>F18</f>
        <v>7.0827159999999996</v>
      </c>
      <c r="N22">
        <v>7.3069354838709701</v>
      </c>
      <c r="O22">
        <f>D22/D18</f>
        <v>0.92694610778443121</v>
      </c>
      <c r="P22">
        <f>G22/G18</f>
        <v>1.0289389067524115</v>
      </c>
    </row>
    <row r="23" spans="1:16" x14ac:dyDescent="0.3">
      <c r="A23" t="s">
        <v>7</v>
      </c>
      <c r="B23">
        <v>1992.2</v>
      </c>
      <c r="C23">
        <v>150</v>
      </c>
      <c r="D23">
        <v>15.27</v>
      </c>
      <c r="E23">
        <v>36610</v>
      </c>
      <c r="F23">
        <v>7.8217309999999998</v>
      </c>
      <c r="G23">
        <v>139.73333333333301</v>
      </c>
      <c r="H23">
        <v>7.3760317460317504</v>
      </c>
      <c r="L23">
        <v>7.8217309999999998</v>
      </c>
      <c r="M23">
        <f>F19</f>
        <v>6.9810350000000003</v>
      </c>
      <c r="N23">
        <v>7.3760317460317504</v>
      </c>
      <c r="O23">
        <f>D23/D19</f>
        <v>0.9502177971375233</v>
      </c>
      <c r="P23">
        <f>G23/G19</f>
        <v>1.0307351856405162</v>
      </c>
    </row>
    <row r="24" spans="1:16" x14ac:dyDescent="0.3">
      <c r="A24" t="s">
        <v>7</v>
      </c>
      <c r="B24">
        <v>1992.3</v>
      </c>
      <c r="C24">
        <v>181</v>
      </c>
      <c r="D24">
        <v>14.92</v>
      </c>
      <c r="E24">
        <v>36791</v>
      </c>
      <c r="F24">
        <v>8.0938680000000005</v>
      </c>
      <c r="G24">
        <v>140.80000000000001</v>
      </c>
      <c r="H24">
        <v>6.6187500000000004</v>
      </c>
      <c r="L24">
        <v>8.0938680000000005</v>
      </c>
      <c r="M24">
        <f>F20</f>
        <v>6.976845</v>
      </c>
      <c r="N24">
        <v>6.6187500000000004</v>
      </c>
      <c r="O24">
        <f>D24/D20</f>
        <v>0.93954659949622166</v>
      </c>
      <c r="P24">
        <f>G24/G20</f>
        <v>1.0307467057101025</v>
      </c>
    </row>
    <row r="25" spans="1:16" x14ac:dyDescent="0.3">
      <c r="A25" t="s">
        <v>7</v>
      </c>
      <c r="B25">
        <v>1992.4</v>
      </c>
      <c r="C25">
        <v>0</v>
      </c>
      <c r="D25">
        <v>14.57</v>
      </c>
      <c r="E25">
        <v>36791</v>
      </c>
      <c r="F25">
        <v>8.2039240000000007</v>
      </c>
      <c r="G25">
        <v>142.03333333333299</v>
      </c>
      <c r="H25">
        <v>6.7403225806451603</v>
      </c>
      <c r="L25">
        <v>8.2039240000000007</v>
      </c>
      <c r="M25">
        <f>F21</f>
        <v>7.2037399999999998</v>
      </c>
      <c r="N25">
        <v>6.7403225806451603</v>
      </c>
      <c r="O25">
        <f>D25/D21</f>
        <v>0.92861695347355011</v>
      </c>
      <c r="P25">
        <f>G25/G21</f>
        <v>1.0312197483059051</v>
      </c>
    </row>
    <row r="26" spans="1:16" x14ac:dyDescent="0.3">
      <c r="A26" t="s">
        <v>7</v>
      </c>
      <c r="B26">
        <v>1993.1</v>
      </c>
      <c r="C26">
        <v>0</v>
      </c>
      <c r="D26">
        <v>14.46</v>
      </c>
      <c r="E26">
        <v>36791</v>
      </c>
      <c r="F26">
        <v>8.4061109999999992</v>
      </c>
      <c r="G26">
        <v>143.066666666667</v>
      </c>
      <c r="H26">
        <v>6.25819672131147</v>
      </c>
      <c r="L26">
        <v>8.4061109999999992</v>
      </c>
      <c r="M26">
        <f>F22</f>
        <v>7.3517070000000002</v>
      </c>
      <c r="N26">
        <v>6.25819672131147</v>
      </c>
      <c r="O26">
        <f>D26/D22</f>
        <v>0.93410852713178294</v>
      </c>
      <c r="P26">
        <f>G26/G22</f>
        <v>1.0317307692307691</v>
      </c>
    </row>
    <row r="27" spans="1:16" x14ac:dyDescent="0.3">
      <c r="A27" t="s">
        <v>7</v>
      </c>
      <c r="B27">
        <v>1993.2</v>
      </c>
      <c r="C27">
        <v>71</v>
      </c>
      <c r="D27">
        <v>14.35</v>
      </c>
      <c r="E27">
        <v>36862</v>
      </c>
      <c r="F27">
        <v>8.257612</v>
      </c>
      <c r="G27">
        <v>144.1</v>
      </c>
      <c r="H27">
        <v>5.9880952380952399</v>
      </c>
      <c r="L27">
        <v>8.257612</v>
      </c>
      <c r="M27">
        <f>F23</f>
        <v>7.8217309999999998</v>
      </c>
      <c r="N27">
        <v>5.9880952380952399</v>
      </c>
      <c r="O27">
        <f>D27/D23</f>
        <v>0.93975114603798293</v>
      </c>
      <c r="P27">
        <f>G27/G23</f>
        <v>1.0312500000000024</v>
      </c>
    </row>
    <row r="28" spans="1:16" x14ac:dyDescent="0.3">
      <c r="A28" t="s">
        <v>7</v>
      </c>
      <c r="B28">
        <v>1993.3</v>
      </c>
      <c r="C28">
        <v>0</v>
      </c>
      <c r="D28">
        <v>14.44</v>
      </c>
      <c r="E28">
        <v>36862</v>
      </c>
      <c r="F28">
        <v>8.5246729999999999</v>
      </c>
      <c r="G28">
        <v>144.76666666666699</v>
      </c>
      <c r="H28">
        <v>5.6153124999999999</v>
      </c>
      <c r="L28">
        <v>8.5246729999999999</v>
      </c>
      <c r="M28">
        <f>F24</f>
        <v>8.0938680000000005</v>
      </c>
      <c r="N28">
        <v>5.6153124999999999</v>
      </c>
      <c r="O28">
        <f>D28/D24</f>
        <v>0.96782841823056298</v>
      </c>
      <c r="P28">
        <f>G28/G24</f>
        <v>1.0281723484848506</v>
      </c>
    </row>
    <row r="29" spans="1:16" x14ac:dyDescent="0.3">
      <c r="A29" t="s">
        <v>7</v>
      </c>
      <c r="B29">
        <v>1993.4</v>
      </c>
      <c r="C29">
        <v>0</v>
      </c>
      <c r="D29">
        <v>14.53</v>
      </c>
      <c r="E29">
        <v>36862</v>
      </c>
      <c r="F29">
        <v>8.8000950000000007</v>
      </c>
      <c r="G29">
        <v>145.96666666666701</v>
      </c>
      <c r="H29">
        <v>5.6159677419354797</v>
      </c>
      <c r="L29">
        <v>8.8000950000000007</v>
      </c>
      <c r="M29">
        <f>F25</f>
        <v>8.2039240000000007</v>
      </c>
      <c r="N29">
        <v>5.6159677419354797</v>
      </c>
      <c r="O29">
        <f>D29/D25</f>
        <v>0.99725463280713789</v>
      </c>
      <c r="P29">
        <f>G29/G25</f>
        <v>1.0276930298052149</v>
      </c>
    </row>
    <row r="30" spans="1:16" x14ac:dyDescent="0.3">
      <c r="A30" t="s">
        <v>7</v>
      </c>
      <c r="B30">
        <v>1994.1</v>
      </c>
      <c r="C30">
        <v>0</v>
      </c>
      <c r="D30">
        <v>14.42</v>
      </c>
      <c r="E30">
        <v>36862</v>
      </c>
      <c r="F30">
        <v>9.2731049999999993</v>
      </c>
      <c r="G30">
        <v>146.69999999999999</v>
      </c>
      <c r="H30">
        <v>6.09032258064516</v>
      </c>
      <c r="L30">
        <v>9.2731049999999993</v>
      </c>
      <c r="M30">
        <f>F26</f>
        <v>8.4061109999999992</v>
      </c>
      <c r="N30">
        <v>6.09032258064516</v>
      </c>
      <c r="O30">
        <f>D30/D26</f>
        <v>0.99723374827109257</v>
      </c>
      <c r="P30">
        <f>G30/G26</f>
        <v>1.0253960857409108</v>
      </c>
    </row>
    <row r="31" spans="1:16" x14ac:dyDescent="0.3">
      <c r="A31" t="s">
        <v>7</v>
      </c>
      <c r="B31">
        <v>1994.2</v>
      </c>
      <c r="C31">
        <v>0</v>
      </c>
      <c r="D31">
        <v>14.32</v>
      </c>
      <c r="E31">
        <v>36862</v>
      </c>
      <c r="F31">
        <v>9.7258630000000004</v>
      </c>
      <c r="G31">
        <v>147.53333333333299</v>
      </c>
      <c r="H31">
        <v>7.0895161290322601</v>
      </c>
      <c r="L31">
        <v>9.7258630000000004</v>
      </c>
      <c r="M31">
        <f>F27</f>
        <v>8.257612</v>
      </c>
      <c r="N31">
        <v>7.0895161290322601</v>
      </c>
      <c r="O31">
        <f>D31/D27</f>
        <v>0.99790940766550529</v>
      </c>
      <c r="P31">
        <f>G31/G27</f>
        <v>1.0238260467268077</v>
      </c>
    </row>
    <row r="32" spans="1:16" x14ac:dyDescent="0.3">
      <c r="A32" t="s">
        <v>7</v>
      </c>
      <c r="B32">
        <v>1994.3</v>
      </c>
      <c r="C32">
        <v>0</v>
      </c>
      <c r="D32">
        <v>14.95</v>
      </c>
      <c r="E32">
        <v>36862</v>
      </c>
      <c r="F32">
        <v>9.9661539999999995</v>
      </c>
      <c r="G32">
        <v>148.9</v>
      </c>
      <c r="H32">
        <v>7.3279687500000001</v>
      </c>
      <c r="L32">
        <v>9.9661539999999995</v>
      </c>
      <c r="M32">
        <f>F28</f>
        <v>8.5246729999999999</v>
      </c>
      <c r="N32">
        <v>7.3279687500000001</v>
      </c>
      <c r="O32">
        <f>D32/D28</f>
        <v>1.0353185595567866</v>
      </c>
      <c r="P32">
        <f>G32/G28</f>
        <v>1.0285516923785378</v>
      </c>
    </row>
    <row r="33" spans="1:16" x14ac:dyDescent="0.3">
      <c r="A33" t="s">
        <v>7</v>
      </c>
      <c r="B33">
        <v>1994.4</v>
      </c>
      <c r="C33">
        <v>0</v>
      </c>
      <c r="D33">
        <v>15.61</v>
      </c>
      <c r="E33">
        <v>36862</v>
      </c>
      <c r="F33">
        <v>10.001340000000001</v>
      </c>
      <c r="G33">
        <v>149.76666666666699</v>
      </c>
      <c r="H33">
        <v>7.8372131147540998</v>
      </c>
      <c r="L33">
        <v>10.001340000000001</v>
      </c>
      <c r="M33">
        <f>F29</f>
        <v>8.8000950000000007</v>
      </c>
      <c r="N33">
        <v>7.8372131147540998</v>
      </c>
      <c r="O33">
        <f>D33/D29</f>
        <v>1.0743289745354438</v>
      </c>
      <c r="P33">
        <f>G33/G29</f>
        <v>1.0260333409454212</v>
      </c>
    </row>
    <row r="34" spans="1:16" x14ac:dyDescent="0.3">
      <c r="A34" t="s">
        <v>7</v>
      </c>
      <c r="B34">
        <v>1995.1</v>
      </c>
      <c r="C34">
        <v>0</v>
      </c>
      <c r="D34">
        <v>15.25</v>
      </c>
      <c r="E34">
        <v>36862</v>
      </c>
      <c r="F34">
        <v>10.23804</v>
      </c>
      <c r="G34">
        <v>150.86666666666699</v>
      </c>
      <c r="H34">
        <v>7.47129032258065</v>
      </c>
      <c r="L34">
        <v>10.23804</v>
      </c>
      <c r="M34">
        <f>F30</f>
        <v>9.2731049999999993</v>
      </c>
      <c r="N34">
        <v>7.47129032258065</v>
      </c>
      <c r="O34">
        <f>D34/D30</f>
        <v>1.0575589459084604</v>
      </c>
      <c r="P34">
        <f>G34/G30</f>
        <v>1.0284026357646012</v>
      </c>
    </row>
    <row r="35" spans="1:16" x14ac:dyDescent="0.3">
      <c r="A35" t="s">
        <v>7</v>
      </c>
      <c r="B35">
        <v>1995.2</v>
      </c>
      <c r="C35">
        <v>0</v>
      </c>
      <c r="D35">
        <v>14.9</v>
      </c>
      <c r="E35">
        <v>36862</v>
      </c>
      <c r="F35">
        <v>10.28138</v>
      </c>
      <c r="G35">
        <v>152.1</v>
      </c>
      <c r="H35">
        <v>6.6001587301587303</v>
      </c>
      <c r="L35">
        <v>10.28138</v>
      </c>
      <c r="M35">
        <f>F31</f>
        <v>9.7258630000000004</v>
      </c>
      <c r="N35">
        <v>6.6001587301587303</v>
      </c>
      <c r="O35">
        <f>D35/D31</f>
        <v>1.0405027932960893</v>
      </c>
      <c r="P35">
        <f>G35/G31</f>
        <v>1.0309534568459129</v>
      </c>
    </row>
    <row r="36" spans="1:16" x14ac:dyDescent="0.3">
      <c r="A36" t="s">
        <v>7</v>
      </c>
      <c r="B36">
        <v>1995.3</v>
      </c>
      <c r="C36">
        <v>0</v>
      </c>
      <c r="D36">
        <v>15.03</v>
      </c>
      <c r="E36">
        <v>36862</v>
      </c>
      <c r="F36">
        <v>10.357620000000001</v>
      </c>
      <c r="G36">
        <v>152.86666666666699</v>
      </c>
      <c r="H36">
        <v>6.3292063492063502</v>
      </c>
      <c r="L36">
        <v>10.357620000000001</v>
      </c>
      <c r="M36">
        <f>F32</f>
        <v>9.9661539999999995</v>
      </c>
      <c r="N36">
        <v>6.3292063492063502</v>
      </c>
      <c r="O36">
        <f>D36/D32</f>
        <v>1.0053511705685618</v>
      </c>
      <c r="P36">
        <f>G36/G32</f>
        <v>1.0266398029997783</v>
      </c>
    </row>
    <row r="37" spans="1:16" x14ac:dyDescent="0.3">
      <c r="A37" t="s">
        <v>7</v>
      </c>
      <c r="B37">
        <v>1995.4</v>
      </c>
      <c r="C37">
        <v>0</v>
      </c>
      <c r="D37">
        <v>15.17</v>
      </c>
      <c r="E37">
        <v>36862</v>
      </c>
      <c r="F37">
        <v>10.42863</v>
      </c>
      <c r="G37">
        <v>153.69999999999999</v>
      </c>
      <c r="H37">
        <v>5.8985483870967697</v>
      </c>
      <c r="L37">
        <v>10.42863</v>
      </c>
      <c r="M37">
        <f>F33</f>
        <v>10.001340000000001</v>
      </c>
      <c r="N37">
        <v>5.8985483870967697</v>
      </c>
      <c r="O37">
        <f>D37/D33</f>
        <v>0.97181294042280597</v>
      </c>
      <c r="P37">
        <f>G37/G33</f>
        <v>1.0262630758958358</v>
      </c>
    </row>
    <row r="38" spans="1:16" x14ac:dyDescent="0.3">
      <c r="A38" t="s">
        <v>7</v>
      </c>
      <c r="B38">
        <v>1996.1</v>
      </c>
      <c r="C38">
        <v>0</v>
      </c>
      <c r="D38">
        <v>15.7</v>
      </c>
      <c r="E38">
        <v>36862</v>
      </c>
      <c r="F38">
        <v>9.8047920000000008</v>
      </c>
      <c r="G38">
        <v>155.066666666667</v>
      </c>
      <c r="H38">
        <v>5.9104838709677399</v>
      </c>
      <c r="L38">
        <v>9.8047920000000008</v>
      </c>
      <c r="M38">
        <f>F34</f>
        <v>10.23804</v>
      </c>
      <c r="N38">
        <v>5.9104838709677399</v>
      </c>
      <c r="O38">
        <f>D38/D34</f>
        <v>1.0295081967213113</v>
      </c>
      <c r="P38">
        <f>G38/G34</f>
        <v>1.0278391515687142</v>
      </c>
    </row>
    <row r="39" spans="1:16" x14ac:dyDescent="0.3">
      <c r="A39" t="s">
        <v>7</v>
      </c>
      <c r="B39">
        <v>1996.2</v>
      </c>
      <c r="C39">
        <v>144</v>
      </c>
      <c r="D39">
        <v>16.239999999999998</v>
      </c>
      <c r="E39">
        <v>37006</v>
      </c>
      <c r="F39">
        <v>9.820786</v>
      </c>
      <c r="G39">
        <v>156.4</v>
      </c>
      <c r="H39">
        <v>6.7140624999999998</v>
      </c>
      <c r="L39">
        <v>9.820786</v>
      </c>
      <c r="M39">
        <f>F35</f>
        <v>10.28138</v>
      </c>
      <c r="N39">
        <v>6.7140624999999998</v>
      </c>
      <c r="O39">
        <f>D39/D35</f>
        <v>1.0899328859060402</v>
      </c>
      <c r="P39">
        <f>G39/G35</f>
        <v>1.0282708744247206</v>
      </c>
    </row>
    <row r="40" spans="1:16" x14ac:dyDescent="0.3">
      <c r="A40" t="s">
        <v>7</v>
      </c>
      <c r="B40">
        <v>1996.3</v>
      </c>
      <c r="C40">
        <v>0</v>
      </c>
      <c r="D40">
        <v>16.38</v>
      </c>
      <c r="E40">
        <v>37006</v>
      </c>
      <c r="F40">
        <v>9.6115019999999998</v>
      </c>
      <c r="G40">
        <v>157.30000000000001</v>
      </c>
      <c r="H40">
        <v>6.7759375000000004</v>
      </c>
      <c r="L40">
        <v>9.6115019999999998</v>
      </c>
      <c r="M40">
        <f>F36</f>
        <v>10.357620000000001</v>
      </c>
      <c r="N40">
        <v>6.7759375000000004</v>
      </c>
      <c r="O40">
        <f>D40/D36</f>
        <v>1.0898203592814371</v>
      </c>
      <c r="P40">
        <f>G40/G36</f>
        <v>1.0290013083296969</v>
      </c>
    </row>
    <row r="41" spans="1:16" x14ac:dyDescent="0.3">
      <c r="A41" t="s">
        <v>7</v>
      </c>
      <c r="B41">
        <v>1996.4</v>
      </c>
      <c r="C41">
        <v>0</v>
      </c>
      <c r="D41">
        <v>16.52</v>
      </c>
      <c r="E41">
        <v>37006</v>
      </c>
      <c r="F41">
        <v>9.0594830000000002</v>
      </c>
      <c r="G41">
        <v>158.666666666667</v>
      </c>
      <c r="H41">
        <v>6.3541935483870997</v>
      </c>
      <c r="L41">
        <v>9.0594830000000002</v>
      </c>
      <c r="M41">
        <f>F37</f>
        <v>10.42863</v>
      </c>
      <c r="N41">
        <v>6.3541935483870997</v>
      </c>
      <c r="O41">
        <f>D41/D37</f>
        <v>1.0889914304548451</v>
      </c>
      <c r="P41">
        <f>G41/G37</f>
        <v>1.0323140316634158</v>
      </c>
    </row>
    <row r="42" spans="1:16" x14ac:dyDescent="0.3">
      <c r="A42" t="s">
        <v>7</v>
      </c>
      <c r="B42">
        <v>1997.1</v>
      </c>
      <c r="C42">
        <v>0</v>
      </c>
      <c r="D42">
        <v>17.09</v>
      </c>
      <c r="E42">
        <v>37006</v>
      </c>
      <c r="F42">
        <v>9.0282809999999998</v>
      </c>
      <c r="G42">
        <v>159.63333333333301</v>
      </c>
      <c r="H42">
        <v>6.5670000000000002</v>
      </c>
      <c r="L42">
        <v>9.0282809999999998</v>
      </c>
      <c r="M42">
        <f>F38</f>
        <v>9.8047920000000008</v>
      </c>
      <c r="N42">
        <v>6.5670000000000002</v>
      </c>
      <c r="O42">
        <f>D42/D38</f>
        <v>1.0885350318471338</v>
      </c>
      <c r="P42">
        <f>G42/G38</f>
        <v>1.0294496990541659</v>
      </c>
    </row>
    <row r="43" spans="1:16" x14ac:dyDescent="0.3">
      <c r="A43" t="s">
        <v>7</v>
      </c>
      <c r="B43">
        <v>1997.2</v>
      </c>
      <c r="C43">
        <v>0</v>
      </c>
      <c r="D43">
        <v>17.68</v>
      </c>
      <c r="E43">
        <v>37006</v>
      </c>
      <c r="F43">
        <v>8.8127999999999993</v>
      </c>
      <c r="G43">
        <v>160</v>
      </c>
      <c r="H43">
        <v>6.6996874999999996</v>
      </c>
      <c r="L43">
        <v>8.8127999999999993</v>
      </c>
      <c r="M43">
        <f>F39</f>
        <v>9.820786</v>
      </c>
      <c r="N43">
        <v>6.6996874999999996</v>
      </c>
      <c r="O43">
        <f>D43/D39</f>
        <v>1.0886699507389164</v>
      </c>
      <c r="P43">
        <f>G43/G39</f>
        <v>1.0230179028132993</v>
      </c>
    </row>
    <row r="44" spans="1:16" x14ac:dyDescent="0.3">
      <c r="A44" t="s">
        <v>7</v>
      </c>
      <c r="B44">
        <v>1997.3</v>
      </c>
      <c r="C44">
        <v>0</v>
      </c>
      <c r="D44">
        <v>18.350000000000001</v>
      </c>
      <c r="E44">
        <v>37006</v>
      </c>
      <c r="F44">
        <v>8.6279149999999998</v>
      </c>
      <c r="G44">
        <v>160.80000000000001</v>
      </c>
      <c r="H44">
        <v>6.2421875</v>
      </c>
      <c r="L44">
        <v>8.6279149999999998</v>
      </c>
      <c r="M44">
        <f>F40</f>
        <v>9.6115019999999998</v>
      </c>
      <c r="N44">
        <v>6.2421875</v>
      </c>
      <c r="O44">
        <f>D44/D40</f>
        <v>1.1202686202686205</v>
      </c>
      <c r="P44">
        <f>G44/G40</f>
        <v>1.0222504767959313</v>
      </c>
    </row>
    <row r="45" spans="1:16" x14ac:dyDescent="0.3">
      <c r="A45" t="s">
        <v>7</v>
      </c>
      <c r="B45">
        <v>1997.4</v>
      </c>
      <c r="C45">
        <v>75</v>
      </c>
      <c r="D45">
        <v>19.05</v>
      </c>
      <c r="E45">
        <v>37081</v>
      </c>
      <c r="F45">
        <v>8.9500419999999998</v>
      </c>
      <c r="G45">
        <v>161.666666666667</v>
      </c>
      <c r="H45">
        <v>5.9062903225806496</v>
      </c>
      <c r="L45">
        <v>8.9500419999999998</v>
      </c>
      <c r="M45">
        <f>F41</f>
        <v>9.0594830000000002</v>
      </c>
      <c r="N45">
        <v>5.9062903225806496</v>
      </c>
      <c r="O45">
        <f>D45/D41</f>
        <v>1.1531476997578693</v>
      </c>
      <c r="P45">
        <f>G45/G41</f>
        <v>1.01890756302521</v>
      </c>
    </row>
    <row r="46" spans="1:16" x14ac:dyDescent="0.3">
      <c r="A46" t="s">
        <v>7</v>
      </c>
      <c r="B46">
        <v>1998.1</v>
      </c>
      <c r="C46">
        <v>66</v>
      </c>
      <c r="D46">
        <v>19.66</v>
      </c>
      <c r="E46">
        <v>37147</v>
      </c>
      <c r="F46">
        <v>9.0167490000000008</v>
      </c>
      <c r="G46">
        <v>162</v>
      </c>
      <c r="H46">
        <v>5.5909836065573799</v>
      </c>
      <c r="L46">
        <v>9.0167490000000008</v>
      </c>
      <c r="M46">
        <f>F42</f>
        <v>9.0282809999999998</v>
      </c>
      <c r="N46">
        <v>5.5909836065573799</v>
      </c>
      <c r="O46">
        <f>D46/D42</f>
        <v>1.1503803393797543</v>
      </c>
      <c r="P46">
        <f>G46/G42</f>
        <v>1.0148256420964732</v>
      </c>
    </row>
    <row r="47" spans="1:16" x14ac:dyDescent="0.3">
      <c r="A47" t="s">
        <v>7</v>
      </c>
      <c r="B47">
        <v>1998.2</v>
      </c>
      <c r="C47">
        <v>160</v>
      </c>
      <c r="D47">
        <v>20.29</v>
      </c>
      <c r="E47">
        <v>37307</v>
      </c>
      <c r="F47">
        <v>8.8393990000000002</v>
      </c>
      <c r="G47">
        <v>162.53333333333299</v>
      </c>
      <c r="H47">
        <v>5.5930158730158697</v>
      </c>
      <c r="L47">
        <v>8.8393990000000002</v>
      </c>
      <c r="M47">
        <f>F43</f>
        <v>8.8127999999999993</v>
      </c>
      <c r="N47">
        <v>5.5930158730158697</v>
      </c>
      <c r="O47">
        <f>D47/D43</f>
        <v>1.1476244343891402</v>
      </c>
      <c r="P47">
        <f>G47/G43</f>
        <v>1.0158333333333311</v>
      </c>
    </row>
    <row r="48" spans="1:16" x14ac:dyDescent="0.3">
      <c r="A48" t="s">
        <v>7</v>
      </c>
      <c r="B48">
        <v>1998.3</v>
      </c>
      <c r="C48">
        <v>373</v>
      </c>
      <c r="D48">
        <v>21.03</v>
      </c>
      <c r="E48">
        <v>37680</v>
      </c>
      <c r="F48">
        <v>8.8952360000000006</v>
      </c>
      <c r="G48">
        <v>163.36666666666699</v>
      </c>
      <c r="H48">
        <v>5.2073437499999997</v>
      </c>
      <c r="L48">
        <v>8.8952360000000006</v>
      </c>
      <c r="M48">
        <f>F44</f>
        <v>8.6279149999999998</v>
      </c>
      <c r="N48">
        <v>5.2073437499999997</v>
      </c>
      <c r="O48">
        <f>D48/D44</f>
        <v>1.1460490463215258</v>
      </c>
      <c r="P48">
        <f>G48/G44</f>
        <v>1.0159618573797697</v>
      </c>
    </row>
    <row r="49" spans="1:16" x14ac:dyDescent="0.3">
      <c r="A49" t="s">
        <v>7</v>
      </c>
      <c r="B49">
        <v>1998.4</v>
      </c>
      <c r="C49">
        <v>893</v>
      </c>
      <c r="D49">
        <v>21.8</v>
      </c>
      <c r="E49">
        <v>38573</v>
      </c>
      <c r="F49">
        <v>8.3658669999999997</v>
      </c>
      <c r="G49">
        <v>164.13333333333301</v>
      </c>
      <c r="H49">
        <v>4.6619354838709697</v>
      </c>
      <c r="L49">
        <v>8.3658669999999997</v>
      </c>
      <c r="M49">
        <f>F45</f>
        <v>8.9500419999999998</v>
      </c>
      <c r="N49">
        <v>4.6619354838709697</v>
      </c>
      <c r="O49">
        <f>D49/D45</f>
        <v>1.1443569553805775</v>
      </c>
      <c r="P49">
        <f>G49/G45</f>
        <v>1.0152577319587588</v>
      </c>
    </row>
    <row r="50" spans="1:16" x14ac:dyDescent="0.3">
      <c r="A50" t="s">
        <v>7</v>
      </c>
      <c r="B50">
        <v>1999.1</v>
      </c>
      <c r="C50">
        <v>616</v>
      </c>
      <c r="D50">
        <v>21.76</v>
      </c>
      <c r="E50">
        <v>39189</v>
      </c>
      <c r="F50">
        <v>7.9691960000000002</v>
      </c>
      <c r="G50">
        <v>164.73333333333301</v>
      </c>
      <c r="H50">
        <v>5.0008196721311498</v>
      </c>
      <c r="L50">
        <v>7.9691960000000002</v>
      </c>
      <c r="M50">
        <f>F46</f>
        <v>9.0167490000000008</v>
      </c>
      <c r="N50">
        <v>5.0008196721311498</v>
      </c>
      <c r="O50">
        <f>D50/D46</f>
        <v>1.1068158697863684</v>
      </c>
      <c r="P50">
        <f>G50/G46</f>
        <v>1.0168724279835371</v>
      </c>
    </row>
    <row r="51" spans="1:16" x14ac:dyDescent="0.3">
      <c r="A51" t="s">
        <v>7</v>
      </c>
      <c r="B51">
        <v>1999.2</v>
      </c>
      <c r="C51">
        <v>39</v>
      </c>
      <c r="D51">
        <v>21.72</v>
      </c>
      <c r="E51">
        <v>39228</v>
      </c>
      <c r="F51">
        <v>8.0343929999999997</v>
      </c>
      <c r="G51">
        <v>165.96666666666701</v>
      </c>
      <c r="H51">
        <v>5.5412499999999998</v>
      </c>
      <c r="L51">
        <v>8.0343929999999997</v>
      </c>
      <c r="M51">
        <f>F47</f>
        <v>8.8393990000000002</v>
      </c>
      <c r="N51">
        <v>5.5412499999999998</v>
      </c>
      <c r="O51">
        <f>D51/D47</f>
        <v>1.0704780680138</v>
      </c>
      <c r="P51">
        <f>G51/G47</f>
        <v>1.0211238720262552</v>
      </c>
    </row>
    <row r="52" spans="1:16" x14ac:dyDescent="0.3">
      <c r="A52" t="s">
        <v>7</v>
      </c>
      <c r="B52">
        <v>1999.3</v>
      </c>
      <c r="C52">
        <v>657</v>
      </c>
      <c r="D52">
        <v>21.74</v>
      </c>
      <c r="E52">
        <v>39885</v>
      </c>
      <c r="F52">
        <v>7.7351970000000003</v>
      </c>
      <c r="G52">
        <v>167.2</v>
      </c>
      <c r="H52">
        <v>5.8829687499999999</v>
      </c>
      <c r="L52">
        <v>7.7351970000000003</v>
      </c>
      <c r="M52">
        <f>F48</f>
        <v>8.8952360000000006</v>
      </c>
      <c r="N52">
        <v>5.8829687499999999</v>
      </c>
      <c r="O52">
        <f>D52/D48</f>
        <v>1.0337612933903946</v>
      </c>
      <c r="P52">
        <f>G52/G48</f>
        <v>1.023464599061414</v>
      </c>
    </row>
    <row r="53" spans="1:16" x14ac:dyDescent="0.3">
      <c r="A53" t="s">
        <v>7</v>
      </c>
      <c r="B53">
        <v>1999.4</v>
      </c>
      <c r="C53">
        <v>130</v>
      </c>
      <c r="D53">
        <v>21.76</v>
      </c>
      <c r="E53">
        <v>40015</v>
      </c>
      <c r="F53">
        <v>7.8103619999999996</v>
      </c>
      <c r="G53">
        <v>168.433333333333</v>
      </c>
      <c r="H53">
        <v>6.14483870967742</v>
      </c>
      <c r="L53">
        <v>7.8103619999999996</v>
      </c>
      <c r="M53">
        <f>F49</f>
        <v>8.3658669999999997</v>
      </c>
      <c r="N53">
        <v>6.14483870967742</v>
      </c>
      <c r="O53">
        <f>D53/D49</f>
        <v>0.99816513761467895</v>
      </c>
      <c r="P53">
        <f>G53/G49</f>
        <v>1.0261982128350933</v>
      </c>
    </row>
    <row r="54" spans="1:16" x14ac:dyDescent="0.3">
      <c r="A54" t="s">
        <v>7</v>
      </c>
      <c r="B54">
        <v>2000.1</v>
      </c>
      <c r="C54">
        <v>364</v>
      </c>
      <c r="D54">
        <v>23.17</v>
      </c>
      <c r="E54">
        <v>40379</v>
      </c>
      <c r="F54">
        <v>7.7672439999999998</v>
      </c>
      <c r="G54">
        <v>170.1</v>
      </c>
      <c r="H54">
        <v>6.4684126984126999</v>
      </c>
      <c r="L54">
        <v>7.7672439999999998</v>
      </c>
      <c r="M54">
        <f>F50</f>
        <v>7.9691960000000002</v>
      </c>
      <c r="N54">
        <v>6.4684126984126999</v>
      </c>
      <c r="O54">
        <f>D54/D50</f>
        <v>1.064797794117647</v>
      </c>
      <c r="P54">
        <f>G54/G50</f>
        <v>1.0325779036827216</v>
      </c>
    </row>
    <row r="55" spans="1:16" x14ac:dyDescent="0.3">
      <c r="A55" t="s">
        <v>7</v>
      </c>
      <c r="B55">
        <v>2000.2</v>
      </c>
      <c r="C55">
        <v>308</v>
      </c>
      <c r="D55">
        <v>24.67</v>
      </c>
      <c r="E55">
        <v>40687</v>
      </c>
      <c r="F55">
        <v>7.6363979999999998</v>
      </c>
      <c r="G55">
        <v>171.433333333333</v>
      </c>
      <c r="H55">
        <v>6.1849206349206298</v>
      </c>
      <c r="L55">
        <v>7.6363979999999998</v>
      </c>
      <c r="M55">
        <f>F51</f>
        <v>8.0343929999999997</v>
      </c>
      <c r="N55">
        <v>6.1849206349206298</v>
      </c>
      <c r="O55">
        <f>D55/D51</f>
        <v>1.1358195211786373</v>
      </c>
      <c r="P55">
        <f>G55/G51</f>
        <v>1.0329383410323316</v>
      </c>
    </row>
    <row r="56" spans="1:16" x14ac:dyDescent="0.3">
      <c r="A56" t="s">
        <v>7</v>
      </c>
      <c r="B56">
        <v>2000.3</v>
      </c>
      <c r="C56">
        <v>533</v>
      </c>
      <c r="D56">
        <v>26.16</v>
      </c>
      <c r="E56">
        <v>41220</v>
      </c>
      <c r="F56">
        <v>7.7909259999999998</v>
      </c>
      <c r="G56">
        <v>173</v>
      </c>
      <c r="H56">
        <v>5.8898412698412699</v>
      </c>
      <c r="L56">
        <v>7.7909259999999998</v>
      </c>
      <c r="M56">
        <f>F52</f>
        <v>7.7351970000000003</v>
      </c>
      <c r="N56">
        <v>5.8898412698412699</v>
      </c>
      <c r="O56">
        <f>D56/D52</f>
        <v>1.2033118675252992</v>
      </c>
      <c r="P56">
        <f>G56/G52</f>
        <v>1.0346889952153111</v>
      </c>
    </row>
    <row r="57" spans="1:16" x14ac:dyDescent="0.3">
      <c r="A57" t="s">
        <v>7</v>
      </c>
      <c r="B57">
        <v>2000.4</v>
      </c>
      <c r="C57">
        <v>248</v>
      </c>
      <c r="D57">
        <v>26.36</v>
      </c>
      <c r="E57">
        <v>41468</v>
      </c>
      <c r="F57">
        <v>8.0824780000000001</v>
      </c>
      <c r="G57">
        <v>174.23333333333301</v>
      </c>
      <c r="H57">
        <v>5.5706451612903196</v>
      </c>
      <c r="L57">
        <v>8.0824780000000001</v>
      </c>
      <c r="M57">
        <f>F53</f>
        <v>7.8103619999999996</v>
      </c>
      <c r="N57">
        <v>5.5706451612903196</v>
      </c>
      <c r="O57">
        <f>D57/D53</f>
        <v>1.2113970588235292</v>
      </c>
      <c r="P57">
        <f>G57/G53</f>
        <v>1.0344349891153772</v>
      </c>
    </row>
    <row r="58" spans="1:16" x14ac:dyDescent="0.3">
      <c r="A58" t="s">
        <v>7</v>
      </c>
      <c r="B58">
        <v>2001.1</v>
      </c>
      <c r="C58">
        <v>447</v>
      </c>
      <c r="D58">
        <v>27.21</v>
      </c>
      <c r="E58">
        <v>41915</v>
      </c>
      <c r="F58">
        <v>8.1743790000000001</v>
      </c>
      <c r="G58">
        <v>175.9</v>
      </c>
      <c r="H58">
        <v>5.0441935483871001</v>
      </c>
      <c r="L58">
        <v>8.1743790000000001</v>
      </c>
      <c r="M58">
        <f>F54</f>
        <v>7.7672439999999998</v>
      </c>
      <c r="N58">
        <v>5.0441935483871001</v>
      </c>
      <c r="O58">
        <f>D58/D54</f>
        <v>1.1743634009495036</v>
      </c>
      <c r="P58">
        <f>G58/G54</f>
        <v>1.0340975896531452</v>
      </c>
    </row>
    <row r="59" spans="1:16" x14ac:dyDescent="0.3">
      <c r="A59" t="s">
        <v>7</v>
      </c>
      <c r="B59">
        <v>2001.2</v>
      </c>
      <c r="C59">
        <v>950</v>
      </c>
      <c r="D59">
        <v>26.98</v>
      </c>
      <c r="E59">
        <v>42865</v>
      </c>
      <c r="F59">
        <v>8.380687</v>
      </c>
      <c r="G59">
        <v>177.13333333333301</v>
      </c>
      <c r="H59">
        <v>5.2761904761904797</v>
      </c>
      <c r="L59">
        <v>8.380687</v>
      </c>
      <c r="M59">
        <f>F55</f>
        <v>7.6363979999999998</v>
      </c>
      <c r="N59">
        <v>5.2761904761904797</v>
      </c>
      <c r="O59">
        <f>D59/D55</f>
        <v>1.0936359951357923</v>
      </c>
      <c r="P59">
        <f>G59/G55</f>
        <v>1.0332490764145441</v>
      </c>
    </row>
    <row r="60" spans="1:16" x14ac:dyDescent="0.3">
      <c r="A60" t="s">
        <v>7</v>
      </c>
      <c r="B60">
        <v>2001.3</v>
      </c>
      <c r="C60">
        <v>609</v>
      </c>
      <c r="D60">
        <v>27.26</v>
      </c>
      <c r="E60">
        <v>43474</v>
      </c>
      <c r="F60">
        <v>8.5181179999999994</v>
      </c>
      <c r="G60">
        <v>177.63333333333301</v>
      </c>
      <c r="H60">
        <v>4.9957377049180298</v>
      </c>
      <c r="L60">
        <v>8.5181179999999994</v>
      </c>
      <c r="M60">
        <f>F56</f>
        <v>7.7909259999999998</v>
      </c>
      <c r="N60">
        <v>4.9957377049180298</v>
      </c>
      <c r="O60">
        <f>D60/D56</f>
        <v>1.0420489296636086</v>
      </c>
      <c r="P60">
        <f>G60/G56</f>
        <v>1.0267822736030809</v>
      </c>
    </row>
    <row r="61" spans="1:16" x14ac:dyDescent="0.3">
      <c r="A61" t="s">
        <v>7</v>
      </c>
      <c r="B61">
        <v>2001.4</v>
      </c>
      <c r="C61">
        <v>320</v>
      </c>
      <c r="D61">
        <v>25.82</v>
      </c>
      <c r="E61">
        <v>43794</v>
      </c>
      <c r="F61">
        <v>8.6123010000000004</v>
      </c>
      <c r="G61">
        <v>177.5</v>
      </c>
      <c r="H61">
        <v>4.7620967741935498</v>
      </c>
      <c r="L61">
        <v>8.6123010000000004</v>
      </c>
      <c r="M61">
        <f>F57</f>
        <v>8.0824780000000001</v>
      </c>
      <c r="N61">
        <v>4.7620967741935498</v>
      </c>
      <c r="O61">
        <f>D61/D57</f>
        <v>0.97951441578148712</v>
      </c>
      <c r="P61">
        <f>G61/G57</f>
        <v>1.0187488042854429</v>
      </c>
    </row>
    <row r="62" spans="1:16" x14ac:dyDescent="0.3">
      <c r="A62" t="s">
        <v>7</v>
      </c>
      <c r="B62">
        <v>2002.1</v>
      </c>
      <c r="C62">
        <v>342</v>
      </c>
      <c r="D62">
        <v>26.01</v>
      </c>
      <c r="E62">
        <v>44136</v>
      </c>
      <c r="F62">
        <v>8.7167829999999995</v>
      </c>
      <c r="G62">
        <v>178.066666666667</v>
      </c>
      <c r="H62">
        <v>5.0791666666666702</v>
      </c>
      <c r="L62">
        <v>8.7167829999999995</v>
      </c>
      <c r="M62">
        <f>F58</f>
        <v>8.1743790000000001</v>
      </c>
      <c r="N62">
        <v>5.0791666666666702</v>
      </c>
      <c r="O62">
        <f>D62/D58</f>
        <v>0.95589856670341788</v>
      </c>
      <c r="P62">
        <f>G62/G58</f>
        <v>1.0123176046996418</v>
      </c>
    </row>
    <row r="63" spans="1:16" x14ac:dyDescent="0.3">
      <c r="A63" t="s">
        <v>7</v>
      </c>
      <c r="B63">
        <v>2002.2</v>
      </c>
      <c r="C63">
        <v>280</v>
      </c>
      <c r="D63">
        <v>26.05</v>
      </c>
      <c r="E63">
        <v>44416</v>
      </c>
      <c r="F63">
        <v>8.3812040000000003</v>
      </c>
      <c r="G63">
        <v>179.46666666666701</v>
      </c>
      <c r="H63">
        <v>5.1060937500000003</v>
      </c>
      <c r="L63">
        <v>8.3812040000000003</v>
      </c>
      <c r="M63">
        <f>F59</f>
        <v>8.380687</v>
      </c>
      <c r="N63">
        <v>5.1060937500000003</v>
      </c>
      <c r="O63">
        <f>D63/D59</f>
        <v>0.96553002223869533</v>
      </c>
      <c r="P63">
        <f>G63/G59</f>
        <v>1.0131727512231878</v>
      </c>
    </row>
    <row r="64" spans="1:16" x14ac:dyDescent="0.3">
      <c r="A64" t="s">
        <v>7</v>
      </c>
      <c r="B64">
        <v>2002.3</v>
      </c>
      <c r="C64">
        <v>213</v>
      </c>
      <c r="D64">
        <v>27.11</v>
      </c>
      <c r="E64">
        <v>44629</v>
      </c>
      <c r="F64">
        <v>8.1819050000000004</v>
      </c>
      <c r="G64">
        <v>180.433333333333</v>
      </c>
      <c r="H64">
        <v>4.2723437500000001</v>
      </c>
      <c r="L64">
        <v>8.1819050000000004</v>
      </c>
      <c r="M64">
        <f>F60</f>
        <v>8.5181179999999994</v>
      </c>
      <c r="N64">
        <v>4.2723437500000001</v>
      </c>
      <c r="O64">
        <f>D64/D60</f>
        <v>0.99449743213499631</v>
      </c>
      <c r="P64">
        <f>G64/G60</f>
        <v>1.0157628072809157</v>
      </c>
    </row>
    <row r="65" spans="1:16" x14ac:dyDescent="0.3">
      <c r="A65" t="s">
        <v>7</v>
      </c>
      <c r="B65">
        <v>2002.4</v>
      </c>
      <c r="C65">
        <v>620</v>
      </c>
      <c r="D65">
        <v>26.9</v>
      </c>
      <c r="E65">
        <v>45249</v>
      </c>
      <c r="F65">
        <v>7.9232490000000002</v>
      </c>
      <c r="G65">
        <v>181.5</v>
      </c>
      <c r="H65">
        <v>4.0048387096774203</v>
      </c>
      <c r="L65">
        <v>7.9232490000000002</v>
      </c>
      <c r="M65">
        <f>F61</f>
        <v>8.6123010000000004</v>
      </c>
      <c r="N65">
        <v>4.0048387096774203</v>
      </c>
      <c r="O65">
        <f>D65/D61</f>
        <v>1.0418280402788536</v>
      </c>
      <c r="P65">
        <f>G65/G61</f>
        <v>1.0225352112676056</v>
      </c>
    </row>
    <row r="66" spans="1:16" x14ac:dyDescent="0.3">
      <c r="A66" t="s">
        <v>7</v>
      </c>
      <c r="B66">
        <v>2003.1</v>
      </c>
      <c r="C66">
        <v>277</v>
      </c>
      <c r="D66">
        <v>26.79</v>
      </c>
      <c r="E66">
        <v>45526</v>
      </c>
      <c r="F66">
        <v>7.9041639999999997</v>
      </c>
      <c r="G66">
        <v>183.36666666666699</v>
      </c>
      <c r="H66">
        <v>3.92</v>
      </c>
      <c r="L66">
        <v>7.9041639999999997</v>
      </c>
      <c r="M66">
        <f>F62</f>
        <v>8.7167829999999995</v>
      </c>
      <c r="N66">
        <v>3.92</v>
      </c>
      <c r="O66">
        <f>D66/D62</f>
        <v>1.029988465974625</v>
      </c>
      <c r="P66">
        <f>G66/G62</f>
        <v>1.0297641332834142</v>
      </c>
    </row>
    <row r="67" spans="1:16" x14ac:dyDescent="0.3">
      <c r="A67" t="s">
        <v>7</v>
      </c>
      <c r="B67">
        <v>2003.2</v>
      </c>
      <c r="C67">
        <v>153</v>
      </c>
      <c r="D67">
        <v>26.66</v>
      </c>
      <c r="E67">
        <v>45679</v>
      </c>
      <c r="F67">
        <v>7.9471959999999999</v>
      </c>
      <c r="G67">
        <v>183.066666666667</v>
      </c>
      <c r="H67">
        <v>3.6206349206349202</v>
      </c>
      <c r="L67">
        <v>7.9471959999999999</v>
      </c>
      <c r="M67">
        <f>F63</f>
        <v>8.3812040000000003</v>
      </c>
      <c r="N67">
        <v>3.6206349206349202</v>
      </c>
      <c r="O67">
        <f>D67/D63</f>
        <v>1.0234165067178502</v>
      </c>
      <c r="P67">
        <f>G67/G63</f>
        <v>1.0200594353640415</v>
      </c>
    </row>
    <row r="68" spans="1:16" x14ac:dyDescent="0.3">
      <c r="A68" t="s">
        <v>7</v>
      </c>
      <c r="B68">
        <v>2003.3</v>
      </c>
      <c r="C68">
        <v>362</v>
      </c>
      <c r="D68">
        <v>26.23</v>
      </c>
      <c r="E68">
        <v>46041</v>
      </c>
      <c r="F68">
        <v>7.8894019999999996</v>
      </c>
      <c r="G68">
        <v>184.433333333333</v>
      </c>
      <c r="H68">
        <v>4.2276562499999999</v>
      </c>
      <c r="L68">
        <v>7.8894019999999996</v>
      </c>
      <c r="M68">
        <f>F64</f>
        <v>8.1819050000000004</v>
      </c>
      <c r="N68">
        <v>4.2276562499999999</v>
      </c>
      <c r="O68">
        <f>D68/D64</f>
        <v>0.96753965326447811</v>
      </c>
      <c r="P68">
        <f>G68/G64</f>
        <v>1.0221688527618695</v>
      </c>
    </row>
    <row r="69" spans="1:16" x14ac:dyDescent="0.3">
      <c r="A69" t="s">
        <v>7</v>
      </c>
      <c r="B69">
        <v>2003.4</v>
      </c>
      <c r="C69">
        <v>206</v>
      </c>
      <c r="D69">
        <v>25.79</v>
      </c>
      <c r="E69">
        <v>46247</v>
      </c>
      <c r="F69">
        <v>7.8474360000000001</v>
      </c>
      <c r="G69">
        <v>185.13333333333301</v>
      </c>
      <c r="H69">
        <v>4.2851612903225798</v>
      </c>
      <c r="L69">
        <v>7.8474360000000001</v>
      </c>
      <c r="M69">
        <f>F65</f>
        <v>7.9232490000000002</v>
      </c>
      <c r="N69">
        <v>4.2851612903225798</v>
      </c>
      <c r="O69">
        <f>D69/D65</f>
        <v>0.95873605947955387</v>
      </c>
      <c r="P69">
        <f>G69/G65</f>
        <v>1.0200183654729091</v>
      </c>
    </row>
    <row r="70" spans="1:16" x14ac:dyDescent="0.3">
      <c r="A70" t="s">
        <v>7</v>
      </c>
      <c r="B70">
        <v>2004.1</v>
      </c>
      <c r="C70">
        <v>100</v>
      </c>
      <c r="D70">
        <v>26.15</v>
      </c>
      <c r="E70">
        <v>46347</v>
      </c>
      <c r="F70">
        <v>7.7857130000000003</v>
      </c>
      <c r="G70">
        <v>186.7</v>
      </c>
      <c r="H70">
        <v>4.01</v>
      </c>
      <c r="L70">
        <v>7.7857130000000003</v>
      </c>
      <c r="M70">
        <f>F66</f>
        <v>7.9041639999999997</v>
      </c>
      <c r="N70">
        <v>4.01</v>
      </c>
      <c r="O70">
        <f>D70/D66</f>
        <v>0.97611048898842845</v>
      </c>
      <c r="P70">
        <f>G70/G66</f>
        <v>1.0181785129976348</v>
      </c>
    </row>
    <row r="71" spans="1:16" x14ac:dyDescent="0.3">
      <c r="A71" t="s">
        <v>7</v>
      </c>
      <c r="B71">
        <v>2004.2</v>
      </c>
      <c r="C71">
        <v>156</v>
      </c>
      <c r="D71">
        <v>26.34</v>
      </c>
      <c r="E71">
        <v>46503</v>
      </c>
      <c r="F71">
        <v>7.4127980000000004</v>
      </c>
      <c r="G71">
        <v>188.166666666667</v>
      </c>
      <c r="H71">
        <v>4.5970967741935498</v>
      </c>
      <c r="L71">
        <v>7.4127980000000004</v>
      </c>
      <c r="M71">
        <f>F67</f>
        <v>7.9471959999999999</v>
      </c>
      <c r="N71">
        <v>4.5970967741935498</v>
      </c>
      <c r="O71">
        <f>D71/D67</f>
        <v>0.98799699924981244</v>
      </c>
      <c r="P71">
        <f>G71/G67</f>
        <v>1.0278587035688274</v>
      </c>
    </row>
    <row r="72" spans="1:16" x14ac:dyDescent="0.3">
      <c r="A72" t="s">
        <v>7</v>
      </c>
      <c r="B72">
        <v>2004.3</v>
      </c>
      <c r="C72">
        <v>104</v>
      </c>
      <c r="D72">
        <v>26.33</v>
      </c>
      <c r="E72">
        <v>46607</v>
      </c>
      <c r="F72">
        <v>7.2848680000000003</v>
      </c>
      <c r="G72">
        <v>189.36666666666699</v>
      </c>
      <c r="H72">
        <v>4.3014062500000003</v>
      </c>
      <c r="L72">
        <v>7.2848680000000003</v>
      </c>
      <c r="M72">
        <f>F68</f>
        <v>7.8894019999999996</v>
      </c>
      <c r="N72">
        <v>4.3014062500000003</v>
      </c>
      <c r="O72">
        <f>D72/D68</f>
        <v>1.0038124285169652</v>
      </c>
      <c r="P72">
        <f>G72/G68</f>
        <v>1.0267485993132153</v>
      </c>
    </row>
    <row r="73" spans="1:16" x14ac:dyDescent="0.3">
      <c r="A73" t="s">
        <v>7</v>
      </c>
      <c r="B73">
        <v>2004.4</v>
      </c>
      <c r="C73">
        <v>192</v>
      </c>
      <c r="D73">
        <v>26.42</v>
      </c>
      <c r="E73">
        <v>46799</v>
      </c>
      <c r="F73">
        <v>7.0028709999999998</v>
      </c>
      <c r="G73">
        <v>191.4</v>
      </c>
      <c r="H73">
        <v>4.1758064516128997</v>
      </c>
      <c r="L73">
        <v>7.0028709999999998</v>
      </c>
      <c r="M73">
        <f>F69</f>
        <v>7.8474360000000001</v>
      </c>
      <c r="N73">
        <v>4.1758064516128997</v>
      </c>
      <c r="O73">
        <f>D73/D69</f>
        <v>1.0244280728964716</v>
      </c>
      <c r="P73">
        <f>G73/G69</f>
        <v>1.033849477853801</v>
      </c>
    </row>
    <row r="74" spans="1:16" x14ac:dyDescent="0.3">
      <c r="A74" t="s">
        <v>7</v>
      </c>
      <c r="B74">
        <v>2005.1</v>
      </c>
      <c r="C74">
        <v>325</v>
      </c>
      <c r="D74">
        <v>26.96</v>
      </c>
      <c r="E74">
        <v>47124</v>
      </c>
      <c r="F74">
        <v>6.7475500000000004</v>
      </c>
      <c r="G74">
        <v>192.36666666666699</v>
      </c>
      <c r="H74">
        <v>4.3036065573770497</v>
      </c>
      <c r="L74">
        <v>6.7475500000000004</v>
      </c>
      <c r="M74">
        <f>F70</f>
        <v>7.7857130000000003</v>
      </c>
      <c r="N74">
        <v>4.3036065573770497</v>
      </c>
      <c r="O74">
        <f>D74/D70</f>
        <v>1.0309751434034418</v>
      </c>
      <c r="P74">
        <f>G74/G70</f>
        <v>1.0303517229066257</v>
      </c>
    </row>
    <row r="75" spans="1:16" x14ac:dyDescent="0.3">
      <c r="A75" t="s">
        <v>7</v>
      </c>
      <c r="B75">
        <v>2005.2</v>
      </c>
      <c r="C75">
        <v>294</v>
      </c>
      <c r="D75">
        <v>27.29</v>
      </c>
      <c r="E75">
        <v>47418</v>
      </c>
      <c r="F75">
        <v>6.7550239999999997</v>
      </c>
      <c r="G75">
        <v>193.666666666667</v>
      </c>
      <c r="H75">
        <v>4.1585937499999996</v>
      </c>
      <c r="L75">
        <v>6.7550239999999997</v>
      </c>
      <c r="M75">
        <f>F71</f>
        <v>7.4127980000000004</v>
      </c>
      <c r="N75">
        <v>4.1585937499999996</v>
      </c>
      <c r="O75">
        <f>D75/D71</f>
        <v>1.0360668185269553</v>
      </c>
      <c r="P75">
        <f>G75/G71</f>
        <v>1.0292294065544729</v>
      </c>
    </row>
    <row r="76" spans="1:16" x14ac:dyDescent="0.3">
      <c r="A76" t="s">
        <v>7</v>
      </c>
      <c r="B76">
        <v>2005.3</v>
      </c>
      <c r="C76">
        <v>1115</v>
      </c>
      <c r="D76">
        <v>27.66</v>
      </c>
      <c r="E76">
        <v>48533</v>
      </c>
      <c r="F76">
        <v>6.3333880000000002</v>
      </c>
      <c r="G76">
        <v>196.6</v>
      </c>
      <c r="H76">
        <v>4.2151562499999997</v>
      </c>
      <c r="L76">
        <v>6.3333880000000002</v>
      </c>
      <c r="M76">
        <f>F72</f>
        <v>7.2848680000000003</v>
      </c>
      <c r="N76">
        <v>4.2151562499999997</v>
      </c>
      <c r="O76">
        <f>D76/D72</f>
        <v>1.0505127231295102</v>
      </c>
      <c r="P76">
        <f>G76/G72</f>
        <v>1.0381975004400616</v>
      </c>
    </row>
    <row r="77" spans="1:16" x14ac:dyDescent="0.3">
      <c r="A77" t="s">
        <v>7</v>
      </c>
      <c r="B77">
        <v>2005.4</v>
      </c>
      <c r="C77">
        <v>378</v>
      </c>
      <c r="D77">
        <v>28.02</v>
      </c>
      <c r="E77">
        <v>48911</v>
      </c>
      <c r="F77">
        <v>6.0710490000000004</v>
      </c>
      <c r="G77">
        <v>198.433333333333</v>
      </c>
      <c r="H77">
        <v>4.4881967213114802</v>
      </c>
      <c r="L77">
        <v>6.0710490000000004</v>
      </c>
      <c r="M77">
        <f>F73</f>
        <v>7.0028709999999998</v>
      </c>
      <c r="N77">
        <v>4.4881967213114802</v>
      </c>
      <c r="O77">
        <f>D77/D73</f>
        <v>1.060560181680545</v>
      </c>
      <c r="P77">
        <f>G77/G73</f>
        <v>1.0367467781260866</v>
      </c>
    </row>
    <row r="78" spans="1:16" x14ac:dyDescent="0.3">
      <c r="A78" t="s">
        <v>7</v>
      </c>
      <c r="B78">
        <v>2006.1</v>
      </c>
      <c r="C78">
        <v>283</v>
      </c>
      <c r="D78">
        <v>29.25</v>
      </c>
      <c r="E78">
        <v>49194</v>
      </c>
      <c r="F78">
        <v>5.6566590000000003</v>
      </c>
      <c r="G78">
        <v>199.46666666666701</v>
      </c>
      <c r="H78">
        <v>4.5770967741935502</v>
      </c>
      <c r="L78">
        <v>5.6566590000000003</v>
      </c>
      <c r="M78">
        <f>F74</f>
        <v>6.7475500000000004</v>
      </c>
      <c r="N78">
        <v>4.5770967741935502</v>
      </c>
      <c r="O78">
        <f>D78/D74</f>
        <v>1.0849406528189911</v>
      </c>
      <c r="P78">
        <f>G78/G74</f>
        <v>1.0369086813377231</v>
      </c>
    </row>
    <row r="79" spans="1:16" x14ac:dyDescent="0.3">
      <c r="A79" t="s">
        <v>7</v>
      </c>
      <c r="B79">
        <v>2006.2</v>
      </c>
      <c r="C79">
        <v>231</v>
      </c>
      <c r="D79">
        <v>29.3</v>
      </c>
      <c r="E79">
        <v>49425</v>
      </c>
      <c r="F79">
        <v>5.2707699999999997</v>
      </c>
      <c r="G79">
        <v>201.26666666666699</v>
      </c>
      <c r="H79">
        <v>5.0726984126984096</v>
      </c>
      <c r="L79">
        <v>5.2707699999999997</v>
      </c>
      <c r="M79">
        <f>F75</f>
        <v>6.7550239999999997</v>
      </c>
      <c r="N79">
        <v>5.0726984126984096</v>
      </c>
      <c r="O79">
        <f>D79/D75</f>
        <v>1.0736533528765115</v>
      </c>
      <c r="P79">
        <f>G79/G75</f>
        <v>1.0392426850258174</v>
      </c>
    </row>
    <row r="80" spans="1:16" x14ac:dyDescent="0.3">
      <c r="A80" t="s">
        <v>7</v>
      </c>
      <c r="B80">
        <v>2006.3</v>
      </c>
      <c r="C80">
        <v>577</v>
      </c>
      <c r="D80">
        <v>29.42</v>
      </c>
      <c r="E80">
        <v>50002</v>
      </c>
      <c r="F80">
        <v>5.2142780000000002</v>
      </c>
      <c r="G80">
        <v>203.166666666667</v>
      </c>
      <c r="H80">
        <v>4.8934920634920704</v>
      </c>
      <c r="L80">
        <v>5.2142780000000002</v>
      </c>
      <c r="M80">
        <f>F76</f>
        <v>6.3333880000000002</v>
      </c>
      <c r="N80">
        <v>4.8934920634920704</v>
      </c>
      <c r="O80">
        <f>D80/D76</f>
        <v>1.0636297903109184</v>
      </c>
      <c r="P80">
        <f>G80/G76</f>
        <v>1.0334011529331995</v>
      </c>
    </row>
    <row r="81" spans="1:16" x14ac:dyDescent="0.3">
      <c r="A81" t="s">
        <v>7</v>
      </c>
      <c r="B81">
        <v>2006.4</v>
      </c>
      <c r="C81">
        <v>722</v>
      </c>
      <c r="D81">
        <v>29.48</v>
      </c>
      <c r="E81">
        <v>50724</v>
      </c>
      <c r="F81">
        <v>5.1161289999999999</v>
      </c>
      <c r="G81">
        <v>202.333333333333</v>
      </c>
      <c r="H81">
        <v>4.6306451612903201</v>
      </c>
      <c r="L81">
        <v>5.1161289999999999</v>
      </c>
      <c r="M81">
        <f>F77</f>
        <v>6.0710490000000004</v>
      </c>
      <c r="N81">
        <v>4.6306451612903201</v>
      </c>
      <c r="O81">
        <f>D81/D77</f>
        <v>1.0521056388294077</v>
      </c>
      <c r="P81">
        <f>G81/G77</f>
        <v>1.0196539559885773</v>
      </c>
    </row>
    <row r="82" spans="1:16" x14ac:dyDescent="0.3">
      <c r="A82" t="s">
        <v>7</v>
      </c>
      <c r="B82">
        <v>2007.1</v>
      </c>
      <c r="C82">
        <v>248</v>
      </c>
      <c r="D82">
        <v>30.3</v>
      </c>
      <c r="E82">
        <v>50972</v>
      </c>
      <c r="F82">
        <v>5.1192840000000004</v>
      </c>
      <c r="G82">
        <v>204.31700000000001</v>
      </c>
      <c r="H82">
        <v>4.6790322580645203</v>
      </c>
      <c r="L82">
        <v>5.1192840000000004</v>
      </c>
      <c r="M82">
        <f>F78</f>
        <v>5.6566590000000003</v>
      </c>
      <c r="N82">
        <v>4.6790322580645203</v>
      </c>
      <c r="O82">
        <f>D82/D78</f>
        <v>1.035897435897436</v>
      </c>
      <c r="P82">
        <f>G82/G78</f>
        <v>1.0243165106951855</v>
      </c>
    </row>
    <row r="83" spans="1:16" x14ac:dyDescent="0.3">
      <c r="A83" t="s">
        <v>7</v>
      </c>
      <c r="B83">
        <v>2007.2</v>
      </c>
      <c r="C83">
        <v>1018</v>
      </c>
      <c r="D83">
        <v>30.4</v>
      </c>
      <c r="E83">
        <v>51990</v>
      </c>
      <c r="F83">
        <v>5.0671739999999996</v>
      </c>
      <c r="G83">
        <v>206.631</v>
      </c>
      <c r="H83">
        <v>4.8460937499999996</v>
      </c>
      <c r="L83">
        <v>5.0671739999999996</v>
      </c>
      <c r="M83">
        <f>F79</f>
        <v>5.2707699999999997</v>
      </c>
      <c r="N83">
        <v>4.8460937499999996</v>
      </c>
      <c r="O83">
        <f>D83/D79</f>
        <v>1.0375426621160408</v>
      </c>
      <c r="P83">
        <f>G83/G79</f>
        <v>1.0266528651871465</v>
      </c>
    </row>
    <row r="84" spans="1:16" x14ac:dyDescent="0.3">
      <c r="A84" t="s">
        <v>7</v>
      </c>
      <c r="B84">
        <v>2007.3</v>
      </c>
      <c r="C84">
        <v>862</v>
      </c>
      <c r="D84">
        <v>30.76</v>
      </c>
      <c r="E84">
        <v>52852</v>
      </c>
      <c r="F84">
        <v>4.9299840000000001</v>
      </c>
      <c r="G84">
        <v>207.93899999999999</v>
      </c>
      <c r="H84">
        <v>4.7384126984127004</v>
      </c>
      <c r="L84">
        <v>4.9299840000000001</v>
      </c>
      <c r="M84">
        <f>F80</f>
        <v>5.2142780000000002</v>
      </c>
      <c r="N84">
        <v>4.7384126984127004</v>
      </c>
      <c r="O84">
        <f>D84/D80</f>
        <v>1.0455472467709042</v>
      </c>
      <c r="P84">
        <f>G84/G80</f>
        <v>1.0234897456931895</v>
      </c>
    </row>
    <row r="85" spans="1:16" x14ac:dyDescent="0.3">
      <c r="A85" t="s">
        <v>7</v>
      </c>
      <c r="B85">
        <v>2007.4</v>
      </c>
      <c r="C85">
        <v>472</v>
      </c>
      <c r="D85">
        <v>31.16</v>
      </c>
      <c r="E85">
        <v>53324</v>
      </c>
      <c r="F85">
        <v>4.9362440000000003</v>
      </c>
      <c r="G85">
        <v>210.48966666666701</v>
      </c>
      <c r="H85">
        <v>4.26661290322581</v>
      </c>
      <c r="L85">
        <v>4.9362440000000003</v>
      </c>
      <c r="M85">
        <f>F81</f>
        <v>5.1161289999999999</v>
      </c>
      <c r="N85">
        <v>4.26661290322581</v>
      </c>
      <c r="O85">
        <f>D85/D81</f>
        <v>1.0569877883310719</v>
      </c>
      <c r="P85">
        <f>G85/G81</f>
        <v>1.0403113673805635</v>
      </c>
    </row>
    <row r="86" spans="1:16" x14ac:dyDescent="0.3">
      <c r="A86" t="s">
        <v>7</v>
      </c>
      <c r="B86">
        <v>2008.1</v>
      </c>
      <c r="C86">
        <v>535</v>
      </c>
      <c r="D86">
        <v>30.82</v>
      </c>
      <c r="E86">
        <v>53859</v>
      </c>
      <c r="F86">
        <v>4.8559289999999997</v>
      </c>
      <c r="G86">
        <v>212.76966666666701</v>
      </c>
      <c r="H86">
        <v>3.6652459016393402</v>
      </c>
      <c r="L86">
        <v>4.8559289999999997</v>
      </c>
      <c r="M86">
        <f>F82</f>
        <v>5.1192840000000004</v>
      </c>
      <c r="N86">
        <v>3.6652459016393402</v>
      </c>
      <c r="O86">
        <f>D86/D82</f>
        <v>1.0171617161716171</v>
      </c>
      <c r="P86">
        <f>G86/G82</f>
        <v>1.0413703542371266</v>
      </c>
    </row>
    <row r="87" spans="1:16" x14ac:dyDescent="0.3">
      <c r="A87" t="s">
        <v>7</v>
      </c>
      <c r="B87">
        <v>2008.2</v>
      </c>
      <c r="C87">
        <v>421</v>
      </c>
      <c r="D87">
        <v>30.62</v>
      </c>
      <c r="E87">
        <v>54280</v>
      </c>
      <c r="F87">
        <v>4.8139260000000004</v>
      </c>
      <c r="G87">
        <v>215.53766666666701</v>
      </c>
      <c r="H87">
        <v>3.8815624999999998</v>
      </c>
      <c r="L87">
        <v>4.8139260000000004</v>
      </c>
      <c r="M87">
        <f>F83</f>
        <v>5.0671739999999996</v>
      </c>
      <c r="N87">
        <v>3.8815624999999998</v>
      </c>
      <c r="O87">
        <f>D87/D83</f>
        <v>1.0072368421052633</v>
      </c>
      <c r="P87">
        <f>G87/G83</f>
        <v>1.0431042131464641</v>
      </c>
    </row>
    <row r="88" spans="1:16" x14ac:dyDescent="0.3">
      <c r="A88" t="s">
        <v>7</v>
      </c>
      <c r="B88">
        <v>2008.3</v>
      </c>
      <c r="C88">
        <v>140</v>
      </c>
      <c r="D88">
        <v>30.67</v>
      </c>
      <c r="E88">
        <v>54420</v>
      </c>
      <c r="F88">
        <v>4.8251860000000004</v>
      </c>
      <c r="G88">
        <v>218.86099999999999</v>
      </c>
      <c r="H88">
        <v>3.8621875000000001</v>
      </c>
      <c r="L88">
        <v>4.8251860000000004</v>
      </c>
      <c r="M88">
        <f>F84</f>
        <v>4.9299840000000001</v>
      </c>
      <c r="N88">
        <v>3.8621875000000001</v>
      </c>
      <c r="O88">
        <f>D88/D84</f>
        <v>0.99707412223667102</v>
      </c>
      <c r="P88">
        <f>G88/G84</f>
        <v>1.0525250193566382</v>
      </c>
    </row>
    <row r="89" spans="1:16" x14ac:dyDescent="0.3">
      <c r="A89" t="s">
        <v>7</v>
      </c>
      <c r="B89">
        <v>2008.4</v>
      </c>
      <c r="C89">
        <v>846</v>
      </c>
      <c r="D89">
        <v>30.16</v>
      </c>
      <c r="E89">
        <v>55266</v>
      </c>
      <c r="F89">
        <v>4.9331639999999997</v>
      </c>
      <c r="G89">
        <v>213.84866666666699</v>
      </c>
      <c r="H89">
        <v>3.2346774193548402</v>
      </c>
      <c r="L89">
        <v>4.9331639999999997</v>
      </c>
      <c r="M89">
        <f>F85</f>
        <v>4.9362440000000003</v>
      </c>
      <c r="N89">
        <v>3.2346774193548402</v>
      </c>
      <c r="O89">
        <f>D89/D85</f>
        <v>0.96790757381258019</v>
      </c>
      <c r="P89">
        <f>G89/G85</f>
        <v>1.0159580280267122</v>
      </c>
    </row>
    <row r="90" spans="1:16" x14ac:dyDescent="0.3">
      <c r="A90" t="s">
        <v>7</v>
      </c>
      <c r="B90">
        <v>2009.1</v>
      </c>
      <c r="C90">
        <v>111</v>
      </c>
      <c r="D90">
        <v>27.88</v>
      </c>
      <c r="E90">
        <v>55377</v>
      </c>
      <c r="F90">
        <v>5.2299369999999996</v>
      </c>
      <c r="G90">
        <v>212.37766666666701</v>
      </c>
      <c r="H90">
        <v>2.7362295081967201</v>
      </c>
      <c r="L90">
        <v>5.2299369999999996</v>
      </c>
      <c r="M90">
        <f>F86</f>
        <v>4.8559289999999997</v>
      </c>
      <c r="N90">
        <v>2.7362295081967201</v>
      </c>
      <c r="O90">
        <f>D90/D86</f>
        <v>0.90460739779364041</v>
      </c>
      <c r="P90">
        <f>G90/G86</f>
        <v>0.99815763211861341</v>
      </c>
    </row>
    <row r="91" spans="1:16" x14ac:dyDescent="0.3">
      <c r="A91" t="s">
        <v>7</v>
      </c>
      <c r="B91">
        <v>2009.2</v>
      </c>
      <c r="C91">
        <v>331</v>
      </c>
      <c r="D91">
        <v>26.09</v>
      </c>
      <c r="E91">
        <v>55708</v>
      </c>
      <c r="F91">
        <v>5.5078779999999998</v>
      </c>
      <c r="G91">
        <v>213.50700000000001</v>
      </c>
      <c r="H91">
        <v>3.3207936507936502</v>
      </c>
      <c r="L91">
        <v>5.5078779999999998</v>
      </c>
      <c r="M91">
        <f>F87</f>
        <v>4.8139260000000004</v>
      </c>
      <c r="N91">
        <v>3.3207936507936502</v>
      </c>
      <c r="O91">
        <f>D91/D87</f>
        <v>0.85205747877204441</v>
      </c>
      <c r="P91">
        <f>G91/G87</f>
        <v>0.99057859956418914</v>
      </c>
    </row>
    <row r="92" spans="1:16" x14ac:dyDescent="0.3">
      <c r="A92" t="s">
        <v>7</v>
      </c>
      <c r="B92">
        <v>2009.3</v>
      </c>
      <c r="C92">
        <v>15</v>
      </c>
      <c r="D92">
        <v>26.59</v>
      </c>
      <c r="E92">
        <v>55723</v>
      </c>
      <c r="F92">
        <v>5.8014380000000001</v>
      </c>
      <c r="G92">
        <v>215.34399999999999</v>
      </c>
      <c r="H92">
        <v>3.5178124999999998</v>
      </c>
      <c r="L92">
        <v>5.8014380000000001</v>
      </c>
      <c r="M92">
        <f>F88</f>
        <v>4.8251860000000004</v>
      </c>
      <c r="N92">
        <v>3.5178124999999998</v>
      </c>
      <c r="O92">
        <f>D92/D88</f>
        <v>0.86697098141506357</v>
      </c>
      <c r="P92">
        <f>G92/G88</f>
        <v>0.98393043986822692</v>
      </c>
    </row>
    <row r="93" spans="1:16" x14ac:dyDescent="0.3">
      <c r="A93" t="s">
        <v>7</v>
      </c>
      <c r="B93">
        <v>2009.4</v>
      </c>
      <c r="C93">
        <v>3</v>
      </c>
      <c r="D93">
        <v>26.06</v>
      </c>
      <c r="E93">
        <v>55726</v>
      </c>
      <c r="F93">
        <v>6.055021</v>
      </c>
      <c r="G93">
        <v>217.03</v>
      </c>
      <c r="H93">
        <v>3.46403225806452</v>
      </c>
      <c r="L93">
        <v>6.055021</v>
      </c>
      <c r="M93">
        <f>F89</f>
        <v>4.9331639999999997</v>
      </c>
      <c r="N93">
        <v>3.46403225806452</v>
      </c>
      <c r="O93">
        <f>D93/D89</f>
        <v>0.86405835543766574</v>
      </c>
      <c r="P93">
        <f>G93/G89</f>
        <v>1.0148765638005677</v>
      </c>
    </row>
    <row r="94" spans="1:16" x14ac:dyDescent="0.3">
      <c r="A94" t="s">
        <v>7</v>
      </c>
      <c r="B94">
        <v>2010.1</v>
      </c>
      <c r="C94">
        <v>79</v>
      </c>
      <c r="D94">
        <v>25.73</v>
      </c>
      <c r="E94">
        <v>55805</v>
      </c>
      <c r="F94">
        <v>6.1431180000000003</v>
      </c>
      <c r="G94">
        <v>217.374</v>
      </c>
      <c r="H94">
        <v>3.71786885245902</v>
      </c>
      <c r="L94">
        <v>6.1431180000000003</v>
      </c>
      <c r="M94">
        <f>F90</f>
        <v>5.2299369999999996</v>
      </c>
      <c r="N94">
        <v>3.71786885245902</v>
      </c>
      <c r="O94">
        <f>D94/D90</f>
        <v>0.92288378766140611</v>
      </c>
      <c r="P94">
        <f>G94/G90</f>
        <v>1.0235257002854961</v>
      </c>
    </row>
    <row r="95" spans="1:16" x14ac:dyDescent="0.3">
      <c r="A95" t="s">
        <v>7</v>
      </c>
      <c r="B95">
        <v>2010.2</v>
      </c>
      <c r="C95">
        <v>20</v>
      </c>
      <c r="D95">
        <v>25.1</v>
      </c>
      <c r="E95">
        <v>55825</v>
      </c>
      <c r="F95">
        <v>6.2865890000000002</v>
      </c>
      <c r="G95">
        <v>217.297333333333</v>
      </c>
      <c r="H95">
        <v>3.4925000000000002</v>
      </c>
      <c r="L95">
        <v>6.2865890000000002</v>
      </c>
      <c r="M95">
        <f>F91</f>
        <v>5.5078779999999998</v>
      </c>
      <c r="N95">
        <v>3.4925000000000002</v>
      </c>
      <c r="O95">
        <f>D95/D91</f>
        <v>0.96205442698351862</v>
      </c>
      <c r="P95">
        <f>G95/G91</f>
        <v>1.0177527356636222</v>
      </c>
    </row>
    <row r="96" spans="1:16" x14ac:dyDescent="0.3">
      <c r="A96" t="s">
        <v>7</v>
      </c>
      <c r="B96">
        <v>2010.3</v>
      </c>
      <c r="C96">
        <v>0</v>
      </c>
      <c r="D96">
        <v>24.67</v>
      </c>
      <c r="E96">
        <v>55825</v>
      </c>
      <c r="F96">
        <v>6.3820240000000004</v>
      </c>
      <c r="G96">
        <v>217.934333333333</v>
      </c>
      <c r="H96">
        <v>2.7845312500000001</v>
      </c>
      <c r="L96">
        <v>6.3820240000000004</v>
      </c>
      <c r="M96">
        <f>F92</f>
        <v>5.8014380000000001</v>
      </c>
      <c r="N96">
        <v>2.7845312500000001</v>
      </c>
      <c r="O96">
        <f>D96/D92</f>
        <v>0.9277924031590824</v>
      </c>
      <c r="P96">
        <f>G96/G92</f>
        <v>1.0120288159100463</v>
      </c>
    </row>
    <row r="97" spans="1:16" x14ac:dyDescent="0.3">
      <c r="A97" t="s">
        <v>7</v>
      </c>
      <c r="B97">
        <v>2010.4</v>
      </c>
      <c r="C97">
        <v>30</v>
      </c>
      <c r="D97">
        <v>24.48</v>
      </c>
      <c r="E97">
        <v>55855</v>
      </c>
      <c r="F97">
        <v>6.0433899999999996</v>
      </c>
      <c r="G97">
        <v>219.69900000000001</v>
      </c>
      <c r="H97">
        <v>2.87838709677419</v>
      </c>
      <c r="L97">
        <v>6.0433899999999996</v>
      </c>
      <c r="M97">
        <f>F93</f>
        <v>6.055021</v>
      </c>
      <c r="N97">
        <v>2.87838709677419</v>
      </c>
      <c r="O97">
        <f>D97/D93</f>
        <v>0.93937068303914051</v>
      </c>
      <c r="P97">
        <f>G97/G93</f>
        <v>1.0122978390084321</v>
      </c>
    </row>
    <row r="98" spans="1:16" x14ac:dyDescent="0.3">
      <c r="A98" t="s">
        <v>7</v>
      </c>
      <c r="B98">
        <v>2011.1</v>
      </c>
      <c r="C98">
        <v>0</v>
      </c>
      <c r="D98">
        <v>23.92</v>
      </c>
      <c r="E98">
        <v>55855</v>
      </c>
      <c r="F98">
        <v>6.0038419999999997</v>
      </c>
      <c r="G98">
        <v>222.04366666666701</v>
      </c>
      <c r="H98">
        <v>3.4574193548387102</v>
      </c>
      <c r="L98">
        <v>6.0038419999999997</v>
      </c>
      <c r="M98">
        <f>F94</f>
        <v>6.1431180000000003</v>
      </c>
      <c r="N98">
        <v>3.4574193548387102</v>
      </c>
      <c r="O98">
        <f>D98/D94</f>
        <v>0.92965410027205597</v>
      </c>
      <c r="P98">
        <f>G98/G94</f>
        <v>1.0214821766479294</v>
      </c>
    </row>
    <row r="99" spans="1:16" x14ac:dyDescent="0.3">
      <c r="A99" t="s">
        <v>7</v>
      </c>
      <c r="B99">
        <v>2011.2</v>
      </c>
      <c r="C99">
        <v>84</v>
      </c>
      <c r="D99">
        <v>24.18</v>
      </c>
      <c r="E99">
        <v>55939</v>
      </c>
      <c r="F99">
        <v>6.0631300000000001</v>
      </c>
      <c r="G99">
        <v>224.56833333333299</v>
      </c>
      <c r="H99">
        <v>3.2014285714285702</v>
      </c>
      <c r="L99">
        <v>6.0631300000000001</v>
      </c>
      <c r="M99">
        <f>F95</f>
        <v>6.2865890000000002</v>
      </c>
      <c r="N99">
        <v>3.2014285714285702</v>
      </c>
      <c r="O99">
        <f>D99/D95</f>
        <v>0.96334661354581663</v>
      </c>
      <c r="P99">
        <f>G99/G95</f>
        <v>1.0334610641026427</v>
      </c>
    </row>
    <row r="100" spans="1:16" x14ac:dyDescent="0.3">
      <c r="A100" t="s">
        <v>7</v>
      </c>
      <c r="B100">
        <v>2011.3</v>
      </c>
      <c r="C100">
        <v>0</v>
      </c>
      <c r="D100">
        <v>23.78</v>
      </c>
      <c r="E100">
        <v>55939</v>
      </c>
      <c r="F100">
        <v>5.8514419999999996</v>
      </c>
      <c r="G100">
        <v>226.03266666666701</v>
      </c>
      <c r="H100">
        <v>2.4142187499999999</v>
      </c>
      <c r="L100">
        <v>5.8514419999999996</v>
      </c>
      <c r="M100">
        <f>F96</f>
        <v>6.3820240000000004</v>
      </c>
      <c r="N100">
        <v>2.4142187499999999</v>
      </c>
      <c r="O100">
        <f>D100/D96</f>
        <v>0.96392379408188078</v>
      </c>
      <c r="P100">
        <f>G100/G96</f>
        <v>1.0371595113512817</v>
      </c>
    </row>
    <row r="101" spans="1:16" x14ac:dyDescent="0.3">
      <c r="A101" t="s">
        <v>7</v>
      </c>
      <c r="B101">
        <v>2011.4</v>
      </c>
      <c r="C101">
        <v>0</v>
      </c>
      <c r="D101">
        <v>23.72</v>
      </c>
      <c r="E101">
        <v>55939</v>
      </c>
      <c r="F101">
        <v>6.2449680000000001</v>
      </c>
      <c r="G101">
        <v>227.047333333333</v>
      </c>
      <c r="H101">
        <v>2.0467213114754101</v>
      </c>
      <c r="L101">
        <v>6.2449680000000001</v>
      </c>
      <c r="M101">
        <f>F97</f>
        <v>6.0433899999999996</v>
      </c>
      <c r="N101">
        <v>2.0467213114754101</v>
      </c>
      <c r="O101">
        <f>D101/D97</f>
        <v>0.96895424836601296</v>
      </c>
      <c r="P101">
        <f>G101/G97</f>
        <v>1.0334472771079204</v>
      </c>
    </row>
    <row r="102" spans="1:16" x14ac:dyDescent="0.3">
      <c r="A102" t="s">
        <v>7</v>
      </c>
      <c r="B102">
        <v>2012.1</v>
      </c>
      <c r="C102">
        <v>0</v>
      </c>
      <c r="D102">
        <v>24.63</v>
      </c>
      <c r="E102">
        <v>55939</v>
      </c>
      <c r="F102">
        <v>6.1896079999999998</v>
      </c>
      <c r="G102">
        <v>228.32599999999999</v>
      </c>
      <c r="H102">
        <v>2.04</v>
      </c>
      <c r="L102">
        <v>6.1896079999999998</v>
      </c>
      <c r="M102">
        <f>F98</f>
        <v>6.0038419999999997</v>
      </c>
      <c r="N102">
        <v>2.04</v>
      </c>
      <c r="O102">
        <f>D102/D98</f>
        <v>1.0296822742474916</v>
      </c>
      <c r="P102">
        <f>G102/G98</f>
        <v>1.0282932336132067</v>
      </c>
    </row>
    <row r="103" spans="1:16" x14ac:dyDescent="0.3">
      <c r="A103" t="s">
        <v>7</v>
      </c>
      <c r="B103">
        <v>2012.2</v>
      </c>
      <c r="C103">
        <v>0</v>
      </c>
      <c r="D103">
        <v>24.08</v>
      </c>
      <c r="E103">
        <v>55939</v>
      </c>
      <c r="F103">
        <v>6.0048399999999997</v>
      </c>
      <c r="G103">
        <v>228.80799999999999</v>
      </c>
      <c r="H103">
        <v>1.8257812499999999</v>
      </c>
      <c r="L103">
        <v>6.0048399999999997</v>
      </c>
      <c r="M103">
        <f>F99</f>
        <v>6.0631300000000001</v>
      </c>
      <c r="N103">
        <v>1.8257812499999999</v>
      </c>
      <c r="O103">
        <f>D103/D99</f>
        <v>0.99586435070306034</v>
      </c>
      <c r="P103">
        <f>G103/G99</f>
        <v>1.0188791830252129</v>
      </c>
    </row>
    <row r="104" spans="1:16" x14ac:dyDescent="0.3">
      <c r="A104" t="s">
        <v>7</v>
      </c>
      <c r="B104">
        <v>2012.3</v>
      </c>
      <c r="C104">
        <v>0</v>
      </c>
      <c r="D104">
        <v>24.25</v>
      </c>
      <c r="E104">
        <v>55939</v>
      </c>
      <c r="F104">
        <v>6.0430630000000001</v>
      </c>
      <c r="G104">
        <v>229.84100000000001</v>
      </c>
      <c r="H104">
        <v>1.6412698412698401</v>
      </c>
      <c r="L104">
        <v>6.0430630000000001</v>
      </c>
      <c r="M104">
        <f>F100</f>
        <v>5.8514419999999996</v>
      </c>
      <c r="N104">
        <v>1.6412698412698401</v>
      </c>
      <c r="O104">
        <f>D104/D100</f>
        <v>1.0197645079899074</v>
      </c>
      <c r="P104">
        <f>G104/G100</f>
        <v>1.0168485971054315</v>
      </c>
    </row>
    <row r="105" spans="1:16" x14ac:dyDescent="0.3">
      <c r="A105" t="s">
        <v>7</v>
      </c>
      <c r="B105">
        <v>2012.4</v>
      </c>
      <c r="C105">
        <v>0</v>
      </c>
      <c r="D105">
        <v>25.81</v>
      </c>
      <c r="E105">
        <v>55939</v>
      </c>
      <c r="F105">
        <v>5.7934369999999999</v>
      </c>
      <c r="G105">
        <v>231.369333333333</v>
      </c>
      <c r="H105">
        <v>1.70704918032787</v>
      </c>
      <c r="L105">
        <v>5.7934369999999999</v>
      </c>
      <c r="M105">
        <f>F101</f>
        <v>6.2449680000000001</v>
      </c>
      <c r="N105">
        <v>1.70704918032787</v>
      </c>
      <c r="O105">
        <f>D105/D101</f>
        <v>1.0881112984822934</v>
      </c>
      <c r="P105">
        <f>G105/G101</f>
        <v>1.0190356783167094</v>
      </c>
    </row>
    <row r="106" spans="1:16" x14ac:dyDescent="0.3">
      <c r="A106" t="s">
        <v>7</v>
      </c>
      <c r="B106">
        <v>2013.1</v>
      </c>
      <c r="C106">
        <v>0</v>
      </c>
      <c r="D106">
        <v>26.04</v>
      </c>
      <c r="E106">
        <v>55939</v>
      </c>
      <c r="F106">
        <v>5.7146590000000002</v>
      </c>
      <c r="G106">
        <v>232.29933333333301</v>
      </c>
      <c r="H106">
        <v>1.9510000000000001</v>
      </c>
      <c r="L106">
        <v>5.7146590000000002</v>
      </c>
      <c r="M106">
        <f>F102</f>
        <v>6.1896079999999998</v>
      </c>
      <c r="N106">
        <v>1.9510000000000001</v>
      </c>
      <c r="O106">
        <f>D106/D102</f>
        <v>1.0572472594397078</v>
      </c>
      <c r="P106">
        <f>G106/G102</f>
        <v>1.0174020187509658</v>
      </c>
    </row>
    <row r="107" spans="1:16" x14ac:dyDescent="0.3">
      <c r="A107" t="s">
        <v>7</v>
      </c>
      <c r="B107">
        <v>2013.2</v>
      </c>
      <c r="C107">
        <v>0</v>
      </c>
      <c r="D107">
        <v>26.16</v>
      </c>
      <c r="E107">
        <v>55939</v>
      </c>
      <c r="F107">
        <v>5.5011419999999998</v>
      </c>
      <c r="G107">
        <v>232.04499999999999</v>
      </c>
      <c r="H107">
        <v>1.9862500000000001</v>
      </c>
      <c r="L107">
        <v>5.5011419999999998</v>
      </c>
      <c r="M107">
        <f>F103</f>
        <v>6.0048399999999997</v>
      </c>
      <c r="N107">
        <v>1.9862500000000001</v>
      </c>
      <c r="O107">
        <f>D107/D103</f>
        <v>1.0863787375415284</v>
      </c>
      <c r="P107">
        <f>G107/G103</f>
        <v>1.0141472326142442</v>
      </c>
    </row>
    <row r="108" spans="1:16" x14ac:dyDescent="0.3">
      <c r="A108" t="s">
        <v>7</v>
      </c>
      <c r="B108">
        <v>2013.3</v>
      </c>
      <c r="C108">
        <v>50</v>
      </c>
      <c r="D108">
        <v>26.31</v>
      </c>
      <c r="E108">
        <v>55989</v>
      </c>
      <c r="F108">
        <v>5.3042059999999998</v>
      </c>
      <c r="G108">
        <v>233.3</v>
      </c>
      <c r="H108">
        <v>2.7065625</v>
      </c>
      <c r="L108">
        <v>5.3042059999999998</v>
      </c>
      <c r="M108">
        <f>F104</f>
        <v>6.0430630000000001</v>
      </c>
      <c r="N108">
        <v>2.7065625</v>
      </c>
      <c r="O108">
        <f>D108/D104</f>
        <v>1.0849484536082474</v>
      </c>
      <c r="P108">
        <f>G108/G104</f>
        <v>1.0150495342432377</v>
      </c>
    </row>
    <row r="109" spans="1:16" x14ac:dyDescent="0.3">
      <c r="A109" t="s">
        <v>7</v>
      </c>
      <c r="B109">
        <v>2013.4</v>
      </c>
      <c r="C109">
        <v>70</v>
      </c>
      <c r="D109">
        <v>26.44</v>
      </c>
      <c r="E109">
        <v>56059</v>
      </c>
      <c r="F109">
        <v>5.2014839999999998</v>
      </c>
      <c r="G109">
        <v>234.16266666666701</v>
      </c>
      <c r="H109">
        <v>2.7441935483870998</v>
      </c>
      <c r="L109">
        <v>5.2014839999999998</v>
      </c>
      <c r="M109">
        <f>F105</f>
        <v>5.7934369999999999</v>
      </c>
      <c r="N109">
        <v>2.7441935483870998</v>
      </c>
      <c r="O109">
        <f>D109/D105</f>
        <v>1.0244091437427354</v>
      </c>
      <c r="P109">
        <f>G109/G105</f>
        <v>1.0120730491508556</v>
      </c>
    </row>
    <row r="110" spans="1:16" x14ac:dyDescent="0.3">
      <c r="A110" t="s">
        <v>7</v>
      </c>
      <c r="B110">
        <v>2014.1</v>
      </c>
      <c r="C110">
        <v>502</v>
      </c>
      <c r="D110">
        <v>26.57</v>
      </c>
      <c r="E110">
        <v>56561</v>
      </c>
      <c r="F110">
        <v>5.0866670000000003</v>
      </c>
      <c r="G110">
        <v>235.62100000000001</v>
      </c>
      <c r="H110">
        <v>2.7654098360655701</v>
      </c>
      <c r="L110">
        <v>5.0866670000000003</v>
      </c>
      <c r="M110">
        <f>F106</f>
        <v>5.7146590000000002</v>
      </c>
      <c r="N110">
        <v>2.7654098360655701</v>
      </c>
      <c r="O110">
        <f>D110/D106</f>
        <v>1.0203533026113671</v>
      </c>
      <c r="P110">
        <f>G110/G106</f>
        <v>1.0142990796357587</v>
      </c>
    </row>
    <row r="111" spans="1:16" x14ac:dyDescent="0.3">
      <c r="A111" t="s">
        <v>7</v>
      </c>
      <c r="B111">
        <v>2014.2</v>
      </c>
      <c r="C111">
        <v>34</v>
      </c>
      <c r="D111">
        <v>26.85</v>
      </c>
      <c r="E111">
        <v>56595</v>
      </c>
      <c r="F111">
        <v>4.9193020000000001</v>
      </c>
      <c r="G111">
        <v>236.87233333333299</v>
      </c>
      <c r="H111">
        <v>2.6209523809523798</v>
      </c>
      <c r="L111">
        <v>4.9193020000000001</v>
      </c>
      <c r="M111">
        <f>F107</f>
        <v>5.5011419999999998</v>
      </c>
      <c r="N111">
        <v>2.6209523809523798</v>
      </c>
      <c r="O111">
        <f>D111/D107</f>
        <v>1.0263761467889909</v>
      </c>
      <c r="P111">
        <f>G111/G107</f>
        <v>1.0208034361151199</v>
      </c>
    </row>
    <row r="112" spans="1:16" x14ac:dyDescent="0.3">
      <c r="A112" t="s">
        <v>7</v>
      </c>
      <c r="B112">
        <v>2014.3</v>
      </c>
      <c r="C112">
        <v>0</v>
      </c>
      <c r="D112">
        <v>26.81</v>
      </c>
      <c r="E112">
        <v>56595</v>
      </c>
      <c r="F112">
        <v>4.8714899999999997</v>
      </c>
      <c r="G112">
        <v>237.47833333333301</v>
      </c>
      <c r="H112">
        <v>2.49953125</v>
      </c>
      <c r="L112">
        <v>4.8714899999999997</v>
      </c>
      <c r="M112">
        <f>F108</f>
        <v>5.3042059999999998</v>
      </c>
      <c r="N112">
        <v>2.49953125</v>
      </c>
      <c r="O112">
        <f>D112/D108</f>
        <v>1.0190041809198023</v>
      </c>
      <c r="P112">
        <f>G112/G108</f>
        <v>1.0179097013859109</v>
      </c>
    </row>
    <row r="113" spans="1:16" x14ac:dyDescent="0.3">
      <c r="A113" t="s">
        <v>7</v>
      </c>
      <c r="B113">
        <v>2014.4</v>
      </c>
      <c r="C113">
        <v>410</v>
      </c>
      <c r="D113">
        <v>26.92</v>
      </c>
      <c r="E113">
        <v>57005</v>
      </c>
      <c r="F113">
        <v>4.7515280000000004</v>
      </c>
      <c r="G113">
        <v>236.88833333333301</v>
      </c>
      <c r="H113">
        <v>2.2759677419354798</v>
      </c>
      <c r="L113">
        <v>4.7515280000000004</v>
      </c>
      <c r="M113">
        <f>F109</f>
        <v>5.2014839999999998</v>
      </c>
      <c r="N113">
        <v>2.2759677419354798</v>
      </c>
      <c r="O113">
        <f>D113/D109</f>
        <v>1.0181543116490166</v>
      </c>
      <c r="P113">
        <f>G113/G109</f>
        <v>1.0116400564849477</v>
      </c>
    </row>
    <row r="114" spans="1:16" x14ac:dyDescent="0.3">
      <c r="A114" t="s">
        <v>7</v>
      </c>
      <c r="B114">
        <v>2015.1</v>
      </c>
      <c r="C114">
        <v>0</v>
      </c>
      <c r="D114">
        <v>27.23</v>
      </c>
      <c r="E114">
        <v>57005</v>
      </c>
      <c r="F114">
        <v>4.7028699999999999</v>
      </c>
      <c r="G114">
        <v>235.35499999999999</v>
      </c>
      <c r="H114">
        <v>1.9688524590163901</v>
      </c>
      <c r="L114">
        <v>4.7028699999999999</v>
      </c>
      <c r="M114">
        <f>F110</f>
        <v>5.0866670000000003</v>
      </c>
      <c r="N114">
        <v>1.9688524590163901</v>
      </c>
      <c r="O114">
        <f>D114/D110</f>
        <v>1.0248400451637185</v>
      </c>
      <c r="P114">
        <f>G114/G110</f>
        <v>0.99887106836826933</v>
      </c>
    </row>
    <row r="115" spans="1:16" x14ac:dyDescent="0.3">
      <c r="A115" t="s">
        <v>7</v>
      </c>
      <c r="B115">
        <v>2015.2</v>
      </c>
      <c r="C115">
        <v>0</v>
      </c>
      <c r="D115">
        <v>27.82</v>
      </c>
      <c r="E115">
        <v>57005</v>
      </c>
      <c r="F115">
        <v>4.7685760000000004</v>
      </c>
      <c r="G115">
        <v>236.96</v>
      </c>
      <c r="H115">
        <v>2.1643750000000002</v>
      </c>
      <c r="L115">
        <v>4.7685760000000004</v>
      </c>
      <c r="M115">
        <f>F111</f>
        <v>4.9193020000000001</v>
      </c>
      <c r="N115">
        <v>2.1643750000000002</v>
      </c>
      <c r="O115">
        <f>D115/D111</f>
        <v>1.0361266294227187</v>
      </c>
      <c r="P115">
        <f>G115/G111</f>
        <v>1.0003701009123074</v>
      </c>
    </row>
    <row r="116" spans="1:16" x14ac:dyDescent="0.3">
      <c r="A116" t="s">
        <v>7</v>
      </c>
      <c r="B116">
        <v>2015.3</v>
      </c>
      <c r="C116">
        <v>722</v>
      </c>
      <c r="D116">
        <v>28.63</v>
      </c>
      <c r="E116">
        <v>57727</v>
      </c>
      <c r="F116">
        <v>4.7654579999999997</v>
      </c>
      <c r="G116">
        <v>237.85499999999999</v>
      </c>
      <c r="H116">
        <v>2.223125</v>
      </c>
      <c r="L116">
        <v>4.7654579999999997</v>
      </c>
      <c r="M116">
        <f>F112</f>
        <v>4.8714899999999997</v>
      </c>
      <c r="N116">
        <v>2.223125</v>
      </c>
      <c r="O116">
        <f>D116/D112</f>
        <v>1.0678851174934727</v>
      </c>
      <c r="P116">
        <f>G116/G112</f>
        <v>1.0015861096100007</v>
      </c>
    </row>
    <row r="117" spans="1:16" x14ac:dyDescent="0.3">
      <c r="A117" t="s">
        <v>7</v>
      </c>
      <c r="B117">
        <v>2015.4</v>
      </c>
      <c r="C117">
        <v>102</v>
      </c>
      <c r="D117">
        <v>29.09</v>
      </c>
      <c r="E117">
        <v>57829</v>
      </c>
      <c r="F117">
        <v>4.6787280000000004</v>
      </c>
      <c r="G117">
        <v>237.83699999999999</v>
      </c>
      <c r="H117">
        <v>2.1904838709677401</v>
      </c>
      <c r="L117">
        <v>4.6787280000000004</v>
      </c>
      <c r="M117">
        <f>F113</f>
        <v>4.7515280000000004</v>
      </c>
      <c r="N117">
        <v>2.1904838709677401</v>
      </c>
      <c r="O117">
        <f>D117/D113</f>
        <v>1.0806092124814264</v>
      </c>
      <c r="P117">
        <f>G117/G113</f>
        <v>1.0040046998234062</v>
      </c>
    </row>
    <row r="118" spans="1:16" x14ac:dyDescent="0.3">
      <c r="A118" t="s">
        <v>7</v>
      </c>
      <c r="B118">
        <v>2016.1</v>
      </c>
      <c r="C118">
        <v>0</v>
      </c>
      <c r="D118">
        <v>29.27</v>
      </c>
      <c r="E118">
        <v>57829</v>
      </c>
      <c r="F118">
        <v>4.5159079999999996</v>
      </c>
      <c r="G118">
        <v>237.689333333333</v>
      </c>
      <c r="H118">
        <v>1.9142619999999999</v>
      </c>
      <c r="L118">
        <v>4.5159079999999996</v>
      </c>
      <c r="M118">
        <f>F114</f>
        <v>4.7028699999999999</v>
      </c>
      <c r="N118">
        <v>1.9142619999999999</v>
      </c>
      <c r="O118">
        <f>D118/D114</f>
        <v>1.0749173705471906</v>
      </c>
      <c r="P118">
        <f>G118/G114</f>
        <v>1.0099183502935267</v>
      </c>
    </row>
    <row r="119" spans="1:16" x14ac:dyDescent="0.3">
      <c r="A119" t="s">
        <v>7</v>
      </c>
      <c r="B119">
        <v>2016.2</v>
      </c>
      <c r="C119">
        <v>388</v>
      </c>
      <c r="D119">
        <v>29.65</v>
      </c>
      <c r="E119">
        <v>58217</v>
      </c>
      <c r="F119">
        <v>4.3826429999999998</v>
      </c>
      <c r="G119">
        <v>239.59033333333301</v>
      </c>
      <c r="H119">
        <v>1.750156</v>
      </c>
      <c r="L119">
        <v>4.3826429999999998</v>
      </c>
      <c r="M119">
        <f>F115</f>
        <v>4.7685760000000004</v>
      </c>
      <c r="N119">
        <v>1.750156</v>
      </c>
      <c r="O119">
        <f>D119/D115</f>
        <v>1.0657800143781451</v>
      </c>
      <c r="P119">
        <f>G119/G115</f>
        <v>1.0111003263560643</v>
      </c>
    </row>
    <row r="120" spans="1:16" x14ac:dyDescent="0.3">
      <c r="A120" t="s">
        <v>7</v>
      </c>
      <c r="B120">
        <v>2016.3</v>
      </c>
      <c r="C120">
        <v>0</v>
      </c>
      <c r="D120">
        <v>30.01</v>
      </c>
      <c r="E120">
        <v>58217</v>
      </c>
      <c r="F120">
        <v>4.3665690000000001</v>
      </c>
      <c r="G120">
        <v>240.607333333333</v>
      </c>
      <c r="H120">
        <v>1.5643750000000001</v>
      </c>
      <c r="L120">
        <v>4.3665690000000001</v>
      </c>
      <c r="M120">
        <f>F116</f>
        <v>4.7654579999999997</v>
      </c>
      <c r="N120">
        <v>1.5643750000000001</v>
      </c>
      <c r="O120">
        <f>D120/D116</f>
        <v>1.0482011875654909</v>
      </c>
      <c r="P120">
        <f>G120/G116</f>
        <v>1.011571475618898</v>
      </c>
    </row>
    <row r="121" spans="1:16" x14ac:dyDescent="0.3">
      <c r="A121" t="s">
        <v>7</v>
      </c>
      <c r="B121">
        <v>2016.4</v>
      </c>
      <c r="C121">
        <v>20</v>
      </c>
      <c r="D121">
        <v>30.17</v>
      </c>
      <c r="E121">
        <v>58237</v>
      </c>
      <c r="F121">
        <v>4.3972920000000002</v>
      </c>
      <c r="G121">
        <v>242.13466666666699</v>
      </c>
      <c r="H121">
        <v>2.1386889999999998</v>
      </c>
      <c r="L121">
        <v>4.3972920000000002</v>
      </c>
      <c r="M121">
        <f>F117</f>
        <v>4.6787280000000004</v>
      </c>
      <c r="N121">
        <v>2.1386889999999998</v>
      </c>
      <c r="O121">
        <f>D121/D117</f>
        <v>1.0371261601925061</v>
      </c>
      <c r="P121">
        <f>G121/G117</f>
        <v>1.0180697985034581</v>
      </c>
    </row>
    <row r="122" spans="1:16" x14ac:dyDescent="0.3">
      <c r="A122" t="s">
        <v>7</v>
      </c>
      <c r="B122">
        <v>2017.1</v>
      </c>
      <c r="C122">
        <v>0</v>
      </c>
      <c r="D122">
        <v>29.98</v>
      </c>
      <c r="E122">
        <v>58237</v>
      </c>
      <c r="F122">
        <v>4.3731939999999998</v>
      </c>
      <c r="G122">
        <v>243.838666666667</v>
      </c>
      <c r="H122">
        <v>2.4466130000000001</v>
      </c>
      <c r="L122">
        <v>4.3731939999999998</v>
      </c>
      <c r="M122">
        <f>F118</f>
        <v>4.5159079999999996</v>
      </c>
      <c r="N122">
        <v>2.4466130000000001</v>
      </c>
      <c r="O122">
        <f>D122/D118</f>
        <v>1.0242569183464298</v>
      </c>
      <c r="P122">
        <f>G122/G118</f>
        <v>1.0258713054014512</v>
      </c>
    </row>
    <row r="123" spans="1:16" x14ac:dyDescent="0.3">
      <c r="A123" t="s">
        <v>7</v>
      </c>
      <c r="B123">
        <v>2017.2</v>
      </c>
      <c r="C123">
        <v>100</v>
      </c>
      <c r="D123">
        <v>30.61</v>
      </c>
      <c r="E123">
        <v>58337</v>
      </c>
      <c r="F123">
        <v>4.4176399999999996</v>
      </c>
      <c r="G123">
        <v>244.12</v>
      </c>
      <c r="H123">
        <v>2.2609520000000001</v>
      </c>
      <c r="L123">
        <v>4.4176399999999996</v>
      </c>
      <c r="M123">
        <f>F119</f>
        <v>4.3826429999999998</v>
      </c>
      <c r="N123">
        <v>2.2609520000000001</v>
      </c>
      <c r="O123">
        <f>D123/D119</f>
        <v>1.0323777403035412</v>
      </c>
      <c r="P123">
        <f>G123/G119</f>
        <v>1.018905882402046</v>
      </c>
    </row>
    <row r="124" spans="1:16" x14ac:dyDescent="0.3">
      <c r="A124" t="s">
        <v>7</v>
      </c>
      <c r="B124">
        <v>2017.3</v>
      </c>
      <c r="C124">
        <v>247</v>
      </c>
      <c r="D124">
        <v>30.66</v>
      </c>
      <c r="E124">
        <v>58584</v>
      </c>
      <c r="F124">
        <v>4.4498230000000003</v>
      </c>
      <c r="G124">
        <v>245.28700000000001</v>
      </c>
      <c r="H124">
        <v>2.2414290000000001</v>
      </c>
      <c r="L124">
        <v>4.4498230000000003</v>
      </c>
      <c r="M124">
        <f>F120</f>
        <v>4.3665690000000001</v>
      </c>
      <c r="N124">
        <v>2.2414290000000001</v>
      </c>
      <c r="O124">
        <f>D124/D120</f>
        <v>1.0216594468510496</v>
      </c>
      <c r="P124">
        <f>G124/G120</f>
        <v>1.019449393340742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E167-6FE9-4D65-8407-29CAD76507B6}">
  <dimension ref="A1:I145"/>
  <sheetViews>
    <sheetView workbookViewId="0">
      <selection activeCell="F19" sqref="F19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0.85805198130884863</v>
      </c>
    </row>
    <row r="5" spans="1:9" x14ac:dyDescent="0.3">
      <c r="A5" s="2" t="s">
        <v>21</v>
      </c>
      <c r="B5" s="2">
        <v>0.73625320262804073</v>
      </c>
    </row>
    <row r="6" spans="1:9" x14ac:dyDescent="0.3">
      <c r="A6" s="2" t="s">
        <v>22</v>
      </c>
      <c r="B6" s="2">
        <v>0.7293728513922505</v>
      </c>
    </row>
    <row r="7" spans="1:9" x14ac:dyDescent="0.3">
      <c r="A7" s="2" t="s">
        <v>23</v>
      </c>
      <c r="B7" s="2">
        <v>0.83284874920116114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3</v>
      </c>
      <c r="C12" s="2">
        <v>222.67431151006409</v>
      </c>
      <c r="D12" s="2">
        <v>74.224770503354691</v>
      </c>
      <c r="E12" s="2">
        <v>107.0080839475455</v>
      </c>
      <c r="F12" s="2">
        <v>3.8744142179337415E-33</v>
      </c>
    </row>
    <row r="13" spans="1:9" x14ac:dyDescent="0.3">
      <c r="A13" s="2" t="s">
        <v>27</v>
      </c>
      <c r="B13" s="2">
        <v>115</v>
      </c>
      <c r="C13" s="2">
        <v>79.768259490282929</v>
      </c>
      <c r="D13" s="2">
        <v>0.69363703904593854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302.44257100034702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5.4454960875402261</v>
      </c>
      <c r="C17" s="2">
        <v>0.77579693506201541</v>
      </c>
      <c r="D17" s="2">
        <v>7.0192286685238399</v>
      </c>
      <c r="E17" s="2">
        <v>1.6574916814396909E-10</v>
      </c>
      <c r="F17" s="2">
        <v>3.9087916682040857</v>
      </c>
      <c r="G17" s="2">
        <v>6.9822005068763664</v>
      </c>
      <c r="H17" s="2">
        <v>3.9087916682040857</v>
      </c>
      <c r="I17" s="2">
        <v>6.9822005068763664</v>
      </c>
    </row>
    <row r="18" spans="1:9" x14ac:dyDescent="0.3">
      <c r="A18" s="2" t="s">
        <v>42</v>
      </c>
      <c r="B18" s="2">
        <v>0.53303837192463843</v>
      </c>
      <c r="C18" s="2">
        <v>6.1129635797207739E-2</v>
      </c>
      <c r="D18" s="2">
        <v>8.7198028415046824</v>
      </c>
      <c r="E18" s="2">
        <v>2.4625610782624537E-14</v>
      </c>
      <c r="F18" s="2">
        <v>0.41195232835259382</v>
      </c>
      <c r="G18" s="2">
        <v>0.6541244154966831</v>
      </c>
      <c r="H18" s="2">
        <v>0.41195232835259382</v>
      </c>
      <c r="I18" s="2">
        <v>0.6541244154966831</v>
      </c>
    </row>
    <row r="19" spans="1:9" x14ac:dyDescent="0.3">
      <c r="A19" s="2" t="s">
        <v>43</v>
      </c>
      <c r="B19" s="2">
        <v>0.29859791892619075</v>
      </c>
      <c r="C19" s="2">
        <v>4.3451058277615515E-2</v>
      </c>
      <c r="D19" s="2">
        <v>6.8720517005225181</v>
      </c>
      <c r="E19" s="2">
        <v>3.4541409423938183E-10</v>
      </c>
      <c r="F19" s="2">
        <v>0.21252973502094447</v>
      </c>
      <c r="G19" s="2">
        <v>0.38466610283143704</v>
      </c>
      <c r="H19" s="2">
        <v>0.21252973502094447</v>
      </c>
      <c r="I19" s="2">
        <v>0.38466610283143704</v>
      </c>
    </row>
    <row r="20" spans="1:9" ht="15" thickBot="1" x14ac:dyDescent="0.35">
      <c r="A20" s="3" t="s">
        <v>44</v>
      </c>
      <c r="B20" s="3">
        <v>-3.3658031963519894</v>
      </c>
      <c r="C20" s="3">
        <v>0.57045568213765174</v>
      </c>
      <c r="D20" s="3">
        <v>-5.900201017788822</v>
      </c>
      <c r="E20" s="3">
        <v>3.7340328810938909E-8</v>
      </c>
      <c r="F20" s="3">
        <v>-4.4957661133958249</v>
      </c>
      <c r="G20" s="3">
        <v>-2.235840279308154</v>
      </c>
      <c r="H20" s="3">
        <v>-4.4957661133958249</v>
      </c>
      <c r="I20" s="3">
        <v>-2.235840279308154</v>
      </c>
    </row>
    <row r="24" spans="1:9" x14ac:dyDescent="0.3">
      <c r="A24" t="s">
        <v>45</v>
      </c>
    </row>
    <row r="25" spans="1:9" ht="15" thickBot="1" x14ac:dyDescent="0.35"/>
    <row r="26" spans="1:9" x14ac:dyDescent="0.3">
      <c r="A26" s="4" t="s">
        <v>46</v>
      </c>
      <c r="B26" s="4" t="s">
        <v>47</v>
      </c>
      <c r="C26" s="4" t="s">
        <v>48</v>
      </c>
    </row>
    <row r="27" spans="1:9" x14ac:dyDescent="0.3">
      <c r="A27" s="2">
        <v>1</v>
      </c>
      <c r="B27" s="2">
        <v>8.7459650100644453</v>
      </c>
      <c r="C27" s="2">
        <v>-1.0825670100644453</v>
      </c>
    </row>
    <row r="28" spans="1:9" x14ac:dyDescent="0.3">
      <c r="A28" s="2">
        <v>2</v>
      </c>
      <c r="B28" s="2">
        <v>8.911236946101571</v>
      </c>
      <c r="C28" s="2">
        <v>-1.1511799461015713</v>
      </c>
    </row>
    <row r="29" spans="1:9" x14ac:dyDescent="0.3">
      <c r="A29" s="2">
        <v>3</v>
      </c>
      <c r="B29" s="2">
        <v>8.8409176197692627</v>
      </c>
      <c r="C29" s="2">
        <v>-1.0057756197692624</v>
      </c>
    </row>
    <row r="30" spans="1:9" x14ac:dyDescent="0.3">
      <c r="A30" s="2">
        <v>4</v>
      </c>
      <c r="B30" s="2">
        <v>8.6875462958853262</v>
      </c>
      <c r="C30" s="2">
        <v>-0.86541329588532623</v>
      </c>
    </row>
    <row r="31" spans="1:9" x14ac:dyDescent="0.3">
      <c r="A31" s="2">
        <v>5</v>
      </c>
      <c r="B31" s="2">
        <v>8.6459699252755318</v>
      </c>
      <c r="C31" s="2">
        <v>-0.88413892527553184</v>
      </c>
    </row>
    <row r="32" spans="1:9" x14ac:dyDescent="0.3">
      <c r="A32" s="2">
        <v>6</v>
      </c>
      <c r="B32" s="2">
        <v>8.4043894141786364</v>
      </c>
      <c r="C32" s="2">
        <v>-0.65717841417863632</v>
      </c>
    </row>
    <row r="33" spans="1:3" x14ac:dyDescent="0.3">
      <c r="A33" s="2">
        <v>7</v>
      </c>
      <c r="B33" s="2">
        <v>8.3907939180689564</v>
      </c>
      <c r="C33" s="2">
        <v>-0.62786491806895661</v>
      </c>
    </row>
    <row r="34" spans="1:3" x14ac:dyDescent="0.3">
      <c r="A34" s="2">
        <v>8</v>
      </c>
      <c r="B34" s="2">
        <v>8.4590454548224745</v>
      </c>
      <c r="C34" s="2">
        <v>-0.65214045482247407</v>
      </c>
    </row>
    <row r="35" spans="1:3" x14ac:dyDescent="0.3">
      <c r="A35" s="2">
        <v>9</v>
      </c>
      <c r="B35" s="2">
        <v>8.5846930656153155</v>
      </c>
      <c r="C35" s="2">
        <v>-0.74545906561531528</v>
      </c>
    </row>
    <row r="36" spans="1:3" x14ac:dyDescent="0.3">
      <c r="A36" s="2">
        <v>10</v>
      </c>
      <c r="B36" s="2">
        <v>8.6550296513301284</v>
      </c>
      <c r="C36" s="2">
        <v>-0.58171165133012792</v>
      </c>
    </row>
    <row r="37" spans="1:3" x14ac:dyDescent="0.3">
      <c r="A37" s="2">
        <v>11</v>
      </c>
      <c r="B37" s="2">
        <v>8.6206939674577221</v>
      </c>
      <c r="C37" s="2">
        <v>-0.27511796745772266</v>
      </c>
    </row>
    <row r="38" spans="1:3" x14ac:dyDescent="0.3">
      <c r="A38" s="2">
        <v>12</v>
      </c>
      <c r="B38" s="2">
        <v>8.5069163982841189</v>
      </c>
      <c r="C38" s="2">
        <v>0.13878560171588106</v>
      </c>
    </row>
    <row r="39" spans="1:3" x14ac:dyDescent="0.3">
      <c r="A39" s="2">
        <v>13</v>
      </c>
      <c r="B39" s="2">
        <v>8.5284298171681847</v>
      </c>
      <c r="C39" s="2">
        <v>0.66135618283181508</v>
      </c>
    </row>
    <row r="40" spans="1:3" x14ac:dyDescent="0.3">
      <c r="A40" s="2">
        <v>14</v>
      </c>
      <c r="B40" s="2">
        <v>8.8006812288862868</v>
      </c>
      <c r="C40" s="2">
        <v>0.87908877111371275</v>
      </c>
    </row>
    <row r="41" spans="1:3" x14ac:dyDescent="0.3">
      <c r="A41" s="2">
        <v>15</v>
      </c>
      <c r="B41" s="2">
        <v>9.0198873172777194</v>
      </c>
      <c r="C41" s="2">
        <v>1.1690126827222809</v>
      </c>
    </row>
    <row r="42" spans="1:3" x14ac:dyDescent="0.3">
      <c r="A42" s="2">
        <v>16</v>
      </c>
      <c r="B42" s="2">
        <v>9.1208364527252854</v>
      </c>
      <c r="C42" s="2">
        <v>1.2027135472747137</v>
      </c>
    </row>
    <row r="43" spans="1:3" x14ac:dyDescent="0.3">
      <c r="A43" s="2">
        <v>17</v>
      </c>
      <c r="B43" s="2">
        <v>9.3237236658100215</v>
      </c>
      <c r="C43" s="2">
        <v>1.252886334189979</v>
      </c>
    </row>
    <row r="44" spans="1:3" x14ac:dyDescent="0.3">
      <c r="A44" s="2">
        <v>18</v>
      </c>
      <c r="B44" s="2">
        <v>9.5246575364304373</v>
      </c>
      <c r="C44" s="2">
        <v>0.75530246356956354</v>
      </c>
    </row>
    <row r="45" spans="1:3" x14ac:dyDescent="0.3">
      <c r="A45" s="2">
        <v>19</v>
      </c>
      <c r="B45" s="2">
        <v>9.5331224628097537</v>
      </c>
      <c r="C45" s="2">
        <v>0.64949753719024628</v>
      </c>
    </row>
    <row r="46" spans="1:3" x14ac:dyDescent="0.3">
      <c r="A46" s="2">
        <v>20</v>
      </c>
      <c r="B46" s="2">
        <v>9.6006337546319376</v>
      </c>
      <c r="C46" s="2">
        <v>0.37010824536806197</v>
      </c>
    </row>
    <row r="47" spans="1:3" x14ac:dyDescent="0.3">
      <c r="A47" s="2">
        <v>21</v>
      </c>
      <c r="B47" s="2">
        <v>9.6058308854994578</v>
      </c>
      <c r="C47" s="2">
        <v>0.10266511450054239</v>
      </c>
    </row>
    <row r="48" spans="1:3" x14ac:dyDescent="0.3">
      <c r="A48" s="2">
        <v>22</v>
      </c>
      <c r="B48" s="2">
        <v>9.382712463657537</v>
      </c>
      <c r="C48" s="2">
        <v>-0.22754846365753778</v>
      </c>
    </row>
    <row r="49" spans="1:3" x14ac:dyDescent="0.3">
      <c r="A49" s="2">
        <v>23</v>
      </c>
      <c r="B49" s="2">
        <v>9.1913172571931909</v>
      </c>
      <c r="C49" s="2">
        <v>-1.0372112571931904</v>
      </c>
    </row>
    <row r="50" spans="1:3" x14ac:dyDescent="0.3">
      <c r="A50" s="2">
        <v>24</v>
      </c>
      <c r="B50" s="2">
        <v>9.0550319226606018</v>
      </c>
      <c r="C50" s="2">
        <v>-1.2223099226606013</v>
      </c>
    </row>
    <row r="51" spans="1:3" x14ac:dyDescent="0.3">
      <c r="A51" s="2">
        <v>25</v>
      </c>
      <c r="B51" s="2">
        <v>8.9921260292321286</v>
      </c>
      <c r="C51" s="2">
        <v>-2.0867500292321282</v>
      </c>
    </row>
    <row r="52" spans="1:3" x14ac:dyDescent="0.3">
      <c r="A52" s="2">
        <v>26</v>
      </c>
      <c r="B52" s="2">
        <v>8.9300889493014175</v>
      </c>
      <c r="C52" s="2">
        <v>-1.9247459493014176</v>
      </c>
    </row>
    <row r="53" spans="1:3" x14ac:dyDescent="0.3">
      <c r="A53" s="2">
        <v>27</v>
      </c>
      <c r="B53" s="2">
        <v>8.3229890661817834</v>
      </c>
      <c r="C53" s="2">
        <v>-0.73359206618178341</v>
      </c>
    </row>
    <row r="54" spans="1:3" x14ac:dyDescent="0.3">
      <c r="A54" s="2">
        <v>28</v>
      </c>
      <c r="B54" s="2">
        <v>8.1498551837614439</v>
      </c>
      <c r="C54" s="2">
        <v>-0.40072918376144351</v>
      </c>
    </row>
    <row r="55" spans="1:3" x14ac:dyDescent="0.3">
      <c r="A55" s="2">
        <v>29</v>
      </c>
      <c r="B55" s="2">
        <v>7.8030767805030266</v>
      </c>
      <c r="C55" s="2">
        <v>0.53601121949697372</v>
      </c>
    </row>
    <row r="56" spans="1:3" x14ac:dyDescent="0.3">
      <c r="A56" s="2">
        <v>30</v>
      </c>
      <c r="B56" s="2">
        <v>7.8359894884310766</v>
      </c>
      <c r="C56" s="2">
        <v>0.51721651156892356</v>
      </c>
    </row>
    <row r="57" spans="1:3" x14ac:dyDescent="0.3">
      <c r="A57" s="2">
        <v>31</v>
      </c>
      <c r="B57" s="2">
        <v>8.0299134907825547</v>
      </c>
      <c r="C57" s="2">
        <v>0.41722150921744472</v>
      </c>
    </row>
    <row r="58" spans="1:3" x14ac:dyDescent="0.3">
      <c r="A58" s="2">
        <v>32</v>
      </c>
      <c r="B58" s="2">
        <v>7.953988502497741</v>
      </c>
      <c r="C58" s="2">
        <v>0.80320549750225911</v>
      </c>
    </row>
    <row r="59" spans="1:3" x14ac:dyDescent="0.3">
      <c r="A59" s="2">
        <v>33</v>
      </c>
      <c r="B59" s="2">
        <v>7.9962016163031961</v>
      </c>
      <c r="C59" s="2">
        <v>1.1679823836968044</v>
      </c>
    </row>
    <row r="60" spans="1:3" x14ac:dyDescent="0.3">
      <c r="A60" s="2">
        <v>34</v>
      </c>
      <c r="B60" s="2">
        <v>7.9439305946641667</v>
      </c>
      <c r="C60" s="2">
        <v>1.8137734053358336</v>
      </c>
    </row>
    <row r="61" spans="1:3" x14ac:dyDescent="0.3">
      <c r="A61" s="2">
        <v>35</v>
      </c>
      <c r="B61" s="2">
        <v>8.057119553662071</v>
      </c>
      <c r="C61" s="2">
        <v>1.7844234463379287</v>
      </c>
    </row>
    <row r="62" spans="1:3" x14ac:dyDescent="0.3">
      <c r="A62" s="2">
        <v>36</v>
      </c>
      <c r="B62" s="2">
        <v>8.1361965766056894</v>
      </c>
      <c r="C62" s="2">
        <v>1.4538004233943109</v>
      </c>
    </row>
    <row r="63" spans="1:3" x14ac:dyDescent="0.3">
      <c r="A63" s="2">
        <v>37</v>
      </c>
      <c r="B63" s="2">
        <v>8.3580907967054987</v>
      </c>
      <c r="C63" s="2">
        <v>0.4237692032945013</v>
      </c>
    </row>
    <row r="64" spans="1:3" x14ac:dyDescent="0.3">
      <c r="A64" s="2">
        <v>38</v>
      </c>
      <c r="B64" s="2">
        <v>8.6529361325355456</v>
      </c>
      <c r="C64" s="2">
        <v>-0.55129313253554635</v>
      </c>
    </row>
    <row r="65" spans="1:3" x14ac:dyDescent="0.3">
      <c r="A65" s="2">
        <v>39</v>
      </c>
      <c r="B65" s="2">
        <v>8.5835296492588178</v>
      </c>
      <c r="C65" s="2">
        <v>-1.0783876492588176</v>
      </c>
    </row>
    <row r="66" spans="1:3" x14ac:dyDescent="0.3">
      <c r="A66" s="2">
        <v>40</v>
      </c>
      <c r="B66" s="2">
        <v>8.3723002556257189</v>
      </c>
      <c r="C66" s="2">
        <v>-1.2058922556257192</v>
      </c>
    </row>
    <row r="67" spans="1:3" x14ac:dyDescent="0.3">
      <c r="A67" s="2">
        <v>41</v>
      </c>
      <c r="B67" s="2">
        <v>7.822666877215724</v>
      </c>
      <c r="C67" s="2">
        <v>-0.66399287721572353</v>
      </c>
    </row>
    <row r="68" spans="1:3" x14ac:dyDescent="0.3">
      <c r="A68" s="2">
        <v>42</v>
      </c>
      <c r="B68" s="2">
        <v>7.4389456018141482</v>
      </c>
      <c r="C68" s="2">
        <v>-0.24020960181414797</v>
      </c>
    </row>
    <row r="69" spans="1:3" x14ac:dyDescent="0.3">
      <c r="A69" s="2">
        <v>43</v>
      </c>
      <c r="B69" s="2">
        <v>7.0586131996512016</v>
      </c>
      <c r="C69" s="2">
        <v>0.19671080034879829</v>
      </c>
    </row>
    <row r="70" spans="1:3" x14ac:dyDescent="0.3">
      <c r="A70" s="2">
        <v>44</v>
      </c>
      <c r="B70" s="2">
        <v>6.7678242540365394</v>
      </c>
      <c r="C70" s="2">
        <v>0.64782874596346041</v>
      </c>
    </row>
    <row r="71" spans="1:3" x14ac:dyDescent="0.3">
      <c r="A71" s="2">
        <v>45</v>
      </c>
      <c r="B71" s="2">
        <v>7.1420088877699959</v>
      </c>
      <c r="C71" s="2">
        <v>0.3790431122300042</v>
      </c>
    </row>
    <row r="72" spans="1:3" x14ac:dyDescent="0.3">
      <c r="A72" s="2">
        <v>46</v>
      </c>
      <c r="B72" s="2">
        <v>7.5819995771873856</v>
      </c>
      <c r="C72" s="2">
        <v>-6.5833577187385472E-2</v>
      </c>
    </row>
    <row r="73" spans="1:3" x14ac:dyDescent="0.3">
      <c r="A73" s="2">
        <v>47</v>
      </c>
      <c r="B73" s="2">
        <v>7.7574713376597932</v>
      </c>
      <c r="C73" s="2">
        <v>-0.22939433765979356</v>
      </c>
    </row>
    <row r="74" spans="1:3" x14ac:dyDescent="0.3">
      <c r="A74" s="2">
        <v>48</v>
      </c>
      <c r="B74" s="2">
        <v>7.9631148672959693</v>
      </c>
      <c r="C74" s="2">
        <v>-0.4597648672959691</v>
      </c>
    </row>
    <row r="75" spans="1:3" x14ac:dyDescent="0.3">
      <c r="A75" s="2">
        <v>49</v>
      </c>
      <c r="B75" s="2">
        <v>7.4919845810414785</v>
      </c>
      <c r="C75" s="2">
        <v>0.13949841895852177</v>
      </c>
    </row>
    <row r="76" spans="1:3" x14ac:dyDescent="0.3">
      <c r="A76" s="2">
        <v>50</v>
      </c>
      <c r="B76" s="2">
        <v>6.658615016643151</v>
      </c>
      <c r="C76" s="2">
        <v>1.0699099833568493</v>
      </c>
    </row>
    <row r="77" spans="1:3" x14ac:dyDescent="0.3">
      <c r="A77" s="2">
        <v>51</v>
      </c>
      <c r="B77" s="2">
        <v>6.1876798712205172</v>
      </c>
      <c r="C77" s="2">
        <v>1.6473151287794829</v>
      </c>
    </row>
    <row r="78" spans="1:3" x14ac:dyDescent="0.3">
      <c r="A78" s="2">
        <v>52</v>
      </c>
      <c r="B78" s="2">
        <v>5.657109673853836</v>
      </c>
      <c r="C78" s="2">
        <v>2.2228443261461637</v>
      </c>
    </row>
    <row r="79" spans="1:3" x14ac:dyDescent="0.3">
      <c r="A79" s="2">
        <v>53</v>
      </c>
      <c r="B79" s="2">
        <v>6.6073093247754713</v>
      </c>
      <c r="C79" s="2">
        <v>1.4842466752245294</v>
      </c>
    </row>
    <row r="80" spans="1:3" x14ac:dyDescent="0.3">
      <c r="A80" s="2">
        <v>54</v>
      </c>
      <c r="B80" s="2">
        <v>7.5700239334341211</v>
      </c>
      <c r="C80" s="2">
        <v>1.0496210665658792</v>
      </c>
    </row>
    <row r="81" spans="1:3" x14ac:dyDescent="0.3">
      <c r="A81" s="2">
        <v>55</v>
      </c>
      <c r="B81" s="2">
        <v>8.379993649315514</v>
      </c>
      <c r="C81" s="2">
        <v>0.53934235068448544</v>
      </c>
    </row>
    <row r="82" spans="1:3" x14ac:dyDescent="0.3">
      <c r="A82" s="2">
        <v>56</v>
      </c>
      <c r="B82" s="2">
        <v>8.9753876040539318</v>
      </c>
      <c r="C82" s="2">
        <v>0.46626239594606744</v>
      </c>
    </row>
    <row r="83" spans="1:3" x14ac:dyDescent="0.3">
      <c r="A83" s="2">
        <v>57</v>
      </c>
      <c r="B83" s="2">
        <v>9.2041285976492979</v>
      </c>
      <c r="C83" s="2">
        <v>0.76817040235070166</v>
      </c>
    </row>
    <row r="84" spans="1:3" x14ac:dyDescent="0.3">
      <c r="A84" s="2">
        <v>58</v>
      </c>
      <c r="B84" s="2">
        <v>9.5160481300227691</v>
      </c>
      <c r="C84" s="2">
        <v>0.35783186997723071</v>
      </c>
    </row>
    <row r="85" spans="1:3" x14ac:dyDescent="0.3">
      <c r="A85" s="2">
        <v>59</v>
      </c>
      <c r="B85" s="2">
        <v>9.1142130745659422</v>
      </c>
      <c r="C85" s="2">
        <v>0.77121792543405832</v>
      </c>
    </row>
    <row r="86" spans="1:3" x14ac:dyDescent="0.3">
      <c r="A86" s="2">
        <v>60</v>
      </c>
      <c r="B86" s="2">
        <v>8.9091786535203958</v>
      </c>
      <c r="C86" s="2">
        <v>0.9187793464796048</v>
      </c>
    </row>
    <row r="87" spans="1:3" x14ac:dyDescent="0.3">
      <c r="A87" s="2">
        <v>61</v>
      </c>
      <c r="B87" s="2">
        <v>9.0840574512762213</v>
      </c>
      <c r="C87" s="2">
        <v>0.31198754872377954</v>
      </c>
    </row>
    <row r="88" spans="1:3" x14ac:dyDescent="0.3">
      <c r="A88" s="2">
        <v>62</v>
      </c>
      <c r="B88" s="2">
        <v>8.9243978712134293</v>
      </c>
      <c r="C88" s="2">
        <v>0.40530912878657155</v>
      </c>
    </row>
    <row r="89" spans="1:3" x14ac:dyDescent="0.3">
      <c r="A89" s="2">
        <v>63</v>
      </c>
      <c r="B89" s="2">
        <v>9.2112224095882347</v>
      </c>
      <c r="C89" s="2">
        <v>5.4550590411764688E-2</v>
      </c>
    </row>
    <row r="90" spans="1:3" x14ac:dyDescent="0.3">
      <c r="A90" s="2">
        <v>64</v>
      </c>
      <c r="B90" s="2">
        <v>9.2596630033152394</v>
      </c>
      <c r="C90" s="2">
        <v>-0.15006500331523931</v>
      </c>
    </row>
    <row r="91" spans="1:3" x14ac:dyDescent="0.3">
      <c r="A91" s="2">
        <v>65</v>
      </c>
      <c r="B91" s="2">
        <v>8.7314985573925092</v>
      </c>
      <c r="C91" s="2">
        <v>0.52170744260749125</v>
      </c>
    </row>
    <row r="92" spans="1:3" x14ac:dyDescent="0.3">
      <c r="A92" s="2">
        <v>66</v>
      </c>
      <c r="B92" s="2">
        <v>8.7992919749986562</v>
      </c>
      <c r="C92" s="2">
        <v>0.27917202500134408</v>
      </c>
    </row>
    <row r="93" spans="1:3" x14ac:dyDescent="0.3">
      <c r="A93" s="2">
        <v>67</v>
      </c>
      <c r="B93" s="2">
        <v>8.3631732089401094</v>
      </c>
      <c r="C93" s="2">
        <v>0.28279279105989019</v>
      </c>
    </row>
    <row r="94" spans="1:3" x14ac:dyDescent="0.3">
      <c r="A94" s="2">
        <v>68</v>
      </c>
      <c r="B94" s="2">
        <v>7.9977231780307578</v>
      </c>
      <c r="C94" s="2">
        <v>0.21536882196924179</v>
      </c>
    </row>
    <row r="95" spans="1:3" x14ac:dyDescent="0.3">
      <c r="A95" s="2">
        <v>69</v>
      </c>
      <c r="B95" s="2">
        <v>8.2940306324840041</v>
      </c>
      <c r="C95" s="2">
        <v>-0.7699166324840041</v>
      </c>
    </row>
    <row r="96" spans="1:3" x14ac:dyDescent="0.3">
      <c r="A96" s="2">
        <v>70</v>
      </c>
      <c r="B96" s="2">
        <v>7.987082757447995</v>
      </c>
      <c r="C96" s="2">
        <v>-0.98124875744799489</v>
      </c>
    </row>
    <row r="97" spans="1:3" x14ac:dyDescent="0.3">
      <c r="A97" s="2">
        <v>71</v>
      </c>
      <c r="B97" s="2">
        <v>7.7970983020478322</v>
      </c>
      <c r="C97" s="2">
        <v>-0.9970613020478325</v>
      </c>
    </row>
    <row r="98" spans="1:3" x14ac:dyDescent="0.3">
      <c r="A98" s="2">
        <v>72</v>
      </c>
      <c r="B98" s="2">
        <v>7.6586324146012545</v>
      </c>
      <c r="C98" s="2">
        <v>-0.71699341460125421</v>
      </c>
    </row>
    <row r="99" spans="1:3" x14ac:dyDescent="0.3">
      <c r="A99" s="2">
        <v>73</v>
      </c>
      <c r="B99" s="2">
        <v>7.2213792883305175</v>
      </c>
      <c r="C99" s="2">
        <v>-5.7081288330517843E-2</v>
      </c>
    </row>
    <row r="100" spans="1:3" x14ac:dyDescent="0.3">
      <c r="A100" s="2">
        <v>74</v>
      </c>
      <c r="B100" s="2">
        <v>6.986836126378126</v>
      </c>
      <c r="C100" s="2">
        <v>0.1134248736218737</v>
      </c>
    </row>
    <row r="101" spans="1:3" x14ac:dyDescent="0.3">
      <c r="A101" s="2">
        <v>75</v>
      </c>
      <c r="B101" s="2">
        <v>6.7644160805234694</v>
      </c>
      <c r="C101" s="2">
        <v>1.5059194765303374E-3</v>
      </c>
    </row>
    <row r="102" spans="1:3" x14ac:dyDescent="0.3">
      <c r="A102" s="2">
        <v>76</v>
      </c>
      <c r="B102" s="2">
        <v>6.6913701339088938</v>
      </c>
      <c r="C102" s="2">
        <v>-0.30032613390889384</v>
      </c>
    </row>
    <row r="103" spans="1:3" x14ac:dyDescent="0.3">
      <c r="A103" s="2">
        <v>77</v>
      </c>
      <c r="B103" s="2">
        <v>6.6349513944257081</v>
      </c>
      <c r="C103" s="2">
        <v>-0.7673953944257077</v>
      </c>
    </row>
    <row r="104" spans="1:3" x14ac:dyDescent="0.3">
      <c r="A104" s="2">
        <v>78</v>
      </c>
      <c r="B104" s="2">
        <v>6.8512379274704855</v>
      </c>
      <c r="C104" s="2">
        <v>-1.1317429274704853</v>
      </c>
    </row>
    <row r="105" spans="1:3" x14ac:dyDescent="0.3">
      <c r="A105" s="2">
        <v>79</v>
      </c>
      <c r="B105" s="2">
        <v>6.7661893510345337</v>
      </c>
      <c r="C105" s="2">
        <v>-1.0621013510345341</v>
      </c>
    </row>
    <row r="106" spans="1:3" x14ac:dyDescent="0.3">
      <c r="A106" s="2">
        <v>80</v>
      </c>
      <c r="B106" s="2">
        <v>6.5524451127908829</v>
      </c>
      <c r="C106" s="2">
        <v>-1.1005551127908832</v>
      </c>
    </row>
    <row r="107" spans="1:3" x14ac:dyDescent="0.3">
      <c r="A107" s="2">
        <v>81</v>
      </c>
      <c r="B107" s="2">
        <v>6.1754835595540145</v>
      </c>
      <c r="C107" s="2">
        <v>-0.84678955955401491</v>
      </c>
    </row>
    <row r="108" spans="1:3" x14ac:dyDescent="0.3">
      <c r="A108" s="2">
        <v>82</v>
      </c>
      <c r="B108" s="2">
        <v>6.0915363711770976</v>
      </c>
      <c r="C108" s="2">
        <v>-0.95038537117709776</v>
      </c>
    </row>
    <row r="109" spans="1:3" x14ac:dyDescent="0.3">
      <c r="A109" s="2">
        <v>83</v>
      </c>
      <c r="B109" s="2">
        <v>6.0271535393659494</v>
      </c>
      <c r="C109" s="2">
        <v>-0.8348445393659496</v>
      </c>
    </row>
    <row r="110" spans="1:3" x14ac:dyDescent="0.3">
      <c r="A110" s="2">
        <v>84</v>
      </c>
      <c r="B110" s="2">
        <v>5.7558031725970125</v>
      </c>
      <c r="C110" s="2">
        <v>-0.28931117259701278</v>
      </c>
    </row>
    <row r="111" spans="1:3" x14ac:dyDescent="0.3">
      <c r="A111" s="2">
        <v>85</v>
      </c>
      <c r="B111" s="2">
        <v>5.6859371041652196</v>
      </c>
      <c r="C111" s="2">
        <v>0.34798389583478073</v>
      </c>
    </row>
    <row r="112" spans="1:3" x14ac:dyDescent="0.3">
      <c r="A112" s="2">
        <v>86</v>
      </c>
      <c r="B112" s="2">
        <v>6.0069223087456693</v>
      </c>
      <c r="C112" s="2">
        <v>0.56589169125433081</v>
      </c>
    </row>
    <row r="113" spans="1:3" x14ac:dyDescent="0.3">
      <c r="A113" s="2">
        <v>87</v>
      </c>
      <c r="B113" s="2">
        <v>6.2747388005553244</v>
      </c>
      <c r="C113" s="2">
        <v>1.1386711994446754</v>
      </c>
    </row>
    <row r="114" spans="1:3" x14ac:dyDescent="0.3">
      <c r="A114" s="2">
        <v>88</v>
      </c>
      <c r="B114" s="2">
        <v>6.4069831746594463</v>
      </c>
      <c r="C114" s="2">
        <v>1.3898968253405535</v>
      </c>
    </row>
    <row r="115" spans="1:3" x14ac:dyDescent="0.3">
      <c r="A115" s="2">
        <v>89</v>
      </c>
      <c r="B115" s="2">
        <v>6.8408831250557185</v>
      </c>
      <c r="C115" s="2">
        <v>1.0722938749442816</v>
      </c>
    </row>
    <row r="116" spans="1:3" x14ac:dyDescent="0.3">
      <c r="A116" s="2">
        <v>90</v>
      </c>
      <c r="B116" s="2">
        <v>6.9810301188943695</v>
      </c>
      <c r="C116" s="2">
        <v>1.3475958811056303</v>
      </c>
    </row>
    <row r="117" spans="1:3" x14ac:dyDescent="0.3">
      <c r="A117" s="2">
        <v>91</v>
      </c>
      <c r="B117" s="2">
        <v>7.1124687888508182</v>
      </c>
      <c r="C117" s="2">
        <v>1.0329602111491818</v>
      </c>
    </row>
    <row r="118" spans="1:3" x14ac:dyDescent="0.3">
      <c r="A118" s="2">
        <v>92</v>
      </c>
      <c r="B118" s="2">
        <v>7.3618953804247376</v>
      </c>
      <c r="C118" s="2">
        <v>0.77028961957526221</v>
      </c>
    </row>
    <row r="119" spans="1:3" x14ac:dyDescent="0.3">
      <c r="A119" s="2">
        <v>93</v>
      </c>
      <c r="B119" s="2">
        <v>7.5899957476544353</v>
      </c>
      <c r="C119" s="2">
        <v>0.19956325234556438</v>
      </c>
    </row>
    <row r="120" spans="1:3" x14ac:dyDescent="0.3">
      <c r="A120" s="2">
        <v>94</v>
      </c>
      <c r="B120" s="2">
        <v>7.6402048206531212</v>
      </c>
      <c r="C120" s="2">
        <v>-0.5319648206531209</v>
      </c>
    </row>
    <row r="121" spans="1:3" x14ac:dyDescent="0.3">
      <c r="A121" s="2">
        <v>95</v>
      </c>
      <c r="B121" s="2">
        <v>7.2597174580467918</v>
      </c>
      <c r="C121" s="2">
        <v>-0.79427945804679201</v>
      </c>
    </row>
    <row r="122" spans="1:3" x14ac:dyDescent="0.3">
      <c r="A122" s="2">
        <v>96</v>
      </c>
      <c r="B122" s="2">
        <v>7.0846313648431565</v>
      </c>
      <c r="C122" s="2">
        <v>-1.2155793648431565</v>
      </c>
    </row>
    <row r="123" spans="1:3" x14ac:dyDescent="0.3">
      <c r="A123" s="2">
        <v>97</v>
      </c>
      <c r="B123" s="2">
        <v>6.8075036610590338</v>
      </c>
      <c r="C123" s="2">
        <v>-0.9579316610590336</v>
      </c>
    </row>
    <row r="124" spans="1:3" x14ac:dyDescent="0.3">
      <c r="A124" s="2">
        <v>98</v>
      </c>
      <c r="B124" s="2">
        <v>6.2080196246341739</v>
      </c>
      <c r="C124" s="2">
        <v>-0.61690762463417403</v>
      </c>
    </row>
    <row r="125" spans="1:3" x14ac:dyDescent="0.3">
      <c r="A125" s="2">
        <v>99</v>
      </c>
      <c r="B125" s="2">
        <v>5.6402581577876756</v>
      </c>
      <c r="C125" s="2">
        <v>-3.482415778767578E-2</v>
      </c>
    </row>
    <row r="126" spans="1:3" x14ac:dyDescent="0.3">
      <c r="A126" s="2">
        <v>100</v>
      </c>
      <c r="B126" s="2">
        <v>5.3098680017474793</v>
      </c>
      <c r="C126" s="2">
        <v>0.28837799825252031</v>
      </c>
    </row>
    <row r="127" spans="1:3" x14ac:dyDescent="0.3">
      <c r="A127" s="2">
        <v>101</v>
      </c>
      <c r="B127" s="2">
        <v>5.4199778294140462</v>
      </c>
      <c r="C127" s="2">
        <v>1.1713170585953669E-2</v>
      </c>
    </row>
    <row r="128" spans="1:3" x14ac:dyDescent="0.3">
      <c r="A128" s="2">
        <v>102</v>
      </c>
      <c r="B128" s="2">
        <v>5.3733462988424847</v>
      </c>
      <c r="C128" s="2">
        <v>0.19085470115751502</v>
      </c>
    </row>
    <row r="129" spans="1:3" x14ac:dyDescent="0.3">
      <c r="A129" s="2">
        <v>103</v>
      </c>
      <c r="B129" s="2">
        <v>5.7287285802133674</v>
      </c>
      <c r="C129" s="2">
        <v>-2.2593580213367659E-2</v>
      </c>
    </row>
    <row r="130" spans="1:3" x14ac:dyDescent="0.3">
      <c r="A130" s="2">
        <v>104</v>
      </c>
      <c r="B130" s="2">
        <v>5.7548316860065079</v>
      </c>
      <c r="C130" s="2">
        <v>-1.9926686006507488E-2</v>
      </c>
    </row>
    <row r="131" spans="1:3" x14ac:dyDescent="0.3">
      <c r="A131" s="2">
        <v>105</v>
      </c>
      <c r="B131" s="2">
        <v>5.6585738966797745</v>
      </c>
      <c r="C131" s="2">
        <v>4.3993103320225657E-2</v>
      </c>
    </row>
    <row r="132" spans="1:3" x14ac:dyDescent="0.3">
      <c r="A132" s="2">
        <v>106</v>
      </c>
      <c r="B132" s="2">
        <v>5.7539281011867454</v>
      </c>
      <c r="C132" s="2">
        <v>-0.25788110118674545</v>
      </c>
    </row>
    <row r="133" spans="1:3" x14ac:dyDescent="0.3">
      <c r="A133" s="2">
        <v>107</v>
      </c>
      <c r="B133" s="2">
        <v>5.7171087600759947</v>
      </c>
      <c r="C133" s="2">
        <v>-0.2455377600759947</v>
      </c>
    </row>
    <row r="134" spans="1:3" x14ac:dyDescent="0.3">
      <c r="A134" s="2">
        <v>108</v>
      </c>
      <c r="B134" s="2">
        <v>5.7189875671779387</v>
      </c>
      <c r="C134" s="2">
        <v>-0.28659056717793874</v>
      </c>
    </row>
    <row r="135" spans="1:3" x14ac:dyDescent="0.3">
      <c r="A135" s="2">
        <v>109</v>
      </c>
      <c r="B135" s="2">
        <v>5.4954916035153865</v>
      </c>
      <c r="C135" s="2">
        <v>-0.19402660351538614</v>
      </c>
    </row>
    <row r="136" spans="1:3" x14ac:dyDescent="0.3">
      <c r="A136" s="2">
        <v>110</v>
      </c>
      <c r="B136" s="2">
        <v>5.3325815531078291</v>
      </c>
      <c r="C136" s="2">
        <v>3.0969446892171071E-2</v>
      </c>
    </row>
    <row r="137" spans="1:3" x14ac:dyDescent="0.3">
      <c r="A137" s="2">
        <v>111</v>
      </c>
      <c r="B137" s="2">
        <v>5.3269483847584436</v>
      </c>
      <c r="C137" s="2">
        <v>-0.18811438475844344</v>
      </c>
    </row>
    <row r="138" spans="1:3" x14ac:dyDescent="0.3">
      <c r="A138" s="2">
        <v>112</v>
      </c>
      <c r="B138" s="2">
        <v>5.1359472877266645</v>
      </c>
      <c r="C138" s="2">
        <v>-0.2009512877266646</v>
      </c>
    </row>
    <row r="139" spans="1:3" x14ac:dyDescent="0.3">
      <c r="A139" s="2">
        <v>113</v>
      </c>
      <c r="B139" s="2">
        <v>5.0088861509820326</v>
      </c>
      <c r="C139" s="2">
        <v>-0.14296315098203216</v>
      </c>
    </row>
    <row r="140" spans="1:3" x14ac:dyDescent="0.3">
      <c r="A140" s="2">
        <v>114</v>
      </c>
      <c r="B140" s="2">
        <v>5.0023405919018256</v>
      </c>
      <c r="C140" s="2">
        <v>-0.24711359190182591</v>
      </c>
    </row>
    <row r="141" spans="1:3" x14ac:dyDescent="0.3">
      <c r="A141" s="2">
        <v>115</v>
      </c>
      <c r="B141" s="2">
        <v>4.9283452421657854</v>
      </c>
      <c r="C141" s="2">
        <v>-0.21662124216578516</v>
      </c>
    </row>
    <row r="142" spans="1:3" x14ac:dyDescent="0.3">
      <c r="A142" s="2">
        <v>116</v>
      </c>
      <c r="B142" s="2">
        <v>5.056828240143096</v>
      </c>
      <c r="C142" s="2">
        <v>-0.28625424014309608</v>
      </c>
    </row>
    <row r="143" spans="1:3" x14ac:dyDescent="0.3">
      <c r="A143" s="2">
        <v>117</v>
      </c>
      <c r="B143" s="2">
        <v>5.1598851506157084</v>
      </c>
      <c r="C143" s="2">
        <v>-0.43468215061570881</v>
      </c>
    </row>
    <row r="144" spans="1:3" x14ac:dyDescent="0.3">
      <c r="A144" s="2">
        <v>118</v>
      </c>
      <c r="B144" s="2">
        <v>5.1555455501499976</v>
      </c>
      <c r="C144" s="2">
        <v>-0.43303055014999803</v>
      </c>
    </row>
    <row r="145" spans="1:3" ht="15" thickBot="1" x14ac:dyDescent="0.35">
      <c r="A145" s="3">
        <v>119</v>
      </c>
      <c r="B145" s="3">
        <v>5.1656972582835756</v>
      </c>
      <c r="C145" s="3">
        <v>-0.43452225828357527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C31A-2AB9-4E83-82CB-8DA93868B60B}">
  <dimension ref="A1:I146"/>
  <sheetViews>
    <sheetView workbookViewId="0">
      <selection activeCell="B18" sqref="B18"/>
    </sheetView>
  </sheetViews>
  <sheetFormatPr defaultRowHeight="14.4" x14ac:dyDescent="0.3"/>
  <sheetData>
    <row r="1" spans="1:9" x14ac:dyDescent="0.3">
      <c r="A1" t="s">
        <v>18</v>
      </c>
    </row>
    <row r="2" spans="1:9" ht="15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0.8662885358218757</v>
      </c>
    </row>
    <row r="5" spans="1:9" x14ac:dyDescent="0.3">
      <c r="A5" s="2" t="s">
        <v>21</v>
      </c>
      <c r="B5" s="2">
        <v>0.75045582729640925</v>
      </c>
    </row>
    <row r="6" spans="1:9" x14ac:dyDescent="0.3">
      <c r="A6" s="2" t="s">
        <v>22</v>
      </c>
      <c r="B6" s="2">
        <v>0.74169989141207271</v>
      </c>
    </row>
    <row r="7" spans="1:9" x14ac:dyDescent="0.3">
      <c r="A7" s="2" t="s">
        <v>23</v>
      </c>
      <c r="B7" s="2">
        <v>0.81365959718621472</v>
      </c>
    </row>
    <row r="8" spans="1:9" ht="15" thickBot="1" x14ac:dyDescent="0.35">
      <c r="A8" s="3" t="s">
        <v>24</v>
      </c>
      <c r="B8" s="3">
        <v>119</v>
      </c>
    </row>
    <row r="10" spans="1:9" ht="15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4</v>
      </c>
      <c r="C12" s="2">
        <v>226.96978982971842</v>
      </c>
      <c r="D12" s="2">
        <v>56.742447457429606</v>
      </c>
      <c r="E12" s="2">
        <v>85.708236927465293</v>
      </c>
      <c r="F12" s="2">
        <v>1.8995011772846393E-33</v>
      </c>
    </row>
    <row r="13" spans="1:9" x14ac:dyDescent="0.3">
      <c r="A13" s="2" t="s">
        <v>27</v>
      </c>
      <c r="B13" s="2">
        <v>114</v>
      </c>
      <c r="C13" s="2">
        <v>75.472781170628579</v>
      </c>
      <c r="D13" s="2">
        <v>0.66204194009323314</v>
      </c>
      <c r="E13" s="2"/>
      <c r="F13" s="2"/>
    </row>
    <row r="14" spans="1:9" ht="15" thickBot="1" x14ac:dyDescent="0.35">
      <c r="A14" s="3" t="s">
        <v>28</v>
      </c>
      <c r="B14" s="3">
        <v>118</v>
      </c>
      <c r="C14" s="3">
        <v>302.44257100034702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24.488671634532473</v>
      </c>
      <c r="C17" s="2">
        <v>7.5144421181165226</v>
      </c>
      <c r="D17" s="2">
        <v>3.2588808656191368</v>
      </c>
      <c r="E17" s="2">
        <v>1.4744890367522072E-3</v>
      </c>
      <c r="F17" s="2">
        <v>9.6026196749582375</v>
      </c>
      <c r="G17" s="2">
        <v>39.374723594106712</v>
      </c>
      <c r="H17" s="2">
        <v>9.6026196749582375</v>
      </c>
      <c r="I17" s="2">
        <v>39.374723594106712</v>
      </c>
    </row>
    <row r="18" spans="1:9" x14ac:dyDescent="0.3">
      <c r="A18" s="2" t="s">
        <v>42</v>
      </c>
      <c r="B18" s="2">
        <v>0.5432367333643342</v>
      </c>
      <c r="C18" s="2">
        <v>5.9855242639932978E-2</v>
      </c>
      <c r="D18" s="2">
        <v>9.0758421385449175</v>
      </c>
      <c r="E18" s="2">
        <v>3.9294121250619064E-15</v>
      </c>
      <c r="F18" s="2">
        <v>0.4246639587011507</v>
      </c>
      <c r="G18" s="2">
        <v>0.6618095080275177</v>
      </c>
      <c r="H18" s="2">
        <v>0.4246639587011507</v>
      </c>
      <c r="I18" s="2">
        <v>0.6618095080275177</v>
      </c>
    </row>
    <row r="19" spans="1:9" x14ac:dyDescent="0.3">
      <c r="A19" s="2" t="s">
        <v>43</v>
      </c>
      <c r="B19" s="2">
        <v>0.37328241781029869</v>
      </c>
      <c r="C19" s="2">
        <v>5.1591401645524046E-2</v>
      </c>
      <c r="D19" s="2">
        <v>7.2353610466926295</v>
      </c>
      <c r="E19" s="2">
        <v>5.7675183288923014E-11</v>
      </c>
      <c r="F19" s="2">
        <v>0.27108024850873647</v>
      </c>
      <c r="G19" s="2">
        <v>0.47548458711186092</v>
      </c>
      <c r="H19" s="2">
        <v>0.27108024850873647</v>
      </c>
      <c r="I19" s="2">
        <v>0.47548458711186092</v>
      </c>
    </row>
    <row r="20" spans="1:9" x14ac:dyDescent="0.3">
      <c r="A20" s="2" t="s">
        <v>44</v>
      </c>
      <c r="B20" s="2">
        <v>-3.1460713401740987</v>
      </c>
      <c r="C20" s="2">
        <v>0.56394888298438473</v>
      </c>
      <c r="D20" s="2">
        <v>-5.5786462835519277</v>
      </c>
      <c r="E20" s="2">
        <v>1.6557226505442923E-7</v>
      </c>
      <c r="F20" s="2">
        <v>-4.2632497338182542</v>
      </c>
      <c r="G20" s="2">
        <v>-2.0288929465299432</v>
      </c>
      <c r="H20" s="2">
        <v>-4.2632497338182542</v>
      </c>
      <c r="I20" s="2">
        <v>-2.0288929465299432</v>
      </c>
    </row>
    <row r="21" spans="1:9" ht="15" thickBot="1" x14ac:dyDescent="0.35">
      <c r="A21" s="3" t="s">
        <v>61</v>
      </c>
      <c r="B21" s="3">
        <v>-19.215392606191791</v>
      </c>
      <c r="C21" s="3">
        <v>7.5437319446008884</v>
      </c>
      <c r="D21" s="3">
        <v>-2.5471998140051104</v>
      </c>
      <c r="E21" s="3">
        <v>1.219138153831114E-2</v>
      </c>
      <c r="F21" s="3">
        <v>-34.159467486440604</v>
      </c>
      <c r="G21" s="3">
        <v>-4.2713177259429767</v>
      </c>
      <c r="H21" s="3">
        <v>-34.159467486440604</v>
      </c>
      <c r="I21" s="3">
        <v>-4.2713177259429767</v>
      </c>
    </row>
    <row r="25" spans="1:9" x14ac:dyDescent="0.3">
      <c r="A25" t="s">
        <v>45</v>
      </c>
    </row>
    <row r="26" spans="1:9" ht="15" thickBot="1" x14ac:dyDescent="0.35"/>
    <row r="27" spans="1:9" x14ac:dyDescent="0.3">
      <c r="A27" s="4" t="s">
        <v>46</v>
      </c>
      <c r="B27" s="4" t="s">
        <v>47</v>
      </c>
      <c r="C27" s="4" t="s">
        <v>48</v>
      </c>
    </row>
    <row r="28" spans="1:9" x14ac:dyDescent="0.3">
      <c r="A28" s="2">
        <v>1</v>
      </c>
      <c r="B28" s="2">
        <v>8.7273918628844775</v>
      </c>
      <c r="C28" s="2">
        <v>-1.0639938628844776</v>
      </c>
    </row>
    <row r="29" spans="1:9" x14ac:dyDescent="0.3">
      <c r="A29" s="2">
        <v>2</v>
      </c>
      <c r="B29" s="2">
        <v>8.9274303678019962</v>
      </c>
      <c r="C29" s="2">
        <v>-1.1673733678019964</v>
      </c>
    </row>
    <row r="30" spans="1:9" x14ac:dyDescent="0.3">
      <c r="A30" s="2">
        <v>3</v>
      </c>
      <c r="B30" s="2">
        <v>8.848392909260177</v>
      </c>
      <c r="C30" s="2">
        <v>-1.0132509092601767</v>
      </c>
    </row>
    <row r="31" spans="1:9" x14ac:dyDescent="0.3">
      <c r="A31" s="2">
        <v>4</v>
      </c>
      <c r="B31" s="2">
        <v>8.6616896823760392</v>
      </c>
      <c r="C31" s="2">
        <v>-0.8395566823760392</v>
      </c>
    </row>
    <row r="32" spans="1:9" x14ac:dyDescent="0.3">
      <c r="A32" s="2">
        <v>5</v>
      </c>
      <c r="B32" s="2">
        <v>8.5789542879858303</v>
      </c>
      <c r="C32" s="2">
        <v>-0.81712328798583034</v>
      </c>
    </row>
    <row r="33" spans="1:3" x14ac:dyDescent="0.3">
      <c r="A33" s="2">
        <v>6</v>
      </c>
      <c r="B33" s="2">
        <v>8.2214418260998912</v>
      </c>
      <c r="C33" s="2">
        <v>-0.47423082609989109</v>
      </c>
    </row>
    <row r="34" spans="1:3" x14ac:dyDescent="0.3">
      <c r="A34" s="2">
        <v>7</v>
      </c>
      <c r="B34" s="2">
        <v>8.2381464127848965</v>
      </c>
      <c r="C34" s="2">
        <v>-0.47521741278489671</v>
      </c>
    </row>
    <row r="35" spans="1:3" x14ac:dyDescent="0.3">
      <c r="A35" s="2">
        <v>8</v>
      </c>
      <c r="B35" s="2">
        <v>8.2975829776260959</v>
      </c>
      <c r="C35" s="2">
        <v>-0.49067797762609544</v>
      </c>
    </row>
    <row r="36" spans="1:3" x14ac:dyDescent="0.3">
      <c r="A36" s="2">
        <v>9</v>
      </c>
      <c r="B36" s="2">
        <v>8.3446232462367398</v>
      </c>
      <c r="C36" s="2">
        <v>-0.50538924623673953</v>
      </c>
    </row>
    <row r="37" spans="1:3" x14ac:dyDescent="0.3">
      <c r="A37" s="2">
        <v>10</v>
      </c>
      <c r="B37" s="2">
        <v>8.5580694963988932</v>
      </c>
      <c r="C37" s="2">
        <v>-0.48475149639889281</v>
      </c>
    </row>
    <row r="38" spans="1:3" x14ac:dyDescent="0.3">
      <c r="A38" s="2">
        <v>11</v>
      </c>
      <c r="B38" s="2">
        <v>8.3407306469669358</v>
      </c>
      <c r="C38" s="2">
        <v>4.8453530330636596E-3</v>
      </c>
    </row>
    <row r="39" spans="1:3" x14ac:dyDescent="0.3">
      <c r="A39" s="2">
        <v>12</v>
      </c>
      <c r="B39" s="2">
        <v>8.0717331726860841</v>
      </c>
      <c r="C39" s="2">
        <v>0.57396882731391585</v>
      </c>
    </row>
    <row r="40" spans="1:3" x14ac:dyDescent="0.3">
      <c r="A40" s="2">
        <v>13</v>
      </c>
      <c r="B40" s="2">
        <v>8.2527496739660933</v>
      </c>
      <c r="C40" s="2">
        <v>0.93703632603390652</v>
      </c>
    </row>
    <row r="41" spans="1:3" x14ac:dyDescent="0.3">
      <c r="A41" s="2">
        <v>14</v>
      </c>
      <c r="B41" s="2">
        <v>8.6066466455740276</v>
      </c>
      <c r="C41" s="2">
        <v>1.073123354425972</v>
      </c>
    </row>
    <row r="42" spans="1:3" x14ac:dyDescent="0.3">
      <c r="A42" s="2">
        <v>15</v>
      </c>
      <c r="B42" s="2">
        <v>8.9983854808950383</v>
      </c>
      <c r="C42" s="2">
        <v>1.190514519104962</v>
      </c>
    </row>
    <row r="43" spans="1:3" x14ac:dyDescent="0.3">
      <c r="A43" s="2">
        <v>16</v>
      </c>
      <c r="B43" s="2">
        <v>9.2196426013241819</v>
      </c>
      <c r="C43" s="2">
        <v>1.1039073986758172</v>
      </c>
    </row>
    <row r="44" spans="1:3" x14ac:dyDescent="0.3">
      <c r="A44" s="2">
        <v>17</v>
      </c>
      <c r="B44" s="2">
        <v>9.4439155344028123</v>
      </c>
      <c r="C44" s="2">
        <v>1.1326944655971882</v>
      </c>
    </row>
    <row r="45" spans="1:3" x14ac:dyDescent="0.3">
      <c r="A45" s="2">
        <v>18</v>
      </c>
      <c r="B45" s="2">
        <v>9.6257706904825469</v>
      </c>
      <c r="C45" s="2">
        <v>0.65418930951745402</v>
      </c>
    </row>
    <row r="46" spans="1:3" x14ac:dyDescent="0.3">
      <c r="A46" s="2">
        <v>19</v>
      </c>
      <c r="B46" s="2">
        <v>9.5850516548886873</v>
      </c>
      <c r="C46" s="2">
        <v>0.59756834511131274</v>
      </c>
    </row>
    <row r="47" spans="1:3" x14ac:dyDescent="0.3">
      <c r="A47" s="2">
        <v>20</v>
      </c>
      <c r="B47" s="2">
        <v>9.6565741861739838</v>
      </c>
      <c r="C47" s="2">
        <v>0.31416781382601577</v>
      </c>
    </row>
    <row r="48" spans="1:3" x14ac:dyDescent="0.3">
      <c r="A48" s="2">
        <v>21</v>
      </c>
      <c r="B48" s="2">
        <v>9.6175938373467567</v>
      </c>
      <c r="C48" s="2">
        <v>9.0902162653243579E-2</v>
      </c>
    </row>
    <row r="49" spans="1:3" x14ac:dyDescent="0.3">
      <c r="A49" s="2">
        <v>22</v>
      </c>
      <c r="B49" s="2">
        <v>9.3794935608739785</v>
      </c>
      <c r="C49" s="2">
        <v>-0.22432956087397926</v>
      </c>
    </row>
    <row r="50" spans="1:3" x14ac:dyDescent="0.3">
      <c r="A50" s="2">
        <v>23</v>
      </c>
      <c r="B50" s="2">
        <v>9.2202436452794991</v>
      </c>
      <c r="C50" s="2">
        <v>-1.0661376452794986</v>
      </c>
    </row>
    <row r="51" spans="1:3" x14ac:dyDescent="0.3">
      <c r="A51" s="2">
        <v>24</v>
      </c>
      <c r="B51" s="2">
        <v>9.0925936350501253</v>
      </c>
      <c r="C51" s="2">
        <v>-1.2598716350501249</v>
      </c>
    </row>
    <row r="52" spans="1:3" x14ac:dyDescent="0.3">
      <c r="A52" s="2">
        <v>25</v>
      </c>
      <c r="B52" s="2">
        <v>9.1108046707642742</v>
      </c>
      <c r="C52" s="2">
        <v>-2.2054286707642738</v>
      </c>
    </row>
    <row r="53" spans="1:3" x14ac:dyDescent="0.3">
      <c r="A53" s="2">
        <v>26</v>
      </c>
      <c r="B53" s="2">
        <v>9.1521903148266723</v>
      </c>
      <c r="C53" s="2">
        <v>-2.1468473148266725</v>
      </c>
    </row>
    <row r="54" spans="1:3" x14ac:dyDescent="0.3">
      <c r="A54" s="2">
        <v>27</v>
      </c>
      <c r="B54" s="2">
        <v>8.4713313354576805</v>
      </c>
      <c r="C54" s="2">
        <v>-0.88193433545768052</v>
      </c>
    </row>
    <row r="55" spans="1:3" x14ac:dyDescent="0.3">
      <c r="A55" s="2">
        <v>28</v>
      </c>
      <c r="B55" s="2">
        <v>8.3913896877693261</v>
      </c>
      <c r="C55" s="2">
        <v>-0.64226368776932574</v>
      </c>
    </row>
    <row r="56" spans="1:3" x14ac:dyDescent="0.3">
      <c r="A56" s="2">
        <v>29</v>
      </c>
      <c r="B56" s="2">
        <v>7.9455335838231136</v>
      </c>
      <c r="C56" s="2">
        <v>0.39355441617688669</v>
      </c>
    </row>
    <row r="57" spans="1:3" x14ac:dyDescent="0.3">
      <c r="A57" s="2">
        <v>30</v>
      </c>
      <c r="B57" s="2">
        <v>7.8497393420097659</v>
      </c>
      <c r="C57" s="2">
        <v>0.50346665799023427</v>
      </c>
    </row>
    <row r="58" spans="1:3" x14ac:dyDescent="0.3">
      <c r="A58" s="2">
        <v>31</v>
      </c>
      <c r="B58" s="2">
        <v>8.1146547675581431</v>
      </c>
      <c r="C58" s="2">
        <v>0.33248023244185632</v>
      </c>
    </row>
    <row r="59" spans="1:3" x14ac:dyDescent="0.3">
      <c r="A59" s="2">
        <v>32</v>
      </c>
      <c r="B59" s="2">
        <v>8.017554200569613</v>
      </c>
      <c r="C59" s="2">
        <v>0.73963979943038716</v>
      </c>
    </row>
    <row r="60" spans="1:3" x14ac:dyDescent="0.3">
      <c r="A60" s="2">
        <v>33</v>
      </c>
      <c r="B60" s="2">
        <v>8.0543971818324351</v>
      </c>
      <c r="C60" s="2">
        <v>1.1097868181675654</v>
      </c>
    </row>
    <row r="61" spans="1:3" x14ac:dyDescent="0.3">
      <c r="A61" s="2">
        <v>34</v>
      </c>
      <c r="B61" s="2">
        <v>8.0735576190623028</v>
      </c>
      <c r="C61" s="2">
        <v>1.6841463809376975</v>
      </c>
    </row>
    <row r="62" spans="1:3" x14ac:dyDescent="0.3">
      <c r="A62" s="2">
        <v>35</v>
      </c>
      <c r="B62" s="2">
        <v>8.1753754118496076</v>
      </c>
      <c r="C62" s="2">
        <v>1.6661675881503921</v>
      </c>
    </row>
    <row r="63" spans="1:3" x14ac:dyDescent="0.3">
      <c r="A63" s="2">
        <v>36</v>
      </c>
      <c r="B63" s="2">
        <v>8.1598674327443277</v>
      </c>
      <c r="C63" s="2">
        <v>1.4301295672556726</v>
      </c>
    </row>
    <row r="64" spans="1:3" x14ac:dyDescent="0.3">
      <c r="A64" s="2">
        <v>37</v>
      </c>
      <c r="B64" s="2">
        <v>8.4606699119458035</v>
      </c>
      <c r="C64" s="2">
        <v>0.32119008805419647</v>
      </c>
    </row>
    <row r="65" spans="1:3" x14ac:dyDescent="0.3">
      <c r="A65" s="2">
        <v>38</v>
      </c>
      <c r="B65" s="2">
        <v>8.8990590586088096</v>
      </c>
      <c r="C65" s="2">
        <v>-0.79741605860881037</v>
      </c>
    </row>
    <row r="66" spans="1:3" x14ac:dyDescent="0.3">
      <c r="A66" s="2">
        <v>39</v>
      </c>
      <c r="B66" s="2">
        <v>8.8096161214966102</v>
      </c>
      <c r="C66" s="2">
        <v>-1.30447412149661</v>
      </c>
    </row>
    <row r="67" spans="1:3" x14ac:dyDescent="0.3">
      <c r="A67" s="2">
        <v>40</v>
      </c>
      <c r="B67" s="2">
        <v>8.6334589813789648</v>
      </c>
      <c r="C67" s="2">
        <v>-1.4670509813789652</v>
      </c>
    </row>
    <row r="68" spans="1:3" x14ac:dyDescent="0.3">
      <c r="A68" s="2">
        <v>41</v>
      </c>
      <c r="B68" s="2">
        <v>8.1320846311745889</v>
      </c>
      <c r="C68" s="2">
        <v>-0.97341063117458848</v>
      </c>
    </row>
    <row r="69" spans="1:3" x14ac:dyDescent="0.3">
      <c r="A69" s="2">
        <v>42</v>
      </c>
      <c r="B69" s="2">
        <v>7.723634533302171</v>
      </c>
      <c r="C69" s="2">
        <v>-0.52489853330217073</v>
      </c>
    </row>
    <row r="70" spans="1:3" x14ac:dyDescent="0.3">
      <c r="A70" s="2">
        <v>43</v>
      </c>
      <c r="B70" s="2">
        <v>7.3024993403422371</v>
      </c>
      <c r="C70" s="2">
        <v>-4.7175340342237249E-2</v>
      </c>
    </row>
    <row r="71" spans="1:3" x14ac:dyDescent="0.3">
      <c r="A71" s="2">
        <v>44</v>
      </c>
      <c r="B71" s="2">
        <v>6.9776166815444078</v>
      </c>
      <c r="C71" s="2">
        <v>0.43803631845559199</v>
      </c>
    </row>
    <row r="72" spans="1:3" x14ac:dyDescent="0.3">
      <c r="A72" s="2">
        <v>45</v>
      </c>
      <c r="B72" s="2">
        <v>7.3279136121598434</v>
      </c>
      <c r="C72" s="2">
        <v>0.19313838784015669</v>
      </c>
    </row>
    <row r="73" spans="1:3" x14ac:dyDescent="0.3">
      <c r="A73" s="2">
        <v>46</v>
      </c>
      <c r="B73" s="2">
        <v>7.7101862939280608</v>
      </c>
      <c r="C73" s="2">
        <v>-0.19402029392806064</v>
      </c>
    </row>
    <row r="74" spans="1:3" x14ac:dyDescent="0.3">
      <c r="A74" s="2">
        <v>47</v>
      </c>
      <c r="B74" s="2">
        <v>7.8639533316617865</v>
      </c>
      <c r="C74" s="2">
        <v>-0.33587633166178676</v>
      </c>
    </row>
    <row r="75" spans="1:3" x14ac:dyDescent="0.3">
      <c r="A75" s="2">
        <v>48</v>
      </c>
      <c r="B75" s="2">
        <v>8.0355209773146967</v>
      </c>
      <c r="C75" s="2">
        <v>-0.53217097731469654</v>
      </c>
    </row>
    <row r="76" spans="1:3" x14ac:dyDescent="0.3">
      <c r="A76" s="2">
        <v>49</v>
      </c>
      <c r="B76" s="2">
        <v>7.5077757350983809</v>
      </c>
      <c r="C76" s="2">
        <v>0.12370726490161932</v>
      </c>
    </row>
    <row r="77" spans="1:3" x14ac:dyDescent="0.3">
      <c r="A77" s="2">
        <v>50</v>
      </c>
      <c r="B77" s="2">
        <v>6.6949670303913251</v>
      </c>
      <c r="C77" s="2">
        <v>1.0335579696086752</v>
      </c>
    </row>
    <row r="78" spans="1:3" x14ac:dyDescent="0.3">
      <c r="A78" s="2">
        <v>51</v>
      </c>
      <c r="B78" s="2">
        <v>6.193882693068705</v>
      </c>
      <c r="C78" s="2">
        <v>1.6411123069312952</v>
      </c>
    </row>
    <row r="79" spans="1:3" x14ac:dyDescent="0.3">
      <c r="A79" s="2">
        <v>52</v>
      </c>
      <c r="B79" s="2">
        <v>5.6716569613112782</v>
      </c>
      <c r="C79" s="2">
        <v>2.2082970386887215</v>
      </c>
    </row>
    <row r="80" spans="1:3" x14ac:dyDescent="0.3">
      <c r="A80" s="2">
        <v>53</v>
      </c>
      <c r="B80" s="2">
        <v>6.5224928081493232</v>
      </c>
      <c r="C80" s="2">
        <v>1.5690631918506774</v>
      </c>
    </row>
    <row r="81" spans="1:3" x14ac:dyDescent="0.3">
      <c r="A81" s="2">
        <v>54</v>
      </c>
      <c r="B81" s="2">
        <v>7.4648780483916823</v>
      </c>
      <c r="C81" s="2">
        <v>1.1547669516083179</v>
      </c>
    </row>
    <row r="82" spans="1:3" x14ac:dyDescent="0.3">
      <c r="A82" s="2">
        <v>55</v>
      </c>
      <c r="B82" s="2">
        <v>8.324610493037703</v>
      </c>
      <c r="C82" s="2">
        <v>0.59472550696229654</v>
      </c>
    </row>
    <row r="83" spans="1:3" x14ac:dyDescent="0.3">
      <c r="A83" s="2">
        <v>56</v>
      </c>
      <c r="B83" s="2">
        <v>9.0155204085505574</v>
      </c>
      <c r="C83" s="2">
        <v>0.42612959144944185</v>
      </c>
    </row>
    <row r="84" spans="1:3" x14ac:dyDescent="0.3">
      <c r="A84" s="2">
        <v>57</v>
      </c>
      <c r="B84" s="2">
        <v>9.3922888743728947</v>
      </c>
      <c r="C84" s="2">
        <v>0.58001012562710486</v>
      </c>
    </row>
    <row r="85" spans="1:3" x14ac:dyDescent="0.3">
      <c r="A85" s="2">
        <v>58</v>
      </c>
      <c r="B85" s="2">
        <v>9.6937115740522124</v>
      </c>
      <c r="C85" s="2">
        <v>0.18016842594778737</v>
      </c>
    </row>
    <row r="86" spans="1:3" x14ac:dyDescent="0.3">
      <c r="A86" s="2">
        <v>59</v>
      </c>
      <c r="B86" s="2">
        <v>9.2033050811735464</v>
      </c>
      <c r="C86" s="2">
        <v>0.68212591882645413</v>
      </c>
    </row>
    <row r="87" spans="1:3" x14ac:dyDescent="0.3">
      <c r="A87" s="2">
        <v>60</v>
      </c>
      <c r="B87" s="2">
        <v>8.8798311308334448</v>
      </c>
      <c r="C87" s="2">
        <v>0.94812686916655586</v>
      </c>
    </row>
    <row r="88" spans="1:3" x14ac:dyDescent="0.3">
      <c r="A88" s="2">
        <v>61</v>
      </c>
      <c r="B88" s="2">
        <v>8.9202743216486127</v>
      </c>
      <c r="C88" s="2">
        <v>0.4757706783513882</v>
      </c>
    </row>
    <row r="89" spans="1:3" x14ac:dyDescent="0.3">
      <c r="A89" s="2">
        <v>62</v>
      </c>
      <c r="B89" s="2">
        <v>8.9248952945130249</v>
      </c>
      <c r="C89" s="2">
        <v>0.40481170548697598</v>
      </c>
    </row>
    <row r="90" spans="1:3" x14ac:dyDescent="0.3">
      <c r="A90" s="2">
        <v>63</v>
      </c>
      <c r="B90" s="2">
        <v>9.2101494511449076</v>
      </c>
      <c r="C90" s="2">
        <v>5.5623548855091798E-2</v>
      </c>
    </row>
    <row r="91" spans="1:3" x14ac:dyDescent="0.3">
      <c r="A91" s="2">
        <v>64</v>
      </c>
      <c r="B91" s="2">
        <v>9.2995797224150429</v>
      </c>
      <c r="C91" s="2">
        <v>-0.18998172241504285</v>
      </c>
    </row>
    <row r="92" spans="1:3" x14ac:dyDescent="0.3">
      <c r="A92" s="2">
        <v>65</v>
      </c>
      <c r="B92" s="2">
        <v>8.7959002945596083</v>
      </c>
      <c r="C92" s="2">
        <v>0.45730570544039217</v>
      </c>
    </row>
    <row r="93" spans="1:3" x14ac:dyDescent="0.3">
      <c r="A93" s="2">
        <v>66</v>
      </c>
      <c r="B93" s="2">
        <v>8.7255658680986379</v>
      </c>
      <c r="C93" s="2">
        <v>0.35289813190136243</v>
      </c>
    </row>
    <row r="94" spans="1:3" x14ac:dyDescent="0.3">
      <c r="A94" s="2">
        <v>67</v>
      </c>
      <c r="B94" s="2">
        <v>8.3085252085609262</v>
      </c>
      <c r="C94" s="2">
        <v>0.33744079143907335</v>
      </c>
    </row>
    <row r="95" spans="1:3" x14ac:dyDescent="0.3">
      <c r="A95" s="2">
        <v>68</v>
      </c>
      <c r="B95" s="2">
        <v>7.811630756021394</v>
      </c>
      <c r="C95" s="2">
        <v>0.40146124397860561</v>
      </c>
    </row>
    <row r="96" spans="1:3" x14ac:dyDescent="0.3">
      <c r="A96" s="2">
        <v>69</v>
      </c>
      <c r="B96" s="2">
        <v>8.174302818984593</v>
      </c>
      <c r="C96" s="2">
        <v>-0.65018881898459302</v>
      </c>
    </row>
    <row r="97" spans="1:3" x14ac:dyDescent="0.3">
      <c r="A97" s="2">
        <v>70</v>
      </c>
      <c r="B97" s="2">
        <v>7.8874394679438815</v>
      </c>
      <c r="C97" s="2">
        <v>-0.88160546794388139</v>
      </c>
    </row>
    <row r="98" spans="1:3" x14ac:dyDescent="0.3">
      <c r="A98" s="2">
        <v>71</v>
      </c>
      <c r="B98" s="2">
        <v>7.5233982583248675</v>
      </c>
      <c r="C98" s="2">
        <v>-0.72336125832486786</v>
      </c>
    </row>
    <row r="99" spans="1:3" x14ac:dyDescent="0.3">
      <c r="A99" s="2">
        <v>72</v>
      </c>
      <c r="B99" s="2">
        <v>7.4280844967074984</v>
      </c>
      <c r="C99" s="2">
        <v>-0.48644549670749804</v>
      </c>
    </row>
    <row r="100" spans="1:3" x14ac:dyDescent="0.3">
      <c r="A100" s="2">
        <v>73</v>
      </c>
      <c r="B100" s="2">
        <v>6.9936362706869595</v>
      </c>
      <c r="C100" s="2">
        <v>0.17066172931304013</v>
      </c>
    </row>
    <row r="101" spans="1:3" x14ac:dyDescent="0.3">
      <c r="A101" s="2">
        <v>74</v>
      </c>
      <c r="B101" s="2">
        <v>6.75290987248761</v>
      </c>
      <c r="C101" s="2">
        <v>0.34735112751238972</v>
      </c>
    </row>
    <row r="102" spans="1:3" x14ac:dyDescent="0.3">
      <c r="A102" s="2">
        <v>75</v>
      </c>
      <c r="B102" s="2">
        <v>6.631119985784391</v>
      </c>
      <c r="C102" s="2">
        <v>0.13480201421560878</v>
      </c>
    </row>
    <row r="103" spans="1:3" x14ac:dyDescent="0.3">
      <c r="A103" s="2">
        <v>76</v>
      </c>
      <c r="B103" s="2">
        <v>6.8086177914084161</v>
      </c>
      <c r="C103" s="2">
        <v>-0.41757379140841611</v>
      </c>
    </row>
    <row r="104" spans="1:3" x14ac:dyDescent="0.3">
      <c r="A104" s="2">
        <v>77</v>
      </c>
      <c r="B104" s="2">
        <v>6.6808654519965174</v>
      </c>
      <c r="C104" s="2">
        <v>-0.81330945199651694</v>
      </c>
    </row>
    <row r="105" spans="1:3" x14ac:dyDescent="0.3">
      <c r="A105" s="2">
        <v>78</v>
      </c>
      <c r="B105" s="2">
        <v>6.8509900967100741</v>
      </c>
      <c r="C105" s="2">
        <v>-1.1314950967100739</v>
      </c>
    </row>
    <row r="106" spans="1:3" x14ac:dyDescent="0.3">
      <c r="A106" s="2">
        <v>79</v>
      </c>
      <c r="B106" s="2">
        <v>6.807088925016469</v>
      </c>
      <c r="C106" s="2">
        <v>-1.1030009250164694</v>
      </c>
    </row>
    <row r="107" spans="1:3" x14ac:dyDescent="0.3">
      <c r="A107" s="2">
        <v>80</v>
      </c>
      <c r="B107" s="2">
        <v>6.2227630334511375</v>
      </c>
      <c r="C107" s="2">
        <v>-0.77087303345113778</v>
      </c>
    </row>
    <row r="108" spans="1:3" x14ac:dyDescent="0.3">
      <c r="A108" s="2">
        <v>81</v>
      </c>
      <c r="B108" s="2">
        <v>5.7698710647635529</v>
      </c>
      <c r="C108" s="2">
        <v>-0.44117706476355334</v>
      </c>
    </row>
    <row r="109" spans="1:3" x14ac:dyDescent="0.3">
      <c r="A109" s="2">
        <v>82</v>
      </c>
      <c r="B109" s="2">
        <v>5.671797443577578</v>
      </c>
      <c r="C109" s="2">
        <v>-0.53064644357757818</v>
      </c>
    </row>
    <row r="110" spans="1:3" x14ac:dyDescent="0.3">
      <c r="A110" s="2">
        <v>83</v>
      </c>
      <c r="B110" s="2">
        <v>5.4280752975964077</v>
      </c>
      <c r="C110" s="2">
        <v>-0.23576629759640788</v>
      </c>
    </row>
    <row r="111" spans="1:3" x14ac:dyDescent="0.3">
      <c r="A111" s="2">
        <v>84</v>
      </c>
      <c r="B111" s="2">
        <v>5.806642919848457</v>
      </c>
      <c r="C111" s="2">
        <v>-0.34015091984845736</v>
      </c>
    </row>
    <row r="112" spans="1:3" x14ac:dyDescent="0.3">
      <c r="A112" s="2">
        <v>85</v>
      </c>
      <c r="B112" s="2">
        <v>6.0308932473931556</v>
      </c>
      <c r="C112" s="2">
        <v>3.0277526068447358E-3</v>
      </c>
    </row>
    <row r="113" spans="1:3" x14ac:dyDescent="0.3">
      <c r="A113" s="2">
        <v>86</v>
      </c>
      <c r="B113" s="2">
        <v>6.523171692161057</v>
      </c>
      <c r="C113" s="2">
        <v>4.9642307838943189E-2</v>
      </c>
    </row>
    <row r="114" spans="1:3" x14ac:dyDescent="0.3">
      <c r="A114" s="2">
        <v>87</v>
      </c>
      <c r="B114" s="2">
        <v>6.9221079602162021</v>
      </c>
      <c r="C114" s="2">
        <v>0.49130203978379772</v>
      </c>
    </row>
    <row r="115" spans="1:3" x14ac:dyDescent="0.3">
      <c r="A115" s="2">
        <v>88</v>
      </c>
      <c r="B115" s="2">
        <v>6.4583495257200561</v>
      </c>
      <c r="C115" s="2">
        <v>1.3385304742799438</v>
      </c>
    </row>
    <row r="116" spans="1:3" x14ac:dyDescent="0.3">
      <c r="A116" s="2">
        <v>89</v>
      </c>
      <c r="B116" s="2">
        <v>6.747164821816046</v>
      </c>
      <c r="C116" s="2">
        <v>1.1660121781839541</v>
      </c>
    </row>
    <row r="117" spans="1:3" x14ac:dyDescent="0.3">
      <c r="A117" s="2">
        <v>90</v>
      </c>
      <c r="B117" s="2">
        <v>6.9921160834101812</v>
      </c>
      <c r="C117" s="2">
        <v>1.3365099165898187</v>
      </c>
    </row>
    <row r="118" spans="1:3" x14ac:dyDescent="0.3">
      <c r="A118" s="2">
        <v>91</v>
      </c>
      <c r="B118" s="2">
        <v>7.1961105384415447</v>
      </c>
      <c r="C118" s="2">
        <v>0.94931846155845534</v>
      </c>
    </row>
    <row r="119" spans="1:3" x14ac:dyDescent="0.3">
      <c r="A119" s="2">
        <v>92</v>
      </c>
      <c r="B119" s="2">
        <v>7.4501784487317551</v>
      </c>
      <c r="C119" s="2">
        <v>0.68200655126824472</v>
      </c>
    </row>
    <row r="120" spans="1:3" x14ac:dyDescent="0.3">
      <c r="A120" s="2">
        <v>93</v>
      </c>
      <c r="B120" s="2">
        <v>7.5466720951489208</v>
      </c>
      <c r="C120" s="2">
        <v>0.24288690485107889</v>
      </c>
    </row>
    <row r="121" spans="1:3" x14ac:dyDescent="0.3">
      <c r="A121" s="2">
        <v>94</v>
      </c>
      <c r="B121" s="2">
        <v>7.3580095740763731</v>
      </c>
      <c r="C121" s="2">
        <v>-0.24976957407637279</v>
      </c>
    </row>
    <row r="122" spans="1:3" x14ac:dyDescent="0.3">
      <c r="A122" s="2">
        <v>95</v>
      </c>
      <c r="B122" s="2">
        <v>6.8489134790481785</v>
      </c>
      <c r="C122" s="2">
        <v>-0.38347547904817869</v>
      </c>
    </row>
    <row r="123" spans="1:3" x14ac:dyDescent="0.3">
      <c r="A123" s="2">
        <v>96</v>
      </c>
      <c r="B123" s="2">
        <v>6.7213835453304149</v>
      </c>
      <c r="C123" s="2">
        <v>-0.852331545330415</v>
      </c>
    </row>
    <row r="124" spans="1:3" x14ac:dyDescent="0.3">
      <c r="A124" s="2">
        <v>97</v>
      </c>
      <c r="B124" s="2">
        <v>6.5453345571287294</v>
      </c>
      <c r="C124" s="2">
        <v>-0.69576255712872914</v>
      </c>
    </row>
    <row r="125" spans="1:3" x14ac:dyDescent="0.3">
      <c r="A125" s="2">
        <v>98</v>
      </c>
      <c r="B125" s="2">
        <v>6.1150496487005661</v>
      </c>
      <c r="C125" s="2">
        <v>-0.52393764870056625</v>
      </c>
    </row>
    <row r="126" spans="1:3" x14ac:dyDescent="0.3">
      <c r="A126" s="2">
        <v>99</v>
      </c>
      <c r="B126" s="2">
        <v>5.5770711036157969</v>
      </c>
      <c r="C126" s="2">
        <v>2.8362896384202863E-2</v>
      </c>
    </row>
    <row r="127" spans="1:3" x14ac:dyDescent="0.3">
      <c r="A127" s="2">
        <v>100</v>
      </c>
      <c r="B127" s="2">
        <v>5.2055837569379655</v>
      </c>
      <c r="C127" s="2">
        <v>0.39266224306203412</v>
      </c>
    </row>
    <row r="128" spans="1:3" x14ac:dyDescent="0.3">
      <c r="A128" s="2">
        <v>101</v>
      </c>
      <c r="B128" s="2">
        <v>5.3619948965502999</v>
      </c>
      <c r="C128" s="2">
        <v>6.9696103449699898E-2</v>
      </c>
    </row>
    <row r="129" spans="1:3" x14ac:dyDescent="0.3">
      <c r="A129" s="2">
        <v>102</v>
      </c>
      <c r="B129" s="2">
        <v>5.3726394760431297</v>
      </c>
      <c r="C129" s="2">
        <v>0.19156152395686998</v>
      </c>
    </row>
    <row r="130" spans="1:3" x14ac:dyDescent="0.3">
      <c r="A130" s="2">
        <v>103</v>
      </c>
      <c r="B130" s="2">
        <v>5.755965109601032</v>
      </c>
      <c r="C130" s="2">
        <v>-4.9830109601032291E-2</v>
      </c>
    </row>
    <row r="131" spans="1:3" x14ac:dyDescent="0.3">
      <c r="A131" s="2">
        <v>104</v>
      </c>
      <c r="B131" s="2">
        <v>5.8407790197086591</v>
      </c>
      <c r="C131" s="2">
        <v>-0.10587401970865873</v>
      </c>
    </row>
    <row r="132" spans="1:3" x14ac:dyDescent="0.3">
      <c r="A132" s="2">
        <v>105</v>
      </c>
      <c r="B132" s="2">
        <v>5.7025348650822778</v>
      </c>
      <c r="C132" s="2">
        <v>3.2134917722359546E-5</v>
      </c>
    </row>
    <row r="133" spans="1:3" x14ac:dyDescent="0.3">
      <c r="A133" s="2">
        <v>106</v>
      </c>
      <c r="B133" s="2">
        <v>5.6590380732643837</v>
      </c>
      <c r="C133" s="2">
        <v>-0.16299107326438378</v>
      </c>
    </row>
    <row r="134" spans="1:3" x14ac:dyDescent="0.3">
      <c r="A134" s="2">
        <v>107</v>
      </c>
      <c r="B134" s="2">
        <v>5.675178085559768</v>
      </c>
      <c r="C134" s="2">
        <v>-0.20360708555976803</v>
      </c>
    </row>
    <row r="135" spans="1:3" x14ac:dyDescent="0.3">
      <c r="A135" s="2">
        <v>108</v>
      </c>
      <c r="B135" s="2">
        <v>5.7776477140302269</v>
      </c>
      <c r="C135" s="2">
        <v>-0.345250714030227</v>
      </c>
    </row>
    <row r="136" spans="1:3" x14ac:dyDescent="0.3">
      <c r="A136" s="2">
        <v>109</v>
      </c>
      <c r="B136" s="2">
        <v>5.7837248638946583</v>
      </c>
      <c r="C136" s="2">
        <v>-0.48225986389465803</v>
      </c>
    </row>
    <row r="137" spans="1:3" x14ac:dyDescent="0.3">
      <c r="A137" s="2">
        <v>110</v>
      </c>
      <c r="B137" s="2">
        <v>5.6117668179051883</v>
      </c>
      <c r="C137" s="2">
        <v>-0.2482158179051881</v>
      </c>
    </row>
    <row r="138" spans="1:3" x14ac:dyDescent="0.3">
      <c r="A138" s="2">
        <v>111</v>
      </c>
      <c r="B138" s="2">
        <v>5.5875669318576229</v>
      </c>
      <c r="C138" s="2">
        <v>-0.44873293185762275</v>
      </c>
    </row>
    <row r="139" spans="1:3" x14ac:dyDescent="0.3">
      <c r="A139" s="2">
        <v>112</v>
      </c>
      <c r="B139" s="2">
        <v>5.3577241274006049</v>
      </c>
      <c r="C139" s="2">
        <v>-0.42272812740060495</v>
      </c>
    </row>
    <row r="140" spans="1:3" x14ac:dyDescent="0.3">
      <c r="A140" s="2">
        <v>113</v>
      </c>
      <c r="B140" s="2">
        <v>5.0934192961829297</v>
      </c>
      <c r="C140" s="2">
        <v>-0.22749629618292921</v>
      </c>
    </row>
    <row r="141" spans="1:3" x14ac:dyDescent="0.3">
      <c r="A141" s="2">
        <v>114</v>
      </c>
      <c r="B141" s="2">
        <v>5.0519274232724527</v>
      </c>
      <c r="C141" s="2">
        <v>-0.29670042327245305</v>
      </c>
    </row>
    <row r="142" spans="1:3" x14ac:dyDescent="0.3">
      <c r="A142" s="2">
        <v>115</v>
      </c>
      <c r="B142" s="2">
        <v>4.9461013469863602</v>
      </c>
      <c r="C142" s="2">
        <v>-0.23437734698635992</v>
      </c>
    </row>
    <row r="143" spans="1:3" x14ac:dyDescent="0.3">
      <c r="A143" s="2">
        <v>116</v>
      </c>
      <c r="B143" s="2">
        <v>4.9862443513874055</v>
      </c>
      <c r="C143" s="2">
        <v>-0.21567035138740565</v>
      </c>
    </row>
    <row r="144" spans="1:3" x14ac:dyDescent="0.3">
      <c r="A144" s="2">
        <v>117</v>
      </c>
      <c r="B144" s="2">
        <v>4.9585559173594831</v>
      </c>
      <c r="C144" s="2">
        <v>-0.23335291735948349</v>
      </c>
    </row>
    <row r="145" spans="1:3" x14ac:dyDescent="0.3">
      <c r="A145" s="2">
        <v>118</v>
      </c>
      <c r="B145" s="2">
        <v>5.0658767748406817</v>
      </c>
      <c r="C145" s="2">
        <v>-0.34336177484068209</v>
      </c>
    </row>
    <row r="146" spans="1:3" ht="15" thickBot="1" x14ac:dyDescent="0.35">
      <c r="A146" s="3">
        <v>119</v>
      </c>
      <c r="B146" s="3">
        <v>5.0611258220241986</v>
      </c>
      <c r="C146" s="3">
        <v>-0.32995082202419823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4591-D727-4ECB-9093-4B41E9BD429D}">
  <dimension ref="A1:P124"/>
  <sheetViews>
    <sheetView workbookViewId="0">
      <selection activeCell="P6" sqref="P6:P124"/>
    </sheetView>
  </sheetViews>
  <sheetFormatPr defaultRowHeight="14.4" x14ac:dyDescent="0.3"/>
  <cols>
    <col min="1" max="1" width="7.77734375" bestFit="1" customWidth="1"/>
    <col min="2" max="2" width="7" bestFit="1" customWidth="1"/>
    <col min="3" max="3" width="6.33203125" bestFit="1" customWidth="1"/>
    <col min="4" max="5" width="6" bestFit="1" customWidth="1"/>
    <col min="6" max="6" width="9" bestFit="1" customWidth="1"/>
    <col min="7" max="8" width="12" bestFit="1" customWidth="1"/>
  </cols>
  <sheetData>
    <row r="1" spans="1:16" x14ac:dyDescent="0.3">
      <c r="A1" s="1" t="s">
        <v>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  <c r="L1" t="s">
        <v>12</v>
      </c>
      <c r="M1" t="s">
        <v>16</v>
      </c>
      <c r="N1" t="s">
        <v>4</v>
      </c>
      <c r="O1" t="s">
        <v>17</v>
      </c>
      <c r="P1" t="s">
        <v>60</v>
      </c>
    </row>
    <row r="2" spans="1:16" x14ac:dyDescent="0.3">
      <c r="A2" t="s">
        <v>8</v>
      </c>
      <c r="B2">
        <v>1987.1</v>
      </c>
      <c r="C2">
        <v>477</v>
      </c>
      <c r="D2">
        <v>17.61</v>
      </c>
      <c r="E2">
        <v>20766</v>
      </c>
      <c r="F2">
        <v>7.5327590000000004</v>
      </c>
      <c r="G2">
        <v>111.8</v>
      </c>
      <c r="H2">
        <v>7.1954098360655703</v>
      </c>
      <c r="L2">
        <v>7.5327590000000004</v>
      </c>
      <c r="N2">
        <v>7.1954098360655703</v>
      </c>
    </row>
    <row r="3" spans="1:16" x14ac:dyDescent="0.3">
      <c r="A3" t="s">
        <v>8</v>
      </c>
      <c r="B3">
        <v>1987.2</v>
      </c>
      <c r="C3">
        <v>71</v>
      </c>
      <c r="D3">
        <v>17.29</v>
      </c>
      <c r="E3">
        <v>20837</v>
      </c>
      <c r="F3">
        <v>7.5568220000000004</v>
      </c>
      <c r="G3">
        <v>113.066666666667</v>
      </c>
      <c r="H3">
        <v>8.3426984126984092</v>
      </c>
      <c r="L3">
        <v>7.5568220000000004</v>
      </c>
      <c r="N3">
        <v>8.3426984126984092</v>
      </c>
    </row>
    <row r="4" spans="1:16" x14ac:dyDescent="0.3">
      <c r="A4" t="s">
        <v>8</v>
      </c>
      <c r="B4">
        <v>1987.3</v>
      </c>
      <c r="C4">
        <v>0</v>
      </c>
      <c r="D4">
        <v>17.25</v>
      </c>
      <c r="E4">
        <v>20837</v>
      </c>
      <c r="F4">
        <v>7.5553679999999996</v>
      </c>
      <c r="G4">
        <v>114.26666666666701</v>
      </c>
      <c r="H4">
        <v>8.8696874999999995</v>
      </c>
      <c r="L4">
        <v>7.5553679999999996</v>
      </c>
      <c r="N4">
        <v>8.8696874999999995</v>
      </c>
    </row>
    <row r="5" spans="1:16" x14ac:dyDescent="0.3">
      <c r="A5" t="s">
        <v>8</v>
      </c>
      <c r="B5">
        <v>1987.4</v>
      </c>
      <c r="C5">
        <v>1262</v>
      </c>
      <c r="D5">
        <v>17.21</v>
      </c>
      <c r="E5">
        <v>22099</v>
      </c>
      <c r="F5">
        <v>7.5991540000000004</v>
      </c>
      <c r="G5">
        <v>115.333333333333</v>
      </c>
      <c r="H5">
        <v>9.1290322580645196</v>
      </c>
      <c r="L5">
        <v>7.5991540000000004</v>
      </c>
      <c r="N5">
        <v>9.1290322580645196</v>
      </c>
    </row>
    <row r="6" spans="1:16" x14ac:dyDescent="0.3">
      <c r="A6" t="s">
        <v>8</v>
      </c>
      <c r="B6">
        <v>1988.1</v>
      </c>
      <c r="C6">
        <v>227</v>
      </c>
      <c r="D6">
        <v>16.88</v>
      </c>
      <c r="E6">
        <v>22326</v>
      </c>
      <c r="F6">
        <v>7.6633979999999999</v>
      </c>
      <c r="G6">
        <v>116.23333333333299</v>
      </c>
      <c r="H6">
        <v>8.4109677419354902</v>
      </c>
      <c r="L6">
        <v>7.6633979999999999</v>
      </c>
      <c r="M6">
        <f>F2</f>
        <v>7.5327590000000004</v>
      </c>
      <c r="N6">
        <v>8.4109677419354902</v>
      </c>
      <c r="O6">
        <f>D6/D2</f>
        <v>0.95854628052243041</v>
      </c>
      <c r="P6">
        <f>G6/G2</f>
        <v>1.039654144305304</v>
      </c>
    </row>
    <row r="7" spans="1:16" x14ac:dyDescent="0.3">
      <c r="A7" t="s">
        <v>8</v>
      </c>
      <c r="B7">
        <v>1988.2</v>
      </c>
      <c r="C7">
        <v>500</v>
      </c>
      <c r="D7">
        <v>16.559999999999999</v>
      </c>
      <c r="E7">
        <v>22826</v>
      </c>
      <c r="F7">
        <v>7.7600569999999998</v>
      </c>
      <c r="G7">
        <v>117.566666666667</v>
      </c>
      <c r="H7">
        <v>8.9128571428571401</v>
      </c>
      <c r="L7">
        <v>7.7600569999999998</v>
      </c>
      <c r="M7">
        <f>F3</f>
        <v>7.5568220000000004</v>
      </c>
      <c r="N7">
        <v>8.9128571428571401</v>
      </c>
      <c r="O7">
        <f>D7/D3</f>
        <v>0.95777906304222094</v>
      </c>
      <c r="P7">
        <f>G7/G3</f>
        <v>1.0397995283018866</v>
      </c>
    </row>
    <row r="8" spans="1:16" x14ac:dyDescent="0.3">
      <c r="A8" t="s">
        <v>8</v>
      </c>
      <c r="B8">
        <v>1988.3</v>
      </c>
      <c r="C8">
        <v>0</v>
      </c>
      <c r="D8">
        <v>17.170000000000002</v>
      </c>
      <c r="E8">
        <v>22826</v>
      </c>
      <c r="F8">
        <v>7.8351420000000003</v>
      </c>
      <c r="G8">
        <v>119</v>
      </c>
      <c r="H8">
        <v>9.1035937499999999</v>
      </c>
      <c r="L8">
        <v>7.8351420000000003</v>
      </c>
      <c r="M8">
        <f>F4</f>
        <v>7.5553679999999996</v>
      </c>
      <c r="N8">
        <v>9.1035937499999999</v>
      </c>
      <c r="O8">
        <f>D8/D4</f>
        <v>0.9953623188405798</v>
      </c>
      <c r="P8">
        <f>G8/G4</f>
        <v>1.041423570595096</v>
      </c>
    </row>
    <row r="9" spans="1:16" x14ac:dyDescent="0.3">
      <c r="A9" t="s">
        <v>8</v>
      </c>
      <c r="B9">
        <v>1988.4</v>
      </c>
      <c r="C9">
        <v>155</v>
      </c>
      <c r="D9">
        <v>17.809999999999999</v>
      </c>
      <c r="E9">
        <v>22981</v>
      </c>
      <c r="F9">
        <v>7.822133</v>
      </c>
      <c r="G9">
        <v>120.3</v>
      </c>
      <c r="H9">
        <v>8.9570491803278696</v>
      </c>
      <c r="L9">
        <v>7.822133</v>
      </c>
      <c r="M9">
        <f>F5</f>
        <v>7.5991540000000004</v>
      </c>
      <c r="N9">
        <v>8.9570491803278696</v>
      </c>
      <c r="O9">
        <f>D9/D5</f>
        <v>1.0348634514816966</v>
      </c>
      <c r="P9">
        <f>G9/G5</f>
        <v>1.0430635838150319</v>
      </c>
    </row>
    <row r="10" spans="1:16" x14ac:dyDescent="0.3">
      <c r="A10" t="s">
        <v>8</v>
      </c>
      <c r="B10">
        <v>1989.1</v>
      </c>
      <c r="C10">
        <v>408</v>
      </c>
      <c r="D10">
        <v>18.23</v>
      </c>
      <c r="E10">
        <v>23389</v>
      </c>
      <c r="F10">
        <v>7.7618309999999999</v>
      </c>
      <c r="G10">
        <v>121.666666666667</v>
      </c>
      <c r="H10">
        <v>9.2116393442623004</v>
      </c>
      <c r="L10">
        <v>7.7618309999999999</v>
      </c>
      <c r="M10">
        <f>F6</f>
        <v>7.6633979999999999</v>
      </c>
      <c r="N10">
        <v>9.2116393442623004</v>
      </c>
      <c r="O10">
        <f>D10/D6</f>
        <v>1.0799763033175356</v>
      </c>
      <c r="P10">
        <f>G10/G6</f>
        <v>1.0467450530542073</v>
      </c>
    </row>
    <row r="11" spans="1:16" x14ac:dyDescent="0.3">
      <c r="A11" t="s">
        <v>8</v>
      </c>
      <c r="B11">
        <v>1989.2</v>
      </c>
      <c r="C11">
        <v>21</v>
      </c>
      <c r="D11">
        <v>18.66</v>
      </c>
      <c r="E11">
        <v>23410</v>
      </c>
      <c r="F11">
        <v>7.7472110000000001</v>
      </c>
      <c r="G11">
        <v>123.633333333333</v>
      </c>
      <c r="H11">
        <v>8.7579687499999999</v>
      </c>
      <c r="L11">
        <v>7.7472110000000001</v>
      </c>
      <c r="M11">
        <f>F7</f>
        <v>7.7600569999999998</v>
      </c>
      <c r="N11">
        <v>8.7579687499999999</v>
      </c>
      <c r="O11">
        <f>D11/D7</f>
        <v>1.1268115942028987</v>
      </c>
      <c r="P11">
        <f>G11/G7</f>
        <v>1.0516019279841167</v>
      </c>
    </row>
    <row r="12" spans="1:16" x14ac:dyDescent="0.3">
      <c r="A12" t="s">
        <v>8</v>
      </c>
      <c r="B12">
        <v>1989.3</v>
      </c>
      <c r="C12">
        <v>117</v>
      </c>
      <c r="D12">
        <v>18.63</v>
      </c>
      <c r="E12">
        <v>23527</v>
      </c>
      <c r="F12">
        <v>7.7629289999999997</v>
      </c>
      <c r="G12">
        <v>124.6</v>
      </c>
      <c r="H12">
        <v>8.1074603174603208</v>
      </c>
      <c r="L12">
        <v>7.7629289999999997</v>
      </c>
      <c r="M12">
        <f>F8</f>
        <v>7.8351420000000003</v>
      </c>
      <c r="N12">
        <v>8.1074603174603208</v>
      </c>
      <c r="O12">
        <f>D12/D8</f>
        <v>1.085032032615026</v>
      </c>
      <c r="P12">
        <f>G12/G8</f>
        <v>1.0470588235294118</v>
      </c>
    </row>
    <row r="13" spans="1:16" x14ac:dyDescent="0.3">
      <c r="A13" t="s">
        <v>8</v>
      </c>
      <c r="B13">
        <v>1989.4</v>
      </c>
      <c r="C13">
        <v>104</v>
      </c>
      <c r="D13">
        <v>18.61</v>
      </c>
      <c r="E13">
        <v>23631</v>
      </c>
      <c r="F13">
        <v>7.8069050000000004</v>
      </c>
      <c r="G13">
        <v>125.866666666667</v>
      </c>
      <c r="H13">
        <v>7.9070967741935503</v>
      </c>
      <c r="L13">
        <v>7.8069050000000004</v>
      </c>
      <c r="M13">
        <f>F9</f>
        <v>7.822133</v>
      </c>
      <c r="N13">
        <v>7.9070967741935503</v>
      </c>
      <c r="O13">
        <f>D13/D9</f>
        <v>1.0449185850645706</v>
      </c>
      <c r="P13">
        <f>G13/G9</f>
        <v>1.0462732058742061</v>
      </c>
    </row>
    <row r="14" spans="1:16" x14ac:dyDescent="0.3">
      <c r="A14" t="s">
        <v>8</v>
      </c>
      <c r="B14">
        <v>1990.1</v>
      </c>
      <c r="C14">
        <v>45</v>
      </c>
      <c r="D14">
        <v>19.03</v>
      </c>
      <c r="E14">
        <v>23676</v>
      </c>
      <c r="F14">
        <v>7.8392340000000003</v>
      </c>
      <c r="G14">
        <v>128.03333333333299</v>
      </c>
      <c r="H14">
        <v>8.4238709677419301</v>
      </c>
      <c r="L14">
        <v>7.8392340000000003</v>
      </c>
      <c r="M14">
        <f>F10</f>
        <v>7.7618309999999999</v>
      </c>
      <c r="N14">
        <v>8.4238709677419301</v>
      </c>
      <c r="O14">
        <f>D14/D10</f>
        <v>1.0438837081733408</v>
      </c>
      <c r="P14">
        <f>G14/G10</f>
        <v>1.0523287671232819</v>
      </c>
    </row>
    <row r="15" spans="1:16" x14ac:dyDescent="0.3">
      <c r="A15" t="s">
        <v>8</v>
      </c>
      <c r="B15">
        <v>1990.2</v>
      </c>
      <c r="C15">
        <v>54</v>
      </c>
      <c r="D15">
        <v>19.46</v>
      </c>
      <c r="E15">
        <v>23730</v>
      </c>
      <c r="F15">
        <v>8.0733180000000004</v>
      </c>
      <c r="G15">
        <v>129.30000000000001</v>
      </c>
      <c r="H15">
        <v>8.6741269841269801</v>
      </c>
      <c r="L15">
        <v>8.0733180000000004</v>
      </c>
      <c r="M15">
        <f>F11</f>
        <v>7.7472110000000001</v>
      </c>
      <c r="N15">
        <v>8.6741269841269801</v>
      </c>
      <c r="O15">
        <f>D15/D11</f>
        <v>1.0428724544480172</v>
      </c>
      <c r="P15">
        <f>G15/G11</f>
        <v>1.0458344567268836</v>
      </c>
    </row>
    <row r="16" spans="1:16" x14ac:dyDescent="0.3">
      <c r="A16" t="s">
        <v>8</v>
      </c>
      <c r="B16">
        <v>1990.3</v>
      </c>
      <c r="C16">
        <v>27</v>
      </c>
      <c r="D16">
        <v>19.71</v>
      </c>
      <c r="E16">
        <v>23757</v>
      </c>
      <c r="F16">
        <v>8.3455759999999994</v>
      </c>
      <c r="G16">
        <v>131.53333333333299</v>
      </c>
      <c r="H16">
        <v>8.7012698412698395</v>
      </c>
      <c r="L16">
        <v>8.3455759999999994</v>
      </c>
      <c r="M16">
        <f>F12</f>
        <v>7.7629289999999997</v>
      </c>
      <c r="N16">
        <v>8.7012698412698395</v>
      </c>
      <c r="O16">
        <f>D16/D12</f>
        <v>1.0579710144927537</v>
      </c>
      <c r="P16">
        <f>G16/G12</f>
        <v>1.0556447298020304</v>
      </c>
    </row>
    <row r="17" spans="1:16" x14ac:dyDescent="0.3">
      <c r="A17" t="s">
        <v>8</v>
      </c>
      <c r="B17">
        <v>1990.4</v>
      </c>
      <c r="C17">
        <v>156</v>
      </c>
      <c r="D17">
        <v>19.96</v>
      </c>
      <c r="E17">
        <v>23913</v>
      </c>
      <c r="F17">
        <v>8.645702</v>
      </c>
      <c r="G17">
        <v>133.76666666666699</v>
      </c>
      <c r="H17">
        <v>8.4059677419354895</v>
      </c>
      <c r="L17">
        <v>8.645702</v>
      </c>
      <c r="M17">
        <f>F13</f>
        <v>7.8069050000000004</v>
      </c>
      <c r="N17">
        <v>8.4059677419354895</v>
      </c>
      <c r="O17">
        <f>D17/D13</f>
        <v>1.0725416442772704</v>
      </c>
      <c r="P17">
        <f>G17/G13</f>
        <v>1.0627648305084743</v>
      </c>
    </row>
    <row r="18" spans="1:16" x14ac:dyDescent="0.3">
      <c r="A18" t="s">
        <v>8</v>
      </c>
      <c r="B18">
        <v>1991.1</v>
      </c>
      <c r="C18">
        <v>324</v>
      </c>
      <c r="D18">
        <v>19.739999999999998</v>
      </c>
      <c r="E18">
        <v>24237</v>
      </c>
      <c r="F18">
        <v>9.1897859999999998</v>
      </c>
      <c r="G18">
        <v>134.76666666666699</v>
      </c>
      <c r="H18">
        <v>8.0231666666666595</v>
      </c>
      <c r="L18">
        <v>9.1897859999999998</v>
      </c>
      <c r="M18">
        <f>F14</f>
        <v>7.8392340000000003</v>
      </c>
      <c r="N18">
        <v>8.0231666666666595</v>
      </c>
      <c r="O18">
        <f>D18/D14</f>
        <v>1.0373095112979505</v>
      </c>
      <c r="P18">
        <f>G18/G14</f>
        <v>1.0525904712314555</v>
      </c>
    </row>
    <row r="19" spans="1:16" x14ac:dyDescent="0.3">
      <c r="A19" t="s">
        <v>8</v>
      </c>
      <c r="B19">
        <v>1991.2</v>
      </c>
      <c r="C19">
        <v>0</v>
      </c>
      <c r="D19">
        <v>19.510000000000002</v>
      </c>
      <c r="E19">
        <v>24237</v>
      </c>
      <c r="F19">
        <v>9.6797699999999995</v>
      </c>
      <c r="G19">
        <v>135.566666666667</v>
      </c>
      <c r="H19">
        <v>8.1254687499999996</v>
      </c>
      <c r="L19">
        <v>9.6797699999999995</v>
      </c>
      <c r="M19">
        <f>F15</f>
        <v>8.0733180000000004</v>
      </c>
      <c r="N19">
        <v>8.1254687499999996</v>
      </c>
      <c r="O19">
        <f>D19/D15</f>
        <v>1.0025693730729703</v>
      </c>
      <c r="P19">
        <f>G19/G15</f>
        <v>1.0484660995101855</v>
      </c>
    </row>
    <row r="20" spans="1:16" x14ac:dyDescent="0.3">
      <c r="A20" t="s">
        <v>8</v>
      </c>
      <c r="B20">
        <v>1991.3</v>
      </c>
      <c r="C20">
        <v>0</v>
      </c>
      <c r="D20">
        <v>19.02</v>
      </c>
      <c r="E20">
        <v>24237</v>
      </c>
      <c r="F20">
        <v>10.1889</v>
      </c>
      <c r="G20">
        <v>136.6</v>
      </c>
      <c r="H20">
        <v>7.95</v>
      </c>
      <c r="L20">
        <v>10.1889</v>
      </c>
      <c r="M20">
        <f>F16</f>
        <v>8.3455759999999994</v>
      </c>
      <c r="N20">
        <v>7.95</v>
      </c>
      <c r="O20">
        <f>D20/D16</f>
        <v>0.96499238964992384</v>
      </c>
      <c r="P20">
        <f>G20/G16</f>
        <v>1.0385200202736975</v>
      </c>
    </row>
    <row r="21" spans="1:16" x14ac:dyDescent="0.3">
      <c r="A21" t="s">
        <v>8</v>
      </c>
      <c r="B21">
        <v>1991.4</v>
      </c>
      <c r="C21">
        <v>51</v>
      </c>
      <c r="D21">
        <v>18.54</v>
      </c>
      <c r="E21">
        <v>24288</v>
      </c>
      <c r="F21">
        <v>10.323549999999999</v>
      </c>
      <c r="G21">
        <v>137.73333333333301</v>
      </c>
      <c r="H21">
        <v>7.3449999999999998</v>
      </c>
      <c r="L21">
        <v>10.323549999999999</v>
      </c>
      <c r="M21">
        <f>F17</f>
        <v>8.645702</v>
      </c>
      <c r="N21">
        <v>7.3449999999999998</v>
      </c>
      <c r="O21">
        <f>D21/D17</f>
        <v>0.9288577154308616</v>
      </c>
      <c r="P21">
        <f>G21/G17</f>
        <v>1.0296536257164166</v>
      </c>
    </row>
    <row r="22" spans="1:16" x14ac:dyDescent="0.3">
      <c r="A22" t="s">
        <v>8</v>
      </c>
      <c r="B22">
        <v>1992.1</v>
      </c>
      <c r="C22">
        <v>0</v>
      </c>
      <c r="D22">
        <v>18.78</v>
      </c>
      <c r="E22">
        <v>24288</v>
      </c>
      <c r="F22">
        <v>10.576610000000001</v>
      </c>
      <c r="G22">
        <v>138.666666666667</v>
      </c>
      <c r="H22">
        <v>7.3069354838709701</v>
      </c>
      <c r="L22">
        <v>10.576610000000001</v>
      </c>
      <c r="M22">
        <f>F18</f>
        <v>9.1897859999999998</v>
      </c>
      <c r="N22">
        <v>7.3069354838709701</v>
      </c>
      <c r="O22">
        <f>D22/D18</f>
        <v>0.9513677811550153</v>
      </c>
      <c r="P22">
        <f>G22/G18</f>
        <v>1.0289389067524115</v>
      </c>
    </row>
    <row r="23" spans="1:16" x14ac:dyDescent="0.3">
      <c r="A23" t="s">
        <v>8</v>
      </c>
      <c r="B23">
        <v>1992.2</v>
      </c>
      <c r="C23">
        <v>0</v>
      </c>
      <c r="D23">
        <v>19.03</v>
      </c>
      <c r="E23">
        <v>24288</v>
      </c>
      <c r="F23">
        <v>10.279960000000001</v>
      </c>
      <c r="G23">
        <v>139.73333333333301</v>
      </c>
      <c r="H23">
        <v>7.3760317460317504</v>
      </c>
      <c r="L23">
        <v>10.279960000000001</v>
      </c>
      <c r="M23">
        <f>F19</f>
        <v>9.6797699999999995</v>
      </c>
      <c r="N23">
        <v>7.3760317460317504</v>
      </c>
      <c r="O23">
        <f>D23/D19</f>
        <v>0.97539723218862118</v>
      </c>
      <c r="P23">
        <f>G23/G19</f>
        <v>1.0307351856405162</v>
      </c>
    </row>
    <row r="24" spans="1:16" x14ac:dyDescent="0.3">
      <c r="A24" t="s">
        <v>8</v>
      </c>
      <c r="B24">
        <v>1992.3</v>
      </c>
      <c r="C24">
        <v>0</v>
      </c>
      <c r="D24">
        <v>18.760000000000002</v>
      </c>
      <c r="E24">
        <v>24288</v>
      </c>
      <c r="F24">
        <v>10.18262</v>
      </c>
      <c r="G24">
        <v>140.80000000000001</v>
      </c>
      <c r="H24">
        <v>6.6187500000000004</v>
      </c>
      <c r="L24">
        <v>10.18262</v>
      </c>
      <c r="M24">
        <f>F20</f>
        <v>10.1889</v>
      </c>
      <c r="N24">
        <v>6.6187500000000004</v>
      </c>
      <c r="O24">
        <f>D24/D20</f>
        <v>0.98633017875920093</v>
      </c>
      <c r="P24">
        <f>G24/G20</f>
        <v>1.0307467057101025</v>
      </c>
    </row>
    <row r="25" spans="1:16" x14ac:dyDescent="0.3">
      <c r="A25" t="s">
        <v>8</v>
      </c>
      <c r="B25">
        <v>1992.4</v>
      </c>
      <c r="C25">
        <v>117</v>
      </c>
      <c r="D25">
        <v>18.510000000000002</v>
      </c>
      <c r="E25">
        <v>24405</v>
      </c>
      <c r="F25">
        <v>9.9707419999999995</v>
      </c>
      <c r="G25">
        <v>142.03333333333299</v>
      </c>
      <c r="H25">
        <v>6.7403225806451603</v>
      </c>
      <c r="L25">
        <v>9.9707419999999995</v>
      </c>
      <c r="M25">
        <f>F21</f>
        <v>10.323549999999999</v>
      </c>
      <c r="N25">
        <v>6.7403225806451603</v>
      </c>
      <c r="O25">
        <f>D25/D21</f>
        <v>0.9983818770226538</v>
      </c>
      <c r="P25">
        <f>G25/G21</f>
        <v>1.0312197483059051</v>
      </c>
    </row>
    <row r="26" spans="1:16" x14ac:dyDescent="0.3">
      <c r="A26" t="s">
        <v>8</v>
      </c>
      <c r="B26">
        <v>1993.1</v>
      </c>
      <c r="C26">
        <v>0</v>
      </c>
      <c r="D26">
        <v>18.670000000000002</v>
      </c>
      <c r="E26">
        <v>24405</v>
      </c>
      <c r="F26">
        <v>9.7084960000000002</v>
      </c>
      <c r="G26">
        <v>143.066666666667</v>
      </c>
      <c r="H26">
        <v>6.25819672131147</v>
      </c>
      <c r="L26">
        <v>9.7084960000000002</v>
      </c>
      <c r="M26">
        <f>F22</f>
        <v>10.576610000000001</v>
      </c>
      <c r="N26">
        <v>6.25819672131147</v>
      </c>
      <c r="O26">
        <f>D26/D22</f>
        <v>0.99414270500532487</v>
      </c>
      <c r="P26">
        <f>G26/G22</f>
        <v>1.0317307692307691</v>
      </c>
    </row>
    <row r="27" spans="1:16" x14ac:dyDescent="0.3">
      <c r="A27" t="s">
        <v>8</v>
      </c>
      <c r="B27">
        <v>1993.2</v>
      </c>
      <c r="C27">
        <v>0</v>
      </c>
      <c r="D27">
        <v>18.829999999999998</v>
      </c>
      <c r="E27">
        <v>24405</v>
      </c>
      <c r="F27">
        <v>9.1551639999999992</v>
      </c>
      <c r="G27">
        <v>144.1</v>
      </c>
      <c r="H27">
        <v>5.9880952380952399</v>
      </c>
      <c r="L27">
        <v>9.1551639999999992</v>
      </c>
      <c r="M27">
        <f>F23</f>
        <v>10.279960000000001</v>
      </c>
      <c r="N27">
        <v>5.9880952380952399</v>
      </c>
      <c r="O27">
        <f>D27/D23</f>
        <v>0.98949027850761939</v>
      </c>
      <c r="P27">
        <f>G27/G23</f>
        <v>1.0312500000000024</v>
      </c>
    </row>
    <row r="28" spans="1:16" x14ac:dyDescent="0.3">
      <c r="A28" t="s">
        <v>8</v>
      </c>
      <c r="B28">
        <v>1993.3</v>
      </c>
      <c r="C28">
        <v>28</v>
      </c>
      <c r="D28">
        <v>18.72</v>
      </c>
      <c r="E28">
        <v>24433</v>
      </c>
      <c r="F28">
        <v>8.1541060000000005</v>
      </c>
      <c r="G28">
        <v>144.76666666666699</v>
      </c>
      <c r="H28">
        <v>5.6153124999999999</v>
      </c>
      <c r="L28">
        <v>8.1541060000000005</v>
      </c>
      <c r="M28">
        <f>F24</f>
        <v>10.18262</v>
      </c>
      <c r="N28">
        <v>5.6153124999999999</v>
      </c>
      <c r="O28">
        <f>D28/D24</f>
        <v>0.99786780383795293</v>
      </c>
      <c r="P28">
        <f>G28/G24</f>
        <v>1.0281723484848506</v>
      </c>
    </row>
    <row r="29" spans="1:16" x14ac:dyDescent="0.3">
      <c r="A29" t="s">
        <v>8</v>
      </c>
      <c r="B29">
        <v>1993.4</v>
      </c>
      <c r="C29">
        <v>0</v>
      </c>
      <c r="D29">
        <v>18.600000000000001</v>
      </c>
      <c r="E29">
        <v>24433</v>
      </c>
      <c r="F29">
        <v>7.8327220000000004</v>
      </c>
      <c r="G29">
        <v>145.96666666666701</v>
      </c>
      <c r="H29">
        <v>5.6159677419354797</v>
      </c>
      <c r="L29">
        <v>7.8327220000000004</v>
      </c>
      <c r="M29">
        <f>F25</f>
        <v>9.9707419999999995</v>
      </c>
      <c r="N29">
        <v>5.6159677419354797</v>
      </c>
      <c r="O29">
        <f>D29/D25</f>
        <v>1.0048622366288493</v>
      </c>
      <c r="P29">
        <f>G29/G25</f>
        <v>1.0276930298052149</v>
      </c>
    </row>
    <row r="30" spans="1:16" x14ac:dyDescent="0.3">
      <c r="A30" t="s">
        <v>8</v>
      </c>
      <c r="B30">
        <v>1994.1</v>
      </c>
      <c r="C30">
        <v>0</v>
      </c>
      <c r="D30">
        <v>19.12</v>
      </c>
      <c r="E30">
        <v>24433</v>
      </c>
      <c r="F30">
        <v>6.9053760000000004</v>
      </c>
      <c r="G30">
        <v>146.69999999999999</v>
      </c>
      <c r="H30">
        <v>6.09032258064516</v>
      </c>
      <c r="L30">
        <v>6.9053760000000004</v>
      </c>
      <c r="M30">
        <f>F26</f>
        <v>9.7084960000000002</v>
      </c>
      <c r="N30">
        <v>6.09032258064516</v>
      </c>
      <c r="O30">
        <f>D30/D26</f>
        <v>1.0241028387787894</v>
      </c>
      <c r="P30">
        <f>G30/G26</f>
        <v>1.0253960857409108</v>
      </c>
    </row>
    <row r="31" spans="1:16" x14ac:dyDescent="0.3">
      <c r="A31" t="s">
        <v>8</v>
      </c>
      <c r="B31">
        <v>1994.2</v>
      </c>
      <c r="C31">
        <v>0</v>
      </c>
      <c r="D31">
        <v>19.649999999999999</v>
      </c>
      <c r="E31">
        <v>24433</v>
      </c>
      <c r="F31">
        <v>7.0053429999999999</v>
      </c>
      <c r="G31">
        <v>147.53333333333299</v>
      </c>
      <c r="H31">
        <v>7.0895161290322601</v>
      </c>
      <c r="L31">
        <v>7.0053429999999999</v>
      </c>
      <c r="M31">
        <f>F27</f>
        <v>9.1551639999999992</v>
      </c>
      <c r="N31">
        <v>7.0895161290322601</v>
      </c>
      <c r="O31">
        <f>D31/D27</f>
        <v>1.0435475305363782</v>
      </c>
      <c r="P31">
        <f>G31/G27</f>
        <v>1.0238260467268077</v>
      </c>
    </row>
    <row r="32" spans="1:16" x14ac:dyDescent="0.3">
      <c r="A32" t="s">
        <v>8</v>
      </c>
      <c r="B32">
        <v>1994.3</v>
      </c>
      <c r="C32">
        <v>0</v>
      </c>
      <c r="D32">
        <v>20.34</v>
      </c>
      <c r="E32">
        <v>24433</v>
      </c>
      <c r="F32">
        <v>7.5893969999999999</v>
      </c>
      <c r="G32">
        <v>148.9</v>
      </c>
      <c r="H32">
        <v>7.3279687500000001</v>
      </c>
      <c r="L32">
        <v>7.5893969999999999</v>
      </c>
      <c r="M32">
        <f>F28</f>
        <v>8.1541060000000005</v>
      </c>
      <c r="N32">
        <v>7.3279687500000001</v>
      </c>
      <c r="O32">
        <f>D32/D28</f>
        <v>1.0865384615384617</v>
      </c>
      <c r="P32">
        <f>G32/G28</f>
        <v>1.0285516923785378</v>
      </c>
    </row>
    <row r="33" spans="1:16" x14ac:dyDescent="0.3">
      <c r="A33" t="s">
        <v>8</v>
      </c>
      <c r="B33">
        <v>1994.4</v>
      </c>
      <c r="C33">
        <v>0</v>
      </c>
      <c r="D33">
        <v>21.06</v>
      </c>
      <c r="E33">
        <v>24433</v>
      </c>
      <c r="F33">
        <v>7.7491260000000004</v>
      </c>
      <c r="G33">
        <v>149.76666666666699</v>
      </c>
      <c r="H33">
        <v>7.8372131147540998</v>
      </c>
      <c r="L33">
        <v>7.7491260000000004</v>
      </c>
      <c r="M33">
        <f>F29</f>
        <v>7.8327220000000004</v>
      </c>
      <c r="N33">
        <v>7.8372131147540998</v>
      </c>
      <c r="O33">
        <f>D33/D29</f>
        <v>1.1322580645161289</v>
      </c>
      <c r="P33">
        <f>G33/G29</f>
        <v>1.0260333409454212</v>
      </c>
    </row>
    <row r="34" spans="1:16" x14ac:dyDescent="0.3">
      <c r="A34" t="s">
        <v>8</v>
      </c>
      <c r="B34">
        <v>1995.1</v>
      </c>
      <c r="C34">
        <v>0</v>
      </c>
      <c r="D34">
        <v>20.190000000000001</v>
      </c>
      <c r="E34">
        <v>24433</v>
      </c>
      <c r="F34">
        <v>8.3390880000000003</v>
      </c>
      <c r="G34">
        <v>150.86666666666699</v>
      </c>
      <c r="H34">
        <v>7.47129032258065</v>
      </c>
      <c r="L34">
        <v>8.3390880000000003</v>
      </c>
      <c r="M34">
        <f>F30</f>
        <v>6.9053760000000004</v>
      </c>
      <c r="N34">
        <v>7.47129032258065</v>
      </c>
      <c r="O34">
        <f>D34/D30</f>
        <v>1.0559623430962344</v>
      </c>
      <c r="P34">
        <f>G34/G30</f>
        <v>1.0284026357646012</v>
      </c>
    </row>
    <row r="35" spans="1:16" x14ac:dyDescent="0.3">
      <c r="A35" t="s">
        <v>8</v>
      </c>
      <c r="B35">
        <v>1995.2</v>
      </c>
      <c r="C35">
        <v>220</v>
      </c>
      <c r="D35">
        <v>19.350000000000001</v>
      </c>
      <c r="E35">
        <v>24653</v>
      </c>
      <c r="F35">
        <v>8.3532060000000001</v>
      </c>
      <c r="G35">
        <v>152.1</v>
      </c>
      <c r="H35">
        <v>6.6001587301587303</v>
      </c>
      <c r="L35">
        <v>8.3532060000000001</v>
      </c>
      <c r="M35">
        <f>F31</f>
        <v>7.0053429999999999</v>
      </c>
      <c r="N35">
        <v>6.6001587301587303</v>
      </c>
      <c r="O35">
        <f>D35/D31</f>
        <v>0.98473282442748111</v>
      </c>
      <c r="P35">
        <f>G35/G31</f>
        <v>1.0309534568459129</v>
      </c>
    </row>
    <row r="36" spans="1:16" x14ac:dyDescent="0.3">
      <c r="A36" t="s">
        <v>8</v>
      </c>
      <c r="B36">
        <v>1995.3</v>
      </c>
      <c r="C36">
        <v>33</v>
      </c>
      <c r="D36">
        <v>20.25</v>
      </c>
      <c r="E36">
        <v>24686</v>
      </c>
      <c r="F36">
        <v>8.4471349999999994</v>
      </c>
      <c r="G36">
        <v>152.86666666666699</v>
      </c>
      <c r="H36">
        <v>6.3292063492063502</v>
      </c>
      <c r="L36">
        <v>8.4471349999999994</v>
      </c>
      <c r="M36">
        <f>F32</f>
        <v>7.5893969999999999</v>
      </c>
      <c r="N36">
        <v>6.3292063492063502</v>
      </c>
      <c r="O36">
        <f>D36/D32</f>
        <v>0.99557522123893805</v>
      </c>
      <c r="P36">
        <f>G36/G32</f>
        <v>1.0266398029997783</v>
      </c>
    </row>
    <row r="37" spans="1:16" x14ac:dyDescent="0.3">
      <c r="A37" t="s">
        <v>8</v>
      </c>
      <c r="B37">
        <v>1995.4</v>
      </c>
      <c r="C37">
        <v>0</v>
      </c>
      <c r="D37">
        <v>21.17</v>
      </c>
      <c r="E37">
        <v>24686</v>
      </c>
      <c r="F37">
        <v>8.7571940000000001</v>
      </c>
      <c r="G37">
        <v>153.69999999999999</v>
      </c>
      <c r="H37">
        <v>5.8985483870967697</v>
      </c>
      <c r="L37">
        <v>8.7571940000000001</v>
      </c>
      <c r="M37">
        <f>F33</f>
        <v>7.7491260000000004</v>
      </c>
      <c r="N37">
        <v>5.8985483870967697</v>
      </c>
      <c r="O37">
        <f>D37/D33</f>
        <v>1.0052231718898388</v>
      </c>
      <c r="P37">
        <f>G37/G33</f>
        <v>1.0262630758958358</v>
      </c>
    </row>
    <row r="38" spans="1:16" x14ac:dyDescent="0.3">
      <c r="A38" t="s">
        <v>8</v>
      </c>
      <c r="B38">
        <v>1996.1</v>
      </c>
      <c r="C38">
        <v>0</v>
      </c>
      <c r="D38">
        <v>21.95</v>
      </c>
      <c r="E38">
        <v>24686</v>
      </c>
      <c r="F38">
        <v>9.1641840000000006</v>
      </c>
      <c r="G38">
        <v>155.066666666667</v>
      </c>
      <c r="H38">
        <v>5.9104838709677399</v>
      </c>
      <c r="L38">
        <v>9.1641840000000006</v>
      </c>
      <c r="M38">
        <f>F34</f>
        <v>8.3390880000000003</v>
      </c>
      <c r="N38">
        <v>5.9104838709677399</v>
      </c>
      <c r="O38">
        <f>D38/D34</f>
        <v>1.0871718672610202</v>
      </c>
      <c r="P38">
        <f>G38/G34</f>
        <v>1.0278391515687142</v>
      </c>
    </row>
    <row r="39" spans="1:16" x14ac:dyDescent="0.3">
      <c r="A39" t="s">
        <v>8</v>
      </c>
      <c r="B39">
        <v>1996.2</v>
      </c>
      <c r="C39">
        <v>0</v>
      </c>
      <c r="D39">
        <v>22.76</v>
      </c>
      <c r="E39">
        <v>24686</v>
      </c>
      <c r="F39">
        <v>9.7577040000000004</v>
      </c>
      <c r="G39">
        <v>156.4</v>
      </c>
      <c r="H39">
        <v>6.7140624999999998</v>
      </c>
      <c r="L39">
        <v>9.7577040000000004</v>
      </c>
      <c r="M39">
        <f>F35</f>
        <v>8.3532060000000001</v>
      </c>
      <c r="N39">
        <v>6.7140624999999998</v>
      </c>
      <c r="O39">
        <f>D39/D35</f>
        <v>1.1762273901808786</v>
      </c>
      <c r="P39">
        <f>G39/G35</f>
        <v>1.0282708744247206</v>
      </c>
    </row>
    <row r="40" spans="1:16" x14ac:dyDescent="0.3">
      <c r="A40" t="s">
        <v>8</v>
      </c>
      <c r="B40">
        <v>1996.3</v>
      </c>
      <c r="C40">
        <v>0</v>
      </c>
      <c r="D40">
        <v>23.55</v>
      </c>
      <c r="E40">
        <v>24686</v>
      </c>
      <c r="F40">
        <v>9.8415429999999997</v>
      </c>
      <c r="G40">
        <v>157.30000000000001</v>
      </c>
      <c r="H40">
        <v>6.7759375000000004</v>
      </c>
      <c r="L40">
        <v>9.8415429999999997</v>
      </c>
      <c r="M40">
        <f>F36</f>
        <v>8.4471349999999994</v>
      </c>
      <c r="N40">
        <v>6.7759375000000004</v>
      </c>
      <c r="O40">
        <f>D40/D36</f>
        <v>1.162962962962963</v>
      </c>
      <c r="P40">
        <f>G40/G36</f>
        <v>1.0290013083296969</v>
      </c>
    </row>
    <row r="41" spans="1:16" x14ac:dyDescent="0.3">
      <c r="A41" t="s">
        <v>8</v>
      </c>
      <c r="B41">
        <v>1996.4</v>
      </c>
      <c r="C41">
        <v>30</v>
      </c>
      <c r="D41">
        <v>24.37</v>
      </c>
      <c r="E41">
        <v>24716</v>
      </c>
      <c r="F41">
        <v>9.5899970000000003</v>
      </c>
      <c r="G41">
        <v>158.666666666667</v>
      </c>
      <c r="H41">
        <v>6.3541935483870997</v>
      </c>
      <c r="L41">
        <v>9.5899970000000003</v>
      </c>
      <c r="M41">
        <f>F37</f>
        <v>8.7571940000000001</v>
      </c>
      <c r="N41">
        <v>6.3541935483870997</v>
      </c>
      <c r="O41">
        <f>D41/D37</f>
        <v>1.1511572980632971</v>
      </c>
      <c r="P41">
        <f>G41/G37</f>
        <v>1.0323140316634158</v>
      </c>
    </row>
    <row r="42" spans="1:16" x14ac:dyDescent="0.3">
      <c r="A42" t="s">
        <v>8</v>
      </c>
      <c r="B42">
        <v>1997.1</v>
      </c>
      <c r="C42">
        <v>0</v>
      </c>
      <c r="D42">
        <v>25.65</v>
      </c>
      <c r="E42">
        <v>24716</v>
      </c>
      <c r="F42">
        <v>8.78186</v>
      </c>
      <c r="G42">
        <v>159.63333333333301</v>
      </c>
      <c r="H42">
        <v>6.5670000000000002</v>
      </c>
      <c r="L42">
        <v>8.78186</v>
      </c>
      <c r="M42">
        <f>F38</f>
        <v>9.1641840000000006</v>
      </c>
      <c r="N42">
        <v>6.5670000000000002</v>
      </c>
      <c r="O42">
        <f>D42/D38</f>
        <v>1.1685649202733486</v>
      </c>
      <c r="P42">
        <f>G42/G38</f>
        <v>1.0294496990541659</v>
      </c>
    </row>
    <row r="43" spans="1:16" x14ac:dyDescent="0.3">
      <c r="A43" t="s">
        <v>8</v>
      </c>
      <c r="B43">
        <v>1997.2</v>
      </c>
      <c r="C43">
        <v>0</v>
      </c>
      <c r="D43">
        <v>27.01</v>
      </c>
      <c r="E43">
        <v>24716</v>
      </c>
      <c r="F43">
        <v>8.1016429999999993</v>
      </c>
      <c r="G43">
        <v>160</v>
      </c>
      <c r="H43">
        <v>6.6996874999999996</v>
      </c>
      <c r="L43">
        <v>8.1016429999999993</v>
      </c>
      <c r="M43">
        <f>F39</f>
        <v>9.7577040000000004</v>
      </c>
      <c r="N43">
        <v>6.6996874999999996</v>
      </c>
      <c r="O43">
        <f>D43/D39</f>
        <v>1.1867311072056239</v>
      </c>
      <c r="P43">
        <f>G43/G39</f>
        <v>1.0230179028132993</v>
      </c>
    </row>
    <row r="44" spans="1:16" x14ac:dyDescent="0.3">
      <c r="A44" t="s">
        <v>8</v>
      </c>
      <c r="B44">
        <v>1997.3</v>
      </c>
      <c r="C44">
        <v>151</v>
      </c>
      <c r="D44">
        <v>27.79</v>
      </c>
      <c r="E44">
        <v>24867</v>
      </c>
      <c r="F44">
        <v>7.5051420000000002</v>
      </c>
      <c r="G44">
        <v>160.80000000000001</v>
      </c>
      <c r="H44">
        <v>6.2421875</v>
      </c>
      <c r="L44">
        <v>7.5051420000000002</v>
      </c>
      <c r="M44">
        <f>F40</f>
        <v>9.8415429999999997</v>
      </c>
      <c r="N44">
        <v>6.2421875</v>
      </c>
      <c r="O44">
        <f>D44/D40</f>
        <v>1.1800424628450106</v>
      </c>
      <c r="P44">
        <f>G44/G40</f>
        <v>1.0222504767959313</v>
      </c>
    </row>
    <row r="45" spans="1:16" x14ac:dyDescent="0.3">
      <c r="A45" t="s">
        <v>8</v>
      </c>
      <c r="B45">
        <v>1997.4</v>
      </c>
      <c r="C45">
        <v>225</v>
      </c>
      <c r="D45">
        <v>28.59</v>
      </c>
      <c r="E45">
        <v>25092</v>
      </c>
      <c r="F45">
        <v>7.1664079999999997</v>
      </c>
      <c r="G45">
        <v>161.666666666667</v>
      </c>
      <c r="H45">
        <v>5.9062903225806496</v>
      </c>
      <c r="L45">
        <v>7.1664079999999997</v>
      </c>
      <c r="M45">
        <f>F41</f>
        <v>9.5899970000000003</v>
      </c>
      <c r="N45">
        <v>5.9062903225806496</v>
      </c>
      <c r="O45">
        <f>D45/D41</f>
        <v>1.1731637258924907</v>
      </c>
      <c r="P45">
        <f>G45/G41</f>
        <v>1.01890756302521</v>
      </c>
    </row>
    <row r="46" spans="1:16" x14ac:dyDescent="0.3">
      <c r="A46" t="s">
        <v>8</v>
      </c>
      <c r="B46">
        <v>1998.1</v>
      </c>
      <c r="C46">
        <v>152</v>
      </c>
      <c r="D46">
        <v>30.28</v>
      </c>
      <c r="E46">
        <v>25244</v>
      </c>
      <c r="F46">
        <v>7.1586740000000004</v>
      </c>
      <c r="G46">
        <v>162</v>
      </c>
      <c r="H46">
        <v>5.5909836065573799</v>
      </c>
      <c r="L46">
        <v>7.1586740000000004</v>
      </c>
      <c r="M46">
        <f>F42</f>
        <v>8.78186</v>
      </c>
      <c r="N46">
        <v>5.5909836065573799</v>
      </c>
      <c r="O46">
        <f>D46/D42</f>
        <v>1.1805068226120858</v>
      </c>
      <c r="P46">
        <f>G46/G42</f>
        <v>1.0148256420964732</v>
      </c>
    </row>
    <row r="47" spans="1:16" x14ac:dyDescent="0.3">
      <c r="A47" t="s">
        <v>8</v>
      </c>
      <c r="B47">
        <v>1998.2</v>
      </c>
      <c r="C47">
        <v>659</v>
      </c>
      <c r="D47">
        <v>32.06</v>
      </c>
      <c r="E47">
        <v>25903</v>
      </c>
      <c r="F47">
        <v>7.1987360000000002</v>
      </c>
      <c r="G47">
        <v>162.53333333333299</v>
      </c>
      <c r="H47">
        <v>5.5930158730158697</v>
      </c>
      <c r="L47">
        <v>7.1987360000000002</v>
      </c>
      <c r="M47">
        <f>F43</f>
        <v>8.1016429999999993</v>
      </c>
      <c r="N47">
        <v>5.5930158730158697</v>
      </c>
      <c r="O47">
        <f>D47/D43</f>
        <v>1.1869677897075157</v>
      </c>
      <c r="P47">
        <f>G47/G43</f>
        <v>1.0158333333333311</v>
      </c>
    </row>
    <row r="48" spans="1:16" x14ac:dyDescent="0.3">
      <c r="A48" t="s">
        <v>8</v>
      </c>
      <c r="B48">
        <v>1998.3</v>
      </c>
      <c r="C48">
        <v>300</v>
      </c>
      <c r="D48">
        <v>32.549999999999997</v>
      </c>
      <c r="E48">
        <v>26203</v>
      </c>
      <c r="F48">
        <v>7.2553239999999999</v>
      </c>
      <c r="G48">
        <v>163.36666666666699</v>
      </c>
      <c r="H48">
        <v>5.2073437499999997</v>
      </c>
      <c r="L48">
        <v>7.2553239999999999</v>
      </c>
      <c r="M48">
        <f>F44</f>
        <v>7.5051420000000002</v>
      </c>
      <c r="N48">
        <v>5.2073437499999997</v>
      </c>
      <c r="O48">
        <f>D48/D44</f>
        <v>1.1712846347607053</v>
      </c>
      <c r="P48">
        <f>G48/G44</f>
        <v>1.0159618573797697</v>
      </c>
    </row>
    <row r="49" spans="1:16" x14ac:dyDescent="0.3">
      <c r="A49" t="s">
        <v>8</v>
      </c>
      <c r="B49">
        <v>1998.4</v>
      </c>
      <c r="C49">
        <v>487</v>
      </c>
      <c r="D49">
        <v>33.04</v>
      </c>
      <c r="E49">
        <v>26690</v>
      </c>
      <c r="F49">
        <v>7.4156529999999998</v>
      </c>
      <c r="G49">
        <v>164.13333333333301</v>
      </c>
      <c r="H49">
        <v>4.6619354838709697</v>
      </c>
      <c r="L49">
        <v>7.4156529999999998</v>
      </c>
      <c r="M49">
        <f>F45</f>
        <v>7.1664079999999997</v>
      </c>
      <c r="N49">
        <v>4.6619354838709697</v>
      </c>
      <c r="O49">
        <f>D49/D45</f>
        <v>1.15564882826163</v>
      </c>
      <c r="P49">
        <f>G49/G45</f>
        <v>1.0152577319587588</v>
      </c>
    </row>
    <row r="50" spans="1:16" x14ac:dyDescent="0.3">
      <c r="A50" t="s">
        <v>8</v>
      </c>
      <c r="B50">
        <v>1999.1</v>
      </c>
      <c r="C50">
        <v>691</v>
      </c>
      <c r="D50">
        <v>32.5</v>
      </c>
      <c r="E50">
        <v>27381</v>
      </c>
      <c r="F50">
        <v>7.5210520000000001</v>
      </c>
      <c r="G50">
        <v>164.73333333333301</v>
      </c>
      <c r="H50">
        <v>5.0008196721311498</v>
      </c>
      <c r="L50">
        <v>7.5210520000000001</v>
      </c>
      <c r="M50">
        <f>F46</f>
        <v>7.1586740000000004</v>
      </c>
      <c r="N50">
        <v>5.0008196721311498</v>
      </c>
      <c r="O50">
        <f>D50/D46</f>
        <v>1.0733157199471599</v>
      </c>
      <c r="P50">
        <f>G50/G46</f>
        <v>1.0168724279835371</v>
      </c>
    </row>
    <row r="51" spans="1:16" x14ac:dyDescent="0.3">
      <c r="A51" t="s">
        <v>8</v>
      </c>
      <c r="B51">
        <v>1999.2</v>
      </c>
      <c r="C51">
        <v>608</v>
      </c>
      <c r="D51">
        <v>31.96</v>
      </c>
      <c r="E51">
        <v>27989</v>
      </c>
      <c r="F51">
        <v>7.5161660000000001</v>
      </c>
      <c r="G51">
        <v>165.96666666666701</v>
      </c>
      <c r="H51">
        <v>5.5412499999999998</v>
      </c>
      <c r="L51">
        <v>7.5161660000000001</v>
      </c>
      <c r="M51">
        <f>F47</f>
        <v>7.1987360000000002</v>
      </c>
      <c r="N51">
        <v>5.5412499999999998</v>
      </c>
      <c r="O51">
        <f>D51/D47</f>
        <v>0.99688084840923263</v>
      </c>
      <c r="P51">
        <f>G51/G47</f>
        <v>1.0211238720262552</v>
      </c>
    </row>
    <row r="52" spans="1:16" x14ac:dyDescent="0.3">
      <c r="A52" t="s">
        <v>8</v>
      </c>
      <c r="B52">
        <v>1999.3</v>
      </c>
      <c r="C52">
        <v>36</v>
      </c>
      <c r="D52">
        <v>32.03</v>
      </c>
      <c r="E52">
        <v>28025</v>
      </c>
      <c r="F52">
        <v>7.5280769999999997</v>
      </c>
      <c r="G52">
        <v>167.2</v>
      </c>
      <c r="H52">
        <v>5.8829687499999999</v>
      </c>
      <c r="L52">
        <v>7.5280769999999997</v>
      </c>
      <c r="M52">
        <f>F48</f>
        <v>7.2553239999999999</v>
      </c>
      <c r="N52">
        <v>5.8829687499999999</v>
      </c>
      <c r="O52">
        <f>D52/D48</f>
        <v>0.9840245775729648</v>
      </c>
      <c r="P52">
        <f>G52/G48</f>
        <v>1.023464599061414</v>
      </c>
    </row>
    <row r="53" spans="1:16" x14ac:dyDescent="0.3">
      <c r="A53" t="s">
        <v>8</v>
      </c>
      <c r="B53">
        <v>1999.4</v>
      </c>
      <c r="C53">
        <v>169</v>
      </c>
      <c r="D53">
        <v>32.1</v>
      </c>
      <c r="E53">
        <v>28194</v>
      </c>
      <c r="F53">
        <v>7.5033500000000002</v>
      </c>
      <c r="G53">
        <v>168.433333333333</v>
      </c>
      <c r="H53">
        <v>6.14483870967742</v>
      </c>
      <c r="L53">
        <v>7.5033500000000002</v>
      </c>
      <c r="M53">
        <f>F49</f>
        <v>7.4156529999999998</v>
      </c>
      <c r="N53">
        <v>6.14483870967742</v>
      </c>
      <c r="O53">
        <f>D53/D49</f>
        <v>0.97154963680387418</v>
      </c>
      <c r="P53">
        <f>G53/G49</f>
        <v>1.0261982128350933</v>
      </c>
    </row>
    <row r="54" spans="1:16" x14ac:dyDescent="0.3">
      <c r="A54" t="s">
        <v>8</v>
      </c>
      <c r="B54">
        <v>2000.1</v>
      </c>
      <c r="C54">
        <v>33</v>
      </c>
      <c r="D54">
        <v>37.6</v>
      </c>
      <c r="E54">
        <v>28227</v>
      </c>
      <c r="F54">
        <v>7.6314830000000002</v>
      </c>
      <c r="G54">
        <v>170.1</v>
      </c>
      <c r="H54">
        <v>6.4684126984126999</v>
      </c>
      <c r="L54">
        <v>7.6314830000000002</v>
      </c>
      <c r="M54">
        <f>F50</f>
        <v>7.5210520000000001</v>
      </c>
      <c r="N54">
        <v>6.4684126984126999</v>
      </c>
      <c r="O54">
        <f>D54/D50</f>
        <v>1.1569230769230769</v>
      </c>
      <c r="P54">
        <f>G54/G50</f>
        <v>1.0325779036827216</v>
      </c>
    </row>
    <row r="55" spans="1:16" x14ac:dyDescent="0.3">
      <c r="A55" t="s">
        <v>8</v>
      </c>
      <c r="B55">
        <v>2000.2</v>
      </c>
      <c r="C55">
        <v>93</v>
      </c>
      <c r="D55">
        <v>44.06</v>
      </c>
      <c r="E55">
        <v>28320</v>
      </c>
      <c r="F55">
        <v>7.7285250000000003</v>
      </c>
      <c r="G55">
        <v>171.433333333333</v>
      </c>
      <c r="H55">
        <v>6.1849206349206298</v>
      </c>
      <c r="L55">
        <v>7.7285250000000003</v>
      </c>
      <c r="M55">
        <f>F51</f>
        <v>7.5161660000000001</v>
      </c>
      <c r="N55">
        <v>6.1849206349206298</v>
      </c>
      <c r="O55">
        <f>D55/D51</f>
        <v>1.3785982478097623</v>
      </c>
      <c r="P55">
        <f>G55/G51</f>
        <v>1.0329383410323316</v>
      </c>
    </row>
    <row r="56" spans="1:16" x14ac:dyDescent="0.3">
      <c r="A56" t="s">
        <v>8</v>
      </c>
      <c r="B56">
        <v>2000.3</v>
      </c>
      <c r="C56">
        <v>424</v>
      </c>
      <c r="D56">
        <v>47.86</v>
      </c>
      <c r="E56">
        <v>28744</v>
      </c>
      <c r="F56">
        <v>7.8349950000000002</v>
      </c>
      <c r="G56">
        <v>173</v>
      </c>
      <c r="H56">
        <v>5.8898412698412699</v>
      </c>
      <c r="L56">
        <v>7.8349950000000002</v>
      </c>
      <c r="M56">
        <f>F52</f>
        <v>7.5280769999999997</v>
      </c>
      <c r="N56">
        <v>5.8898412698412699</v>
      </c>
      <c r="O56">
        <f>D56/D52</f>
        <v>1.4942241648454573</v>
      </c>
      <c r="P56">
        <f>G56/G52</f>
        <v>1.0346889952153111</v>
      </c>
    </row>
    <row r="57" spans="1:16" x14ac:dyDescent="0.3">
      <c r="A57" t="s">
        <v>8</v>
      </c>
      <c r="B57">
        <v>2000.4</v>
      </c>
      <c r="C57">
        <v>597</v>
      </c>
      <c r="D57">
        <v>51.99</v>
      </c>
      <c r="E57">
        <v>29341</v>
      </c>
      <c r="F57">
        <v>7.8799539999999997</v>
      </c>
      <c r="G57">
        <v>174.23333333333301</v>
      </c>
      <c r="H57">
        <v>5.5706451612903196</v>
      </c>
      <c r="L57">
        <v>7.8799539999999997</v>
      </c>
      <c r="M57">
        <f>F53</f>
        <v>7.5033500000000002</v>
      </c>
      <c r="N57">
        <v>5.5706451612903196</v>
      </c>
      <c r="O57">
        <f>D57/D53</f>
        <v>1.6196261682242989</v>
      </c>
      <c r="P57">
        <f>G57/G53</f>
        <v>1.0344349891153772</v>
      </c>
    </row>
    <row r="58" spans="1:16" x14ac:dyDescent="0.3">
      <c r="A58" t="s">
        <v>8</v>
      </c>
      <c r="B58">
        <v>2001.1</v>
      </c>
      <c r="C58">
        <v>670</v>
      </c>
      <c r="D58">
        <v>49.29</v>
      </c>
      <c r="E58">
        <v>30011</v>
      </c>
      <c r="F58">
        <v>8.0915560000000006</v>
      </c>
      <c r="G58">
        <v>175.9</v>
      </c>
      <c r="H58">
        <v>5.0441935483871001</v>
      </c>
      <c r="L58">
        <v>8.0915560000000006</v>
      </c>
      <c r="M58">
        <f>F54</f>
        <v>7.6314830000000002</v>
      </c>
      <c r="N58">
        <v>5.0441935483871001</v>
      </c>
      <c r="O58">
        <f>D58/D54</f>
        <v>1.3109042553191488</v>
      </c>
      <c r="P58">
        <f>G58/G54</f>
        <v>1.0340975896531452</v>
      </c>
    </row>
    <row r="59" spans="1:16" x14ac:dyDescent="0.3">
      <c r="A59" t="s">
        <v>8</v>
      </c>
      <c r="B59">
        <v>2001.2</v>
      </c>
      <c r="C59">
        <v>747</v>
      </c>
      <c r="D59">
        <v>46.74</v>
      </c>
      <c r="E59">
        <v>30758</v>
      </c>
      <c r="F59">
        <v>8.6196450000000002</v>
      </c>
      <c r="G59">
        <v>177.13333333333301</v>
      </c>
      <c r="H59">
        <v>5.2761904761904797</v>
      </c>
      <c r="L59">
        <v>8.6196450000000002</v>
      </c>
      <c r="M59">
        <f>F55</f>
        <v>7.7285250000000003</v>
      </c>
      <c r="N59">
        <v>5.2761904761904797</v>
      </c>
      <c r="O59">
        <f>D59/D55</f>
        <v>1.0608261461643214</v>
      </c>
      <c r="P59">
        <f>G59/G55</f>
        <v>1.0332490764145441</v>
      </c>
    </row>
    <row r="60" spans="1:16" x14ac:dyDescent="0.3">
      <c r="A60" t="s">
        <v>8</v>
      </c>
      <c r="B60">
        <v>2001.3</v>
      </c>
      <c r="C60">
        <v>1290</v>
      </c>
      <c r="D60">
        <v>38.869999999999997</v>
      </c>
      <c r="E60">
        <v>32048</v>
      </c>
      <c r="F60">
        <v>8.9193359999999995</v>
      </c>
      <c r="G60">
        <v>177.63333333333301</v>
      </c>
      <c r="H60">
        <v>4.9957377049180298</v>
      </c>
      <c r="L60">
        <v>8.9193359999999995</v>
      </c>
      <c r="M60">
        <f>F56</f>
        <v>7.8349950000000002</v>
      </c>
      <c r="N60">
        <v>4.9957377049180298</v>
      </c>
      <c r="O60">
        <f>D60/D56</f>
        <v>0.81216046803175923</v>
      </c>
      <c r="P60">
        <f>G60/G56</f>
        <v>1.0267822736030809</v>
      </c>
    </row>
    <row r="61" spans="1:16" x14ac:dyDescent="0.3">
      <c r="A61" t="s">
        <v>8</v>
      </c>
      <c r="B61">
        <v>2001.4</v>
      </c>
      <c r="C61">
        <v>821</v>
      </c>
      <c r="D61">
        <v>32.32</v>
      </c>
      <c r="E61">
        <v>32869</v>
      </c>
      <c r="F61">
        <v>9.4416499999999992</v>
      </c>
      <c r="G61">
        <v>177.5</v>
      </c>
      <c r="H61">
        <v>4.7620967741935498</v>
      </c>
      <c r="L61">
        <v>9.4416499999999992</v>
      </c>
      <c r="M61">
        <f>F57</f>
        <v>7.8799539999999997</v>
      </c>
      <c r="N61">
        <v>4.7620967741935498</v>
      </c>
      <c r="O61">
        <f>D61/D57</f>
        <v>0.62165801115599151</v>
      </c>
      <c r="P61">
        <f>G61/G57</f>
        <v>1.0187488042854429</v>
      </c>
    </row>
    <row r="62" spans="1:16" x14ac:dyDescent="0.3">
      <c r="A62" t="s">
        <v>8</v>
      </c>
      <c r="B62">
        <v>2002.1</v>
      </c>
      <c r="C62">
        <v>402</v>
      </c>
      <c r="D62">
        <v>30.33</v>
      </c>
      <c r="E62">
        <v>33271</v>
      </c>
      <c r="F62">
        <v>9.9722989999999996</v>
      </c>
      <c r="G62">
        <v>178.066666666667</v>
      </c>
      <c r="H62">
        <v>5.0791666666666702</v>
      </c>
      <c r="L62">
        <v>9.9722989999999996</v>
      </c>
      <c r="M62">
        <f>F58</f>
        <v>8.0915560000000006</v>
      </c>
      <c r="N62">
        <v>5.0791666666666702</v>
      </c>
      <c r="O62">
        <f>D62/D58</f>
        <v>0.61533779671332922</v>
      </c>
      <c r="P62">
        <f>G62/G58</f>
        <v>1.0123176046996418</v>
      </c>
    </row>
    <row r="63" spans="1:16" x14ac:dyDescent="0.3">
      <c r="A63" t="s">
        <v>8</v>
      </c>
      <c r="B63">
        <v>2002.2</v>
      </c>
      <c r="C63">
        <v>52</v>
      </c>
      <c r="D63">
        <v>28.45</v>
      </c>
      <c r="E63">
        <v>33323</v>
      </c>
      <c r="F63">
        <v>9.8738799999999998</v>
      </c>
      <c r="G63">
        <v>179.46666666666701</v>
      </c>
      <c r="H63">
        <v>5.1060937500000003</v>
      </c>
      <c r="L63">
        <v>9.8738799999999998</v>
      </c>
      <c r="M63">
        <f>F59</f>
        <v>8.6196450000000002</v>
      </c>
      <c r="N63">
        <v>5.1060937500000003</v>
      </c>
      <c r="O63">
        <f>D63/D59</f>
        <v>0.60868635002139493</v>
      </c>
      <c r="P63">
        <f>G63/G59</f>
        <v>1.0131727512231878</v>
      </c>
    </row>
    <row r="64" spans="1:16" x14ac:dyDescent="0.3">
      <c r="A64" t="s">
        <v>8</v>
      </c>
      <c r="B64">
        <v>2002.3</v>
      </c>
      <c r="C64">
        <v>43</v>
      </c>
      <c r="D64">
        <v>27.27</v>
      </c>
      <c r="E64">
        <v>33366</v>
      </c>
      <c r="F64">
        <v>9.8854310000000005</v>
      </c>
      <c r="G64">
        <v>180.433333333333</v>
      </c>
      <c r="H64">
        <v>4.2723437500000001</v>
      </c>
      <c r="L64">
        <v>9.8854310000000005</v>
      </c>
      <c r="M64">
        <f>F60</f>
        <v>8.9193359999999995</v>
      </c>
      <c r="N64">
        <v>4.2723437500000001</v>
      </c>
      <c r="O64">
        <f>D64/D60</f>
        <v>0.7015693336763571</v>
      </c>
      <c r="P64">
        <f>G64/G60</f>
        <v>1.0157628072809157</v>
      </c>
    </row>
    <row r="65" spans="1:16" x14ac:dyDescent="0.3">
      <c r="A65" t="s">
        <v>8</v>
      </c>
      <c r="B65">
        <v>2002.4</v>
      </c>
      <c r="C65">
        <v>1044</v>
      </c>
      <c r="D65">
        <v>26.55</v>
      </c>
      <c r="E65">
        <v>34410</v>
      </c>
      <c r="F65">
        <v>9.8279580000000006</v>
      </c>
      <c r="G65">
        <v>181.5</v>
      </c>
      <c r="H65">
        <v>4.0048387096774203</v>
      </c>
      <c r="L65">
        <v>9.8279580000000006</v>
      </c>
      <c r="M65">
        <f>F61</f>
        <v>9.4416499999999992</v>
      </c>
      <c r="N65">
        <v>4.0048387096774203</v>
      </c>
      <c r="O65">
        <f>D65/D61</f>
        <v>0.8214727722772277</v>
      </c>
      <c r="P65">
        <f>G65/G61</f>
        <v>1.0225352112676056</v>
      </c>
    </row>
    <row r="66" spans="1:16" x14ac:dyDescent="0.3">
      <c r="A66" t="s">
        <v>8</v>
      </c>
      <c r="B66">
        <v>2003.1</v>
      </c>
      <c r="C66">
        <v>84</v>
      </c>
      <c r="D66">
        <v>25.66</v>
      </c>
      <c r="E66">
        <v>34494</v>
      </c>
      <c r="F66">
        <v>9.3960450000000009</v>
      </c>
      <c r="G66">
        <v>183.36666666666699</v>
      </c>
      <c r="H66">
        <v>3.92</v>
      </c>
      <c r="L66">
        <v>9.3960450000000009</v>
      </c>
      <c r="M66">
        <f>F62</f>
        <v>9.9722989999999996</v>
      </c>
      <c r="N66">
        <v>3.92</v>
      </c>
      <c r="O66">
        <f>D66/D62</f>
        <v>0.8460270359380152</v>
      </c>
      <c r="P66">
        <f>G66/G62</f>
        <v>1.0297641332834142</v>
      </c>
    </row>
    <row r="67" spans="1:16" x14ac:dyDescent="0.3">
      <c r="A67" t="s">
        <v>8</v>
      </c>
      <c r="B67">
        <v>2003.2</v>
      </c>
      <c r="C67">
        <v>135</v>
      </c>
      <c r="D67">
        <v>24.22</v>
      </c>
      <c r="E67">
        <v>34629</v>
      </c>
      <c r="F67">
        <v>9.3297070000000009</v>
      </c>
      <c r="G67">
        <v>183.066666666667</v>
      </c>
      <c r="H67">
        <v>3.6206349206349202</v>
      </c>
      <c r="L67">
        <v>9.3297070000000009</v>
      </c>
      <c r="M67">
        <f>F63</f>
        <v>9.8738799999999998</v>
      </c>
      <c r="N67">
        <v>3.6206349206349202</v>
      </c>
      <c r="O67">
        <f>D67/D63</f>
        <v>0.85131810193321611</v>
      </c>
      <c r="P67">
        <f>G67/G63</f>
        <v>1.0200594353640415</v>
      </c>
    </row>
    <row r="68" spans="1:16" x14ac:dyDescent="0.3">
      <c r="A68" t="s">
        <v>8</v>
      </c>
      <c r="B68">
        <v>2003.3</v>
      </c>
      <c r="C68">
        <v>50</v>
      </c>
      <c r="D68">
        <v>22.41</v>
      </c>
      <c r="E68">
        <v>34679</v>
      </c>
      <c r="F68">
        <v>9.2657729999999994</v>
      </c>
      <c r="G68">
        <v>184.433333333333</v>
      </c>
      <c r="H68">
        <v>4.2276562499999999</v>
      </c>
      <c r="L68">
        <v>9.2657729999999994</v>
      </c>
      <c r="M68">
        <f>F64</f>
        <v>9.8854310000000005</v>
      </c>
      <c r="N68">
        <v>4.2276562499999999</v>
      </c>
      <c r="O68">
        <f>D68/D64</f>
        <v>0.82178217821782185</v>
      </c>
      <c r="P68">
        <f>G68/G64</f>
        <v>1.0221688527618695</v>
      </c>
    </row>
    <row r="69" spans="1:16" x14ac:dyDescent="0.3">
      <c r="A69" t="s">
        <v>8</v>
      </c>
      <c r="B69">
        <v>2003.4</v>
      </c>
      <c r="C69">
        <v>0</v>
      </c>
      <c r="D69">
        <v>21.33</v>
      </c>
      <c r="E69">
        <v>34679</v>
      </c>
      <c r="F69">
        <v>9.1095980000000001</v>
      </c>
      <c r="G69">
        <v>185.13333333333301</v>
      </c>
      <c r="H69">
        <v>4.2851612903225798</v>
      </c>
      <c r="L69">
        <v>9.1095980000000001</v>
      </c>
      <c r="M69">
        <f>F65</f>
        <v>9.8279580000000006</v>
      </c>
      <c r="N69">
        <v>4.2851612903225798</v>
      </c>
      <c r="O69">
        <f>D69/D65</f>
        <v>0.80338983050847446</v>
      </c>
      <c r="P69">
        <f>G69/G65</f>
        <v>1.0200183654729091</v>
      </c>
    </row>
    <row r="70" spans="1:16" x14ac:dyDescent="0.3">
      <c r="A70" t="s">
        <v>8</v>
      </c>
      <c r="B70">
        <v>2004.1</v>
      </c>
      <c r="C70">
        <v>0</v>
      </c>
      <c r="D70">
        <v>22.26</v>
      </c>
      <c r="E70">
        <v>34679</v>
      </c>
      <c r="F70">
        <v>9.2532060000000005</v>
      </c>
      <c r="G70">
        <v>186.7</v>
      </c>
      <c r="H70">
        <v>4.01</v>
      </c>
      <c r="L70">
        <v>9.2532060000000005</v>
      </c>
      <c r="M70">
        <f>F66</f>
        <v>9.3960450000000009</v>
      </c>
      <c r="N70">
        <v>4.01</v>
      </c>
      <c r="O70">
        <f>D70/D66</f>
        <v>0.86749805144193304</v>
      </c>
      <c r="P70">
        <f>G70/G66</f>
        <v>1.0181785129976348</v>
      </c>
    </row>
    <row r="71" spans="1:16" x14ac:dyDescent="0.3">
      <c r="A71" t="s">
        <v>8</v>
      </c>
      <c r="B71">
        <v>2004.2</v>
      </c>
      <c r="C71">
        <v>0</v>
      </c>
      <c r="D71">
        <v>21.53</v>
      </c>
      <c r="E71">
        <v>34679</v>
      </c>
      <c r="F71">
        <v>9.0784640000000003</v>
      </c>
      <c r="G71">
        <v>188.166666666667</v>
      </c>
      <c r="H71">
        <v>4.5970967741935498</v>
      </c>
      <c r="L71">
        <v>9.0784640000000003</v>
      </c>
      <c r="M71">
        <f>F67</f>
        <v>9.3297070000000009</v>
      </c>
      <c r="N71">
        <v>4.5970967741935498</v>
      </c>
      <c r="O71">
        <f>D71/D67</f>
        <v>0.88893476465730814</v>
      </c>
      <c r="P71">
        <f>G71/G67</f>
        <v>1.0278587035688274</v>
      </c>
    </row>
    <row r="72" spans="1:16" x14ac:dyDescent="0.3">
      <c r="A72" t="s">
        <v>8</v>
      </c>
      <c r="B72">
        <v>2004.3</v>
      </c>
      <c r="C72">
        <v>10</v>
      </c>
      <c r="D72">
        <v>22.01</v>
      </c>
      <c r="E72">
        <v>34689</v>
      </c>
      <c r="F72">
        <v>8.6459659999999996</v>
      </c>
      <c r="G72">
        <v>189.36666666666699</v>
      </c>
      <c r="H72">
        <v>4.3014062500000003</v>
      </c>
      <c r="L72">
        <v>8.6459659999999996</v>
      </c>
      <c r="M72">
        <f>F68</f>
        <v>9.2657729999999994</v>
      </c>
      <c r="N72">
        <v>4.3014062500000003</v>
      </c>
      <c r="O72">
        <f>D72/D68</f>
        <v>0.98215082552431954</v>
      </c>
      <c r="P72">
        <f>G72/G68</f>
        <v>1.0267485993132153</v>
      </c>
    </row>
    <row r="73" spans="1:16" x14ac:dyDescent="0.3">
      <c r="A73" t="s">
        <v>8</v>
      </c>
      <c r="B73">
        <v>2004.4</v>
      </c>
      <c r="C73">
        <v>26</v>
      </c>
      <c r="D73">
        <v>22.5</v>
      </c>
      <c r="E73">
        <v>34715</v>
      </c>
      <c r="F73">
        <v>8.2130919999999996</v>
      </c>
      <c r="G73">
        <v>191.4</v>
      </c>
      <c r="H73">
        <v>4.1758064516128997</v>
      </c>
      <c r="L73">
        <v>8.2130919999999996</v>
      </c>
      <c r="M73">
        <f>F69</f>
        <v>9.1095980000000001</v>
      </c>
      <c r="N73">
        <v>4.1758064516128997</v>
      </c>
      <c r="O73">
        <f>D73/D69</f>
        <v>1.0548523206751055</v>
      </c>
      <c r="P73">
        <f>G73/G69</f>
        <v>1.033849477853801</v>
      </c>
    </row>
    <row r="74" spans="1:16" x14ac:dyDescent="0.3">
      <c r="A74" t="s">
        <v>8</v>
      </c>
      <c r="B74">
        <v>2005.1</v>
      </c>
      <c r="C74">
        <v>0</v>
      </c>
      <c r="D74">
        <v>22.28</v>
      </c>
      <c r="E74">
        <v>34715</v>
      </c>
      <c r="F74">
        <v>7.524114</v>
      </c>
      <c r="G74">
        <v>192.36666666666699</v>
      </c>
      <c r="H74">
        <v>4.3036065573770497</v>
      </c>
      <c r="L74">
        <v>7.524114</v>
      </c>
      <c r="M74">
        <f>F70</f>
        <v>9.2532060000000005</v>
      </c>
      <c r="N74">
        <v>4.3036065573770497</v>
      </c>
      <c r="O74">
        <f>D74/D70</f>
        <v>1.0008984725965857</v>
      </c>
      <c r="P74">
        <f>G74/G70</f>
        <v>1.0303517229066257</v>
      </c>
    </row>
    <row r="75" spans="1:16" x14ac:dyDescent="0.3">
      <c r="A75" t="s">
        <v>8</v>
      </c>
      <c r="B75">
        <v>2005.2</v>
      </c>
      <c r="C75">
        <v>0</v>
      </c>
      <c r="D75">
        <v>22.64</v>
      </c>
      <c r="E75">
        <v>34715</v>
      </c>
      <c r="F75">
        <v>7.0058340000000001</v>
      </c>
      <c r="G75">
        <v>193.666666666667</v>
      </c>
      <c r="H75">
        <v>4.1585937499999996</v>
      </c>
      <c r="L75">
        <v>7.0058340000000001</v>
      </c>
      <c r="M75">
        <f>F71</f>
        <v>9.0784640000000003</v>
      </c>
      <c r="N75">
        <v>4.1585937499999996</v>
      </c>
      <c r="O75">
        <f>D75/D71</f>
        <v>1.0515559684161635</v>
      </c>
      <c r="P75">
        <f>G75/G71</f>
        <v>1.0292294065544729</v>
      </c>
    </row>
    <row r="76" spans="1:16" x14ac:dyDescent="0.3">
      <c r="A76" t="s">
        <v>8</v>
      </c>
      <c r="B76">
        <v>2005.3</v>
      </c>
      <c r="C76">
        <v>171</v>
      </c>
      <c r="D76">
        <v>22.99</v>
      </c>
      <c r="E76">
        <v>34886</v>
      </c>
      <c r="F76">
        <v>6.8000369999999997</v>
      </c>
      <c r="G76">
        <v>196.6</v>
      </c>
      <c r="H76">
        <v>4.2151562499999997</v>
      </c>
      <c r="L76">
        <v>6.8000369999999997</v>
      </c>
      <c r="M76">
        <f>F72</f>
        <v>8.6459659999999996</v>
      </c>
      <c r="N76">
        <v>4.2151562499999997</v>
      </c>
      <c r="O76">
        <f>D76/D72</f>
        <v>1.0445252158109948</v>
      </c>
      <c r="P76">
        <f>G76/G72</f>
        <v>1.0381975004400616</v>
      </c>
    </row>
    <row r="77" spans="1:16" x14ac:dyDescent="0.3">
      <c r="A77" t="s">
        <v>8</v>
      </c>
      <c r="B77">
        <v>2005.4</v>
      </c>
      <c r="C77">
        <v>0</v>
      </c>
      <c r="D77">
        <v>23.43</v>
      </c>
      <c r="E77">
        <v>34886</v>
      </c>
      <c r="F77">
        <v>6.9416390000000003</v>
      </c>
      <c r="G77">
        <v>198.433333333333</v>
      </c>
      <c r="H77">
        <v>4.4881967213114802</v>
      </c>
      <c r="L77">
        <v>6.9416390000000003</v>
      </c>
      <c r="M77">
        <f>F73</f>
        <v>8.2130919999999996</v>
      </c>
      <c r="N77">
        <v>4.4881967213114802</v>
      </c>
      <c r="O77">
        <f>D77/D73</f>
        <v>1.0413333333333332</v>
      </c>
      <c r="P77">
        <f>G77/G73</f>
        <v>1.0367467781260866</v>
      </c>
    </row>
    <row r="78" spans="1:16" x14ac:dyDescent="0.3">
      <c r="A78" t="s">
        <v>8</v>
      </c>
      <c r="B78">
        <v>2006.1</v>
      </c>
      <c r="C78">
        <v>10</v>
      </c>
      <c r="D78">
        <v>23.84</v>
      </c>
      <c r="E78">
        <v>34896</v>
      </c>
      <c r="F78">
        <v>7.1642979999999996</v>
      </c>
      <c r="G78">
        <v>199.46666666666701</v>
      </c>
      <c r="H78">
        <v>4.5770967741935502</v>
      </c>
      <c r="L78">
        <v>7.1642979999999996</v>
      </c>
      <c r="M78">
        <f>F74</f>
        <v>7.524114</v>
      </c>
      <c r="N78">
        <v>4.5770967741935502</v>
      </c>
      <c r="O78">
        <f>D78/D74</f>
        <v>1.0700179533213643</v>
      </c>
      <c r="P78">
        <f>G78/G74</f>
        <v>1.0369086813377231</v>
      </c>
    </row>
    <row r="79" spans="1:16" x14ac:dyDescent="0.3">
      <c r="A79" t="s">
        <v>8</v>
      </c>
      <c r="B79">
        <v>2006.2</v>
      </c>
      <c r="C79">
        <v>100</v>
      </c>
      <c r="D79">
        <v>24.94</v>
      </c>
      <c r="E79">
        <v>34996</v>
      </c>
      <c r="F79">
        <v>7.1002609999999997</v>
      </c>
      <c r="G79">
        <v>201.26666666666699</v>
      </c>
      <c r="H79">
        <v>5.0726984126984096</v>
      </c>
      <c r="L79">
        <v>7.1002609999999997</v>
      </c>
      <c r="M79">
        <f>F75</f>
        <v>7.0058340000000001</v>
      </c>
      <c r="N79">
        <v>5.0726984126984096</v>
      </c>
      <c r="O79">
        <f>D79/D75</f>
        <v>1.1015901060070672</v>
      </c>
      <c r="P79">
        <f>G79/G75</f>
        <v>1.0392426850258174</v>
      </c>
    </row>
    <row r="80" spans="1:16" x14ac:dyDescent="0.3">
      <c r="A80" t="s">
        <v>8</v>
      </c>
      <c r="B80">
        <v>2006.3</v>
      </c>
      <c r="C80">
        <v>47</v>
      </c>
      <c r="D80">
        <v>25.73</v>
      </c>
      <c r="E80">
        <v>35043</v>
      </c>
      <c r="F80">
        <v>6.7659219999999998</v>
      </c>
      <c r="G80">
        <v>203.166666666667</v>
      </c>
      <c r="H80">
        <v>4.8934920634920704</v>
      </c>
      <c r="L80">
        <v>6.7659219999999998</v>
      </c>
      <c r="M80">
        <f>F76</f>
        <v>6.8000369999999997</v>
      </c>
      <c r="N80">
        <v>4.8934920634920704</v>
      </c>
      <c r="O80">
        <f>D80/D76</f>
        <v>1.1191822531535451</v>
      </c>
      <c r="P80">
        <f>G80/G76</f>
        <v>1.0334011529331995</v>
      </c>
    </row>
    <row r="81" spans="1:16" x14ac:dyDescent="0.3">
      <c r="A81" t="s">
        <v>8</v>
      </c>
      <c r="B81">
        <v>2006.4</v>
      </c>
      <c r="C81">
        <v>20</v>
      </c>
      <c r="D81">
        <v>26.71</v>
      </c>
      <c r="E81">
        <v>35063</v>
      </c>
      <c r="F81">
        <v>6.3910439999999999</v>
      </c>
      <c r="G81">
        <v>202.333333333333</v>
      </c>
      <c r="H81">
        <v>4.6306451612903201</v>
      </c>
      <c r="L81">
        <v>6.3910439999999999</v>
      </c>
      <c r="M81">
        <f>F77</f>
        <v>6.9416390000000003</v>
      </c>
      <c r="N81">
        <v>4.6306451612903201</v>
      </c>
      <c r="O81">
        <f>D81/D77</f>
        <v>1.1399914639351258</v>
      </c>
      <c r="P81">
        <f>G81/G77</f>
        <v>1.0196539559885773</v>
      </c>
    </row>
    <row r="82" spans="1:16" x14ac:dyDescent="0.3">
      <c r="A82" t="s">
        <v>8</v>
      </c>
      <c r="B82">
        <v>2007.1</v>
      </c>
      <c r="C82">
        <v>13</v>
      </c>
      <c r="D82">
        <v>28.52</v>
      </c>
      <c r="E82">
        <v>35076</v>
      </c>
      <c r="F82">
        <v>5.8675560000000004</v>
      </c>
      <c r="G82">
        <v>204.31700000000001</v>
      </c>
      <c r="H82">
        <v>4.6790322580645203</v>
      </c>
      <c r="L82">
        <v>5.8675560000000004</v>
      </c>
      <c r="M82">
        <f>F78</f>
        <v>7.1642979999999996</v>
      </c>
      <c r="N82">
        <v>4.6790322580645203</v>
      </c>
      <c r="O82">
        <f>D82/D78</f>
        <v>1.1963087248322148</v>
      </c>
      <c r="P82">
        <f>G82/G78</f>
        <v>1.0243165106951855</v>
      </c>
    </row>
    <row r="83" spans="1:16" x14ac:dyDescent="0.3">
      <c r="A83" t="s">
        <v>8</v>
      </c>
      <c r="B83">
        <v>2007.2</v>
      </c>
      <c r="C83">
        <v>317</v>
      </c>
      <c r="D83">
        <v>28.35</v>
      </c>
      <c r="E83">
        <v>35393</v>
      </c>
      <c r="F83">
        <v>5.7194950000000002</v>
      </c>
      <c r="G83">
        <v>206.631</v>
      </c>
      <c r="H83">
        <v>4.8460937499999996</v>
      </c>
      <c r="L83">
        <v>5.7194950000000002</v>
      </c>
      <c r="M83">
        <f>F79</f>
        <v>7.1002609999999997</v>
      </c>
      <c r="N83">
        <v>4.8460937499999996</v>
      </c>
      <c r="O83">
        <f>D83/D79</f>
        <v>1.13672814755413</v>
      </c>
      <c r="P83">
        <f>G83/G79</f>
        <v>1.0266528651871465</v>
      </c>
    </row>
    <row r="84" spans="1:16" x14ac:dyDescent="0.3">
      <c r="A84" t="s">
        <v>8</v>
      </c>
      <c r="B84">
        <v>2007.3</v>
      </c>
      <c r="C84">
        <v>19</v>
      </c>
      <c r="D84">
        <v>28.29</v>
      </c>
      <c r="E84">
        <v>35412</v>
      </c>
      <c r="F84">
        <v>5.7040879999999996</v>
      </c>
      <c r="G84">
        <v>207.93899999999999</v>
      </c>
      <c r="H84">
        <v>4.7384126984127004</v>
      </c>
      <c r="L84">
        <v>5.7040879999999996</v>
      </c>
      <c r="M84">
        <f>F80</f>
        <v>6.7659219999999998</v>
      </c>
      <c r="N84">
        <v>4.7384126984127004</v>
      </c>
      <c r="O84">
        <f>D84/D80</f>
        <v>1.0994947532063739</v>
      </c>
      <c r="P84">
        <f>G84/G80</f>
        <v>1.0234897456931895</v>
      </c>
    </row>
    <row r="85" spans="1:16" x14ac:dyDescent="0.3">
      <c r="A85" t="s">
        <v>8</v>
      </c>
      <c r="B85">
        <v>2007.4</v>
      </c>
      <c r="C85">
        <v>83</v>
      </c>
      <c r="D85">
        <v>28.36</v>
      </c>
      <c r="E85">
        <v>35495</v>
      </c>
      <c r="F85">
        <v>5.4518899999999997</v>
      </c>
      <c r="G85">
        <v>210.48966666666701</v>
      </c>
      <c r="H85">
        <v>4.26661290322581</v>
      </c>
      <c r="L85">
        <v>5.4518899999999997</v>
      </c>
      <c r="M85">
        <f>F81</f>
        <v>6.3910439999999999</v>
      </c>
      <c r="N85">
        <v>4.26661290322581</v>
      </c>
      <c r="O85">
        <f>D85/D81</f>
        <v>1.0617746162485959</v>
      </c>
      <c r="P85">
        <f>G85/G81</f>
        <v>1.0403113673805635</v>
      </c>
    </row>
    <row r="86" spans="1:16" x14ac:dyDescent="0.3">
      <c r="A86" t="s">
        <v>8</v>
      </c>
      <c r="B86">
        <v>2008.1</v>
      </c>
      <c r="C86">
        <v>317</v>
      </c>
      <c r="D86">
        <v>29.59</v>
      </c>
      <c r="E86">
        <v>35812</v>
      </c>
      <c r="F86">
        <v>5.3286939999999996</v>
      </c>
      <c r="G86">
        <v>212.76966666666701</v>
      </c>
      <c r="H86">
        <v>3.6652459016393402</v>
      </c>
      <c r="L86">
        <v>5.3286939999999996</v>
      </c>
      <c r="M86">
        <f>F82</f>
        <v>5.8675560000000004</v>
      </c>
      <c r="N86">
        <v>3.6652459016393402</v>
      </c>
      <c r="O86">
        <f>D86/D82</f>
        <v>1.0375175315568022</v>
      </c>
      <c r="P86">
        <f>G86/G82</f>
        <v>1.0413703542371266</v>
      </c>
    </row>
    <row r="87" spans="1:16" x14ac:dyDescent="0.3">
      <c r="A87" t="s">
        <v>8</v>
      </c>
      <c r="B87">
        <v>2008.2</v>
      </c>
      <c r="C87">
        <v>160</v>
      </c>
      <c r="D87">
        <v>30</v>
      </c>
      <c r="E87">
        <v>35972</v>
      </c>
      <c r="F87">
        <v>5.1411509999999998</v>
      </c>
      <c r="G87">
        <v>215.53766666666701</v>
      </c>
      <c r="H87">
        <v>3.8815624999999998</v>
      </c>
      <c r="L87">
        <v>5.1411509999999998</v>
      </c>
      <c r="M87">
        <f>F83</f>
        <v>5.7194950000000002</v>
      </c>
      <c r="N87">
        <v>3.8815624999999998</v>
      </c>
      <c r="O87">
        <f>D87/D83</f>
        <v>1.0582010582010581</v>
      </c>
      <c r="P87">
        <f>G87/G83</f>
        <v>1.0431042131464641</v>
      </c>
    </row>
    <row r="88" spans="1:16" x14ac:dyDescent="0.3">
      <c r="A88" t="s">
        <v>8</v>
      </c>
      <c r="B88">
        <v>2008.3</v>
      </c>
      <c r="C88">
        <v>530</v>
      </c>
      <c r="D88">
        <v>30.36</v>
      </c>
      <c r="E88">
        <v>36502</v>
      </c>
      <c r="F88">
        <v>5.1923089999999998</v>
      </c>
      <c r="G88">
        <v>218.86099999999999</v>
      </c>
      <c r="H88">
        <v>3.8621875000000001</v>
      </c>
      <c r="L88">
        <v>5.1923089999999998</v>
      </c>
      <c r="M88">
        <f>F84</f>
        <v>5.7040879999999996</v>
      </c>
      <c r="N88">
        <v>3.8621875000000001</v>
      </c>
      <c r="O88">
        <f>D88/D84</f>
        <v>1.0731707317073171</v>
      </c>
      <c r="P88">
        <f>G88/G84</f>
        <v>1.0525250193566382</v>
      </c>
    </row>
    <row r="89" spans="1:16" x14ac:dyDescent="0.3">
      <c r="A89" t="s">
        <v>8</v>
      </c>
      <c r="B89">
        <v>2008.4</v>
      </c>
      <c r="C89">
        <v>672</v>
      </c>
      <c r="D89">
        <v>30.01</v>
      </c>
      <c r="E89">
        <v>37174</v>
      </c>
      <c r="F89">
        <v>5.4664919999999997</v>
      </c>
      <c r="G89">
        <v>213.84866666666699</v>
      </c>
      <c r="H89">
        <v>3.2346774193548402</v>
      </c>
      <c r="L89">
        <v>5.4664919999999997</v>
      </c>
      <c r="M89">
        <f>F85</f>
        <v>5.4518899999999997</v>
      </c>
      <c r="N89">
        <v>3.2346774193548402</v>
      </c>
      <c r="O89">
        <f>D89/D85</f>
        <v>1.0581805359661496</v>
      </c>
      <c r="P89">
        <f>G89/G85</f>
        <v>1.0159580280267122</v>
      </c>
    </row>
    <row r="90" spans="1:16" x14ac:dyDescent="0.3">
      <c r="A90" t="s">
        <v>8</v>
      </c>
      <c r="B90">
        <v>2009.1</v>
      </c>
      <c r="C90">
        <v>765</v>
      </c>
      <c r="D90">
        <v>30.04</v>
      </c>
      <c r="E90">
        <v>37939</v>
      </c>
      <c r="F90">
        <v>6.0339210000000003</v>
      </c>
      <c r="G90">
        <v>212.37766666666701</v>
      </c>
      <c r="H90">
        <v>2.7362295081967201</v>
      </c>
      <c r="L90">
        <v>6.0339210000000003</v>
      </c>
      <c r="M90">
        <f>F86</f>
        <v>5.3286939999999996</v>
      </c>
      <c r="N90">
        <v>2.7362295081967201</v>
      </c>
      <c r="O90">
        <f>D90/D86</f>
        <v>1.0152078404866509</v>
      </c>
      <c r="P90">
        <f>G90/G86</f>
        <v>0.99815763211861341</v>
      </c>
    </row>
    <row r="91" spans="1:16" x14ac:dyDescent="0.3">
      <c r="A91" t="s">
        <v>8</v>
      </c>
      <c r="B91">
        <v>2009.2</v>
      </c>
      <c r="C91">
        <v>44</v>
      </c>
      <c r="D91">
        <v>28.26</v>
      </c>
      <c r="E91">
        <v>37983</v>
      </c>
      <c r="F91">
        <v>6.5728140000000002</v>
      </c>
      <c r="G91">
        <v>213.50700000000001</v>
      </c>
      <c r="H91">
        <v>3.3207936507936502</v>
      </c>
      <c r="L91">
        <v>6.5728140000000002</v>
      </c>
      <c r="M91">
        <f>F87</f>
        <v>5.1411509999999998</v>
      </c>
      <c r="N91">
        <v>3.3207936507936502</v>
      </c>
      <c r="O91">
        <f>D91/D87</f>
        <v>0.94200000000000006</v>
      </c>
      <c r="P91">
        <f>G91/G87</f>
        <v>0.99057859956418914</v>
      </c>
    </row>
    <row r="92" spans="1:16" x14ac:dyDescent="0.3">
      <c r="A92" t="s">
        <v>8</v>
      </c>
      <c r="B92">
        <v>2009.3</v>
      </c>
      <c r="C92">
        <v>402</v>
      </c>
      <c r="D92">
        <v>26.96</v>
      </c>
      <c r="E92">
        <v>38385</v>
      </c>
      <c r="F92">
        <v>7.4134099999999998</v>
      </c>
      <c r="G92">
        <v>215.34399999999999</v>
      </c>
      <c r="H92">
        <v>3.5178124999999998</v>
      </c>
      <c r="L92">
        <v>7.4134099999999998</v>
      </c>
      <c r="M92">
        <f>F88</f>
        <v>5.1923089999999998</v>
      </c>
      <c r="N92">
        <v>3.5178124999999998</v>
      </c>
      <c r="O92">
        <f>D92/D88</f>
        <v>0.88801054018445325</v>
      </c>
      <c r="P92">
        <f>G92/G88</f>
        <v>0.98393043986822692</v>
      </c>
    </row>
    <row r="93" spans="1:16" x14ac:dyDescent="0.3">
      <c r="A93" t="s">
        <v>8</v>
      </c>
      <c r="B93">
        <v>2009.4</v>
      </c>
      <c r="C93">
        <v>30</v>
      </c>
      <c r="D93">
        <v>26.63</v>
      </c>
      <c r="E93">
        <v>38415</v>
      </c>
      <c r="F93">
        <v>7.7968799999999998</v>
      </c>
      <c r="G93">
        <v>217.03</v>
      </c>
      <c r="H93">
        <v>3.46403225806452</v>
      </c>
      <c r="L93">
        <v>7.7968799999999998</v>
      </c>
      <c r="M93">
        <f>F89</f>
        <v>5.4664919999999997</v>
      </c>
      <c r="N93">
        <v>3.46403225806452</v>
      </c>
      <c r="O93">
        <f>D93/D89</f>
        <v>0.88737087637454171</v>
      </c>
      <c r="P93">
        <f>G93/G89</f>
        <v>1.0148765638005677</v>
      </c>
    </row>
    <row r="94" spans="1:16" x14ac:dyDescent="0.3">
      <c r="A94" t="s">
        <v>8</v>
      </c>
      <c r="B94">
        <v>2010.1</v>
      </c>
      <c r="C94">
        <v>0</v>
      </c>
      <c r="D94">
        <v>26.16</v>
      </c>
      <c r="E94">
        <v>38415</v>
      </c>
      <c r="F94">
        <v>7.9131770000000001</v>
      </c>
      <c r="G94">
        <v>217.374</v>
      </c>
      <c r="H94">
        <v>3.71786885245902</v>
      </c>
      <c r="L94">
        <v>7.9131770000000001</v>
      </c>
      <c r="M94">
        <f>F90</f>
        <v>6.0339210000000003</v>
      </c>
      <c r="N94">
        <v>3.71786885245902</v>
      </c>
      <c r="O94">
        <f>D94/D90</f>
        <v>0.87083888149134492</v>
      </c>
      <c r="P94">
        <f>G94/G90</f>
        <v>1.0235257002854961</v>
      </c>
    </row>
    <row r="95" spans="1:16" x14ac:dyDescent="0.3">
      <c r="A95" t="s">
        <v>8</v>
      </c>
      <c r="B95">
        <v>2010.2</v>
      </c>
      <c r="C95">
        <v>34</v>
      </c>
      <c r="D95">
        <v>25.28</v>
      </c>
      <c r="E95">
        <v>38449</v>
      </c>
      <c r="F95">
        <v>8.3286259999999999</v>
      </c>
      <c r="G95">
        <v>217.297333333333</v>
      </c>
      <c r="H95">
        <v>3.4925000000000002</v>
      </c>
      <c r="L95">
        <v>8.3286259999999999</v>
      </c>
      <c r="M95">
        <f>F91</f>
        <v>6.5728140000000002</v>
      </c>
      <c r="N95">
        <v>3.4925000000000002</v>
      </c>
      <c r="O95">
        <f>D95/D91</f>
        <v>0.89455060155697097</v>
      </c>
      <c r="P95">
        <f>G95/G91</f>
        <v>1.0177527356636222</v>
      </c>
    </row>
    <row r="96" spans="1:16" x14ac:dyDescent="0.3">
      <c r="A96" t="s">
        <v>8</v>
      </c>
      <c r="B96">
        <v>2010.3</v>
      </c>
      <c r="C96">
        <v>0</v>
      </c>
      <c r="D96">
        <v>24.96</v>
      </c>
      <c r="E96">
        <v>38449</v>
      </c>
      <c r="F96">
        <v>8.145429</v>
      </c>
      <c r="G96">
        <v>217.934333333333</v>
      </c>
      <c r="H96">
        <v>2.7845312500000001</v>
      </c>
      <c r="L96">
        <v>8.145429</v>
      </c>
      <c r="M96">
        <f>F92</f>
        <v>7.4134099999999998</v>
      </c>
      <c r="N96">
        <v>2.7845312500000001</v>
      </c>
      <c r="O96">
        <f>D96/D92</f>
        <v>0.9258160237388724</v>
      </c>
      <c r="P96">
        <f>G96/G92</f>
        <v>1.0120288159100463</v>
      </c>
    </row>
    <row r="97" spans="1:16" x14ac:dyDescent="0.3">
      <c r="A97" t="s">
        <v>8</v>
      </c>
      <c r="B97">
        <v>2010.4</v>
      </c>
      <c r="C97">
        <v>314</v>
      </c>
      <c r="D97">
        <v>24.52</v>
      </c>
      <c r="E97">
        <v>38763</v>
      </c>
      <c r="F97">
        <v>8.1321849999999998</v>
      </c>
      <c r="G97">
        <v>219.69900000000001</v>
      </c>
      <c r="H97">
        <v>2.87838709677419</v>
      </c>
      <c r="L97">
        <v>8.1321849999999998</v>
      </c>
      <c r="M97">
        <f>F93</f>
        <v>7.7968799999999998</v>
      </c>
      <c r="N97">
        <v>2.87838709677419</v>
      </c>
      <c r="O97">
        <f>D97/D93</f>
        <v>0.92076605332331962</v>
      </c>
      <c r="P97">
        <f>G97/G93</f>
        <v>1.0122978390084321</v>
      </c>
    </row>
    <row r="98" spans="1:16" x14ac:dyDescent="0.3">
      <c r="A98" t="s">
        <v>8</v>
      </c>
      <c r="B98">
        <v>2011.1</v>
      </c>
      <c r="C98">
        <v>0</v>
      </c>
      <c r="D98">
        <v>24.14</v>
      </c>
      <c r="E98">
        <v>38763</v>
      </c>
      <c r="F98">
        <v>7.7895589999999997</v>
      </c>
      <c r="G98">
        <v>222.04366666666701</v>
      </c>
      <c r="H98">
        <v>3.4574193548387102</v>
      </c>
      <c r="L98">
        <v>7.7895589999999997</v>
      </c>
      <c r="M98">
        <f>F94</f>
        <v>7.9131770000000001</v>
      </c>
      <c r="N98">
        <v>3.4574193548387102</v>
      </c>
      <c r="O98">
        <f>D98/D94</f>
        <v>0.922782874617737</v>
      </c>
      <c r="P98">
        <f>G98/G94</f>
        <v>1.0214821766479294</v>
      </c>
    </row>
    <row r="99" spans="1:16" x14ac:dyDescent="0.3">
      <c r="A99" t="s">
        <v>8</v>
      </c>
      <c r="B99">
        <v>2011.2</v>
      </c>
      <c r="C99">
        <v>0</v>
      </c>
      <c r="D99">
        <v>24.04</v>
      </c>
      <c r="E99">
        <v>38763</v>
      </c>
      <c r="F99">
        <v>7.1082400000000003</v>
      </c>
      <c r="G99">
        <v>224.56833333333299</v>
      </c>
      <c r="H99">
        <v>3.2014285714285702</v>
      </c>
      <c r="L99">
        <v>7.1082400000000003</v>
      </c>
      <c r="M99">
        <f>F95</f>
        <v>8.3286259999999999</v>
      </c>
      <c r="N99">
        <v>3.2014285714285702</v>
      </c>
      <c r="O99">
        <f>D99/D95</f>
        <v>0.95094936708860756</v>
      </c>
      <c r="P99">
        <f>G99/G95</f>
        <v>1.0334610641026427</v>
      </c>
    </row>
    <row r="100" spans="1:16" x14ac:dyDescent="0.3">
      <c r="A100" t="s">
        <v>8</v>
      </c>
      <c r="B100">
        <v>2011.3</v>
      </c>
      <c r="C100">
        <v>0</v>
      </c>
      <c r="D100">
        <v>24.09</v>
      </c>
      <c r="E100">
        <v>38763</v>
      </c>
      <c r="F100">
        <v>6.4654379999999998</v>
      </c>
      <c r="G100">
        <v>226.03266666666701</v>
      </c>
      <c r="H100">
        <v>2.4142187499999999</v>
      </c>
      <c r="L100">
        <v>6.4654379999999998</v>
      </c>
      <c r="M100">
        <f>F96</f>
        <v>8.145429</v>
      </c>
      <c r="N100">
        <v>2.4142187499999999</v>
      </c>
      <c r="O100">
        <f>D100/D96</f>
        <v>0.96514423076923073</v>
      </c>
      <c r="P100">
        <f>G100/G96</f>
        <v>1.0371595113512817</v>
      </c>
    </row>
    <row r="101" spans="1:16" x14ac:dyDescent="0.3">
      <c r="A101" t="s">
        <v>8</v>
      </c>
      <c r="B101">
        <v>2011.4</v>
      </c>
      <c r="C101">
        <v>0</v>
      </c>
      <c r="D101">
        <v>24.09</v>
      </c>
      <c r="E101">
        <v>38763</v>
      </c>
      <c r="F101">
        <v>5.8690519999999999</v>
      </c>
      <c r="G101">
        <v>227.047333333333</v>
      </c>
      <c r="H101">
        <v>2.0467213114754101</v>
      </c>
      <c r="L101">
        <v>5.8690519999999999</v>
      </c>
      <c r="M101">
        <f>F97</f>
        <v>8.1321849999999998</v>
      </c>
      <c r="N101">
        <v>2.0467213114754101</v>
      </c>
      <c r="O101">
        <f>D101/D97</f>
        <v>0.98246329526916809</v>
      </c>
      <c r="P101">
        <f>G101/G97</f>
        <v>1.0334472771079204</v>
      </c>
    </row>
    <row r="102" spans="1:16" x14ac:dyDescent="0.3">
      <c r="A102" t="s">
        <v>8</v>
      </c>
      <c r="B102">
        <v>2012.1</v>
      </c>
      <c r="C102">
        <v>0</v>
      </c>
      <c r="D102">
        <v>24.38</v>
      </c>
      <c r="E102">
        <v>38763</v>
      </c>
      <c r="F102">
        <v>5.8495720000000002</v>
      </c>
      <c r="G102">
        <v>228.32599999999999</v>
      </c>
      <c r="H102">
        <v>2.04</v>
      </c>
      <c r="L102">
        <v>5.8495720000000002</v>
      </c>
      <c r="M102">
        <f>F98</f>
        <v>7.7895589999999997</v>
      </c>
      <c r="N102">
        <v>2.04</v>
      </c>
      <c r="O102">
        <f>D102/D98</f>
        <v>1.0099420049710024</v>
      </c>
      <c r="P102">
        <f>G102/G98</f>
        <v>1.0282932336132067</v>
      </c>
    </row>
    <row r="103" spans="1:16" x14ac:dyDescent="0.3">
      <c r="A103" t="s">
        <v>8</v>
      </c>
      <c r="B103">
        <v>2012.2</v>
      </c>
      <c r="C103">
        <v>0</v>
      </c>
      <c r="D103">
        <v>25.51</v>
      </c>
      <c r="E103">
        <v>38763</v>
      </c>
      <c r="F103">
        <v>5.5911119999999999</v>
      </c>
      <c r="G103">
        <v>228.80799999999999</v>
      </c>
      <c r="H103">
        <v>1.8257812499999999</v>
      </c>
      <c r="L103">
        <v>5.5911119999999999</v>
      </c>
      <c r="M103">
        <f>F99</f>
        <v>7.1082400000000003</v>
      </c>
      <c r="N103">
        <v>1.8257812499999999</v>
      </c>
      <c r="O103">
        <f>D103/D99</f>
        <v>1.0611480865224627</v>
      </c>
      <c r="P103">
        <f>G103/G99</f>
        <v>1.0188791830252129</v>
      </c>
    </row>
    <row r="104" spans="1:16" x14ac:dyDescent="0.3">
      <c r="A104" t="s">
        <v>8</v>
      </c>
      <c r="B104">
        <v>2012.3</v>
      </c>
      <c r="C104">
        <v>310</v>
      </c>
      <c r="D104">
        <v>26.78</v>
      </c>
      <c r="E104">
        <v>39073</v>
      </c>
      <c r="F104">
        <v>5.6054339999999998</v>
      </c>
      <c r="G104">
        <v>229.84100000000001</v>
      </c>
      <c r="H104">
        <v>1.6412698412698401</v>
      </c>
      <c r="L104">
        <v>5.6054339999999998</v>
      </c>
      <c r="M104">
        <f>F100</f>
        <v>6.4654379999999998</v>
      </c>
      <c r="N104">
        <v>1.6412698412698401</v>
      </c>
      <c r="O104">
        <f>D104/D100</f>
        <v>1.1116645911166461</v>
      </c>
      <c r="P104">
        <f>G104/G100</f>
        <v>1.0168485971054315</v>
      </c>
    </row>
    <row r="105" spans="1:16" x14ac:dyDescent="0.3">
      <c r="A105" t="s">
        <v>8</v>
      </c>
      <c r="B105">
        <v>2012.4</v>
      </c>
      <c r="C105">
        <v>0</v>
      </c>
      <c r="D105">
        <v>27.01</v>
      </c>
      <c r="E105">
        <v>39073</v>
      </c>
      <c r="F105">
        <v>5.5982459999999996</v>
      </c>
      <c r="G105">
        <v>231.369333333333</v>
      </c>
      <c r="H105">
        <v>1.70704918032787</v>
      </c>
      <c r="L105">
        <v>5.5982459999999996</v>
      </c>
      <c r="M105">
        <f>F101</f>
        <v>5.8690519999999999</v>
      </c>
      <c r="N105">
        <v>1.70704918032787</v>
      </c>
      <c r="O105">
        <f>D105/D101</f>
        <v>1.1212121212121213</v>
      </c>
      <c r="P105">
        <f>G105/G101</f>
        <v>1.0190356783167094</v>
      </c>
    </row>
    <row r="106" spans="1:16" x14ac:dyDescent="0.3">
      <c r="A106" t="s">
        <v>8</v>
      </c>
      <c r="B106">
        <v>2013.1</v>
      </c>
      <c r="C106">
        <v>427</v>
      </c>
      <c r="D106">
        <v>26.99</v>
      </c>
      <c r="E106">
        <v>39500</v>
      </c>
      <c r="F106">
        <v>5.4316909999999998</v>
      </c>
      <c r="G106">
        <v>232.29933333333301</v>
      </c>
      <c r="H106">
        <v>1.9510000000000001</v>
      </c>
      <c r="L106">
        <v>5.4316909999999998</v>
      </c>
      <c r="M106">
        <f>F102</f>
        <v>5.8495720000000002</v>
      </c>
      <c r="N106">
        <v>1.9510000000000001</v>
      </c>
      <c r="O106">
        <f>D106/D102</f>
        <v>1.1070549630844955</v>
      </c>
      <c r="P106">
        <f>G106/G102</f>
        <v>1.0174020187509658</v>
      </c>
    </row>
    <row r="107" spans="1:16" x14ac:dyDescent="0.3">
      <c r="A107" t="s">
        <v>8</v>
      </c>
      <c r="B107">
        <v>2013.2</v>
      </c>
      <c r="C107">
        <v>430</v>
      </c>
      <c r="D107">
        <v>27.63</v>
      </c>
      <c r="E107">
        <v>39930</v>
      </c>
      <c r="F107">
        <v>5.5642009999999997</v>
      </c>
      <c r="G107">
        <v>232.04499999999999</v>
      </c>
      <c r="H107">
        <v>1.9862500000000001</v>
      </c>
      <c r="L107">
        <v>5.5642009999999997</v>
      </c>
      <c r="M107">
        <f>F103</f>
        <v>5.5911119999999999</v>
      </c>
      <c r="N107">
        <v>1.9862500000000001</v>
      </c>
      <c r="O107">
        <f>D107/D103</f>
        <v>1.0831046648373186</v>
      </c>
      <c r="P107">
        <f>G107/G103</f>
        <v>1.0141472326142442</v>
      </c>
    </row>
    <row r="108" spans="1:16" x14ac:dyDescent="0.3">
      <c r="A108" t="s">
        <v>8</v>
      </c>
      <c r="B108">
        <v>2013.3</v>
      </c>
      <c r="C108">
        <v>610</v>
      </c>
      <c r="D108">
        <v>27.95</v>
      </c>
      <c r="E108">
        <v>40540</v>
      </c>
      <c r="F108">
        <v>5.7061349999999997</v>
      </c>
      <c r="G108">
        <v>233.3</v>
      </c>
      <c r="H108">
        <v>2.7065625</v>
      </c>
      <c r="L108">
        <v>5.7061349999999997</v>
      </c>
      <c r="M108">
        <f>F104</f>
        <v>5.6054339999999998</v>
      </c>
      <c r="N108">
        <v>2.7065625</v>
      </c>
      <c r="O108">
        <f>D108/D104</f>
        <v>1.0436893203883495</v>
      </c>
      <c r="P108">
        <f>G108/G104</f>
        <v>1.0150495342432377</v>
      </c>
    </row>
    <row r="109" spans="1:16" x14ac:dyDescent="0.3">
      <c r="A109" t="s">
        <v>8</v>
      </c>
      <c r="B109">
        <v>2013.4</v>
      </c>
      <c r="C109">
        <v>179</v>
      </c>
      <c r="D109">
        <v>28.04</v>
      </c>
      <c r="E109">
        <v>40719</v>
      </c>
      <c r="F109">
        <v>5.7349050000000004</v>
      </c>
      <c r="G109">
        <v>234.16266666666701</v>
      </c>
      <c r="H109">
        <v>2.7441935483870998</v>
      </c>
      <c r="L109">
        <v>5.7349050000000004</v>
      </c>
      <c r="M109">
        <f>F105</f>
        <v>5.5982459999999996</v>
      </c>
      <c r="N109">
        <v>2.7441935483870998</v>
      </c>
      <c r="O109">
        <f>D109/D105</f>
        <v>1.0381340244353943</v>
      </c>
      <c r="P109">
        <f>G109/G105</f>
        <v>1.0120730491508556</v>
      </c>
    </row>
    <row r="110" spans="1:16" x14ac:dyDescent="0.3">
      <c r="A110" t="s">
        <v>8</v>
      </c>
      <c r="B110">
        <v>2014.1</v>
      </c>
      <c r="C110">
        <v>131</v>
      </c>
      <c r="D110">
        <v>28.13</v>
      </c>
      <c r="E110">
        <v>40850</v>
      </c>
      <c r="F110">
        <v>5.7025670000000002</v>
      </c>
      <c r="G110">
        <v>235.62100000000001</v>
      </c>
      <c r="H110">
        <v>2.7654098360655701</v>
      </c>
      <c r="L110">
        <v>5.7025670000000002</v>
      </c>
      <c r="M110">
        <f>F106</f>
        <v>5.4316909999999998</v>
      </c>
      <c r="N110">
        <v>2.7654098360655701</v>
      </c>
      <c r="O110">
        <f>D110/D106</f>
        <v>1.0422378658762506</v>
      </c>
      <c r="P110">
        <f>G110/G106</f>
        <v>1.0142990796357587</v>
      </c>
    </row>
    <row r="111" spans="1:16" x14ac:dyDescent="0.3">
      <c r="A111" t="s">
        <v>8</v>
      </c>
      <c r="B111">
        <v>2014.2</v>
      </c>
      <c r="C111">
        <v>224</v>
      </c>
      <c r="D111">
        <v>28.24</v>
      </c>
      <c r="E111">
        <v>41074</v>
      </c>
      <c r="F111">
        <v>5.4960469999999999</v>
      </c>
      <c r="G111">
        <v>236.87233333333299</v>
      </c>
      <c r="H111">
        <v>2.6209523809523798</v>
      </c>
      <c r="L111">
        <v>5.4960469999999999</v>
      </c>
      <c r="M111">
        <f>F107</f>
        <v>5.5642009999999997</v>
      </c>
      <c r="N111">
        <v>2.6209523809523798</v>
      </c>
      <c r="O111">
        <f>D111/D107</f>
        <v>1.0220774520448788</v>
      </c>
      <c r="P111">
        <f>G111/G107</f>
        <v>1.0208034361151199</v>
      </c>
    </row>
    <row r="112" spans="1:16" x14ac:dyDescent="0.3">
      <c r="A112" t="s">
        <v>8</v>
      </c>
      <c r="B112">
        <v>2014.3</v>
      </c>
      <c r="C112">
        <v>0</v>
      </c>
      <c r="D112">
        <v>29.2</v>
      </c>
      <c r="E112">
        <v>41074</v>
      </c>
      <c r="F112">
        <v>5.471571</v>
      </c>
      <c r="G112">
        <v>237.47833333333301</v>
      </c>
      <c r="H112">
        <v>2.49953125</v>
      </c>
      <c r="L112">
        <v>5.471571</v>
      </c>
      <c r="M112">
        <f>F108</f>
        <v>5.7061349999999997</v>
      </c>
      <c r="N112">
        <v>2.49953125</v>
      </c>
      <c r="O112">
        <f>D112/D108</f>
        <v>1.0447227191413238</v>
      </c>
      <c r="P112">
        <f>G112/G108</f>
        <v>1.0179097013859109</v>
      </c>
    </row>
    <row r="113" spans="1:16" x14ac:dyDescent="0.3">
      <c r="A113" t="s">
        <v>8</v>
      </c>
      <c r="B113">
        <v>2014.4</v>
      </c>
      <c r="C113">
        <v>285</v>
      </c>
      <c r="D113">
        <v>28.85</v>
      </c>
      <c r="E113">
        <v>41359</v>
      </c>
      <c r="F113">
        <v>5.4323969999999999</v>
      </c>
      <c r="G113">
        <v>236.88833333333301</v>
      </c>
      <c r="H113">
        <v>2.2759677419354798</v>
      </c>
      <c r="L113">
        <v>5.4323969999999999</v>
      </c>
      <c r="M113">
        <f>F109</f>
        <v>5.7349050000000004</v>
      </c>
      <c r="N113">
        <v>2.2759677419354798</v>
      </c>
      <c r="O113">
        <f>D113/D109</f>
        <v>1.0288873038516406</v>
      </c>
      <c r="P113">
        <f>G113/G109</f>
        <v>1.0116400564849477</v>
      </c>
    </row>
    <row r="114" spans="1:16" x14ac:dyDescent="0.3">
      <c r="A114" t="s">
        <v>8</v>
      </c>
      <c r="B114">
        <v>2015.1</v>
      </c>
      <c r="C114">
        <v>371</v>
      </c>
      <c r="D114">
        <v>29.9</v>
      </c>
      <c r="E114">
        <v>41730</v>
      </c>
      <c r="F114">
        <v>5.3014650000000003</v>
      </c>
      <c r="G114">
        <v>235.35499999999999</v>
      </c>
      <c r="H114">
        <v>1.9688524590163901</v>
      </c>
      <c r="L114">
        <v>5.3014650000000003</v>
      </c>
      <c r="M114">
        <f>F110</f>
        <v>5.7025670000000002</v>
      </c>
      <c r="N114">
        <v>1.9688524590163901</v>
      </c>
      <c r="O114">
        <f>D114/D110</f>
        <v>1.0629221471738357</v>
      </c>
      <c r="P114">
        <f>G114/G110</f>
        <v>0.99887106836826933</v>
      </c>
    </row>
    <row r="115" spans="1:16" x14ac:dyDescent="0.3">
      <c r="A115" t="s">
        <v>8</v>
      </c>
      <c r="B115">
        <v>2015.2</v>
      </c>
      <c r="C115">
        <v>0</v>
      </c>
      <c r="D115">
        <v>30.95</v>
      </c>
      <c r="E115">
        <v>41730</v>
      </c>
      <c r="F115">
        <v>5.3635510000000002</v>
      </c>
      <c r="G115">
        <v>236.96</v>
      </c>
      <c r="H115">
        <v>2.1643750000000002</v>
      </c>
      <c r="L115">
        <v>5.3635510000000002</v>
      </c>
      <c r="M115">
        <f>F111</f>
        <v>5.4960469999999999</v>
      </c>
      <c r="N115">
        <v>2.1643750000000002</v>
      </c>
      <c r="O115">
        <f>D115/D111</f>
        <v>1.0959631728045327</v>
      </c>
      <c r="P115">
        <f>G115/G111</f>
        <v>1.0003701009123074</v>
      </c>
    </row>
    <row r="116" spans="1:16" x14ac:dyDescent="0.3">
      <c r="A116" t="s">
        <v>8</v>
      </c>
      <c r="B116">
        <v>2015.3</v>
      </c>
      <c r="C116">
        <v>1443</v>
      </c>
      <c r="D116">
        <v>32.090000000000003</v>
      </c>
      <c r="E116">
        <v>43173</v>
      </c>
      <c r="F116">
        <v>5.1388340000000001</v>
      </c>
      <c r="G116">
        <v>237.85499999999999</v>
      </c>
      <c r="H116">
        <v>2.223125</v>
      </c>
      <c r="L116">
        <v>5.1388340000000001</v>
      </c>
      <c r="M116">
        <f>F112</f>
        <v>5.471571</v>
      </c>
      <c r="N116">
        <v>2.223125</v>
      </c>
      <c r="O116">
        <f>D116/D112</f>
        <v>1.0989726027397262</v>
      </c>
      <c r="P116">
        <f>G116/G112</f>
        <v>1.0015861096100007</v>
      </c>
    </row>
    <row r="117" spans="1:16" x14ac:dyDescent="0.3">
      <c r="A117" t="s">
        <v>8</v>
      </c>
      <c r="B117">
        <v>2015.4</v>
      </c>
      <c r="C117">
        <v>942</v>
      </c>
      <c r="D117">
        <v>33.08</v>
      </c>
      <c r="E117">
        <v>44115</v>
      </c>
      <c r="F117">
        <v>4.9349959999999999</v>
      </c>
      <c r="G117">
        <v>237.83699999999999</v>
      </c>
      <c r="H117">
        <v>2.1904838709677401</v>
      </c>
      <c r="L117">
        <v>4.9349959999999999</v>
      </c>
      <c r="M117">
        <f>F113</f>
        <v>5.4323969999999999</v>
      </c>
      <c r="N117">
        <v>2.1904838709677401</v>
      </c>
      <c r="O117">
        <f>D117/D113</f>
        <v>1.1466204506065856</v>
      </c>
      <c r="P117">
        <f>G117/G113</f>
        <v>1.0040046998234062</v>
      </c>
    </row>
    <row r="118" spans="1:16" x14ac:dyDescent="0.3">
      <c r="A118" t="s">
        <v>8</v>
      </c>
      <c r="B118">
        <v>2016.1</v>
      </c>
      <c r="C118">
        <v>1192</v>
      </c>
      <c r="D118">
        <v>34.06</v>
      </c>
      <c r="E118">
        <v>45307</v>
      </c>
      <c r="F118">
        <v>4.8659230000000004</v>
      </c>
      <c r="G118">
        <v>237.689333333333</v>
      </c>
      <c r="H118">
        <v>1.9142619999999999</v>
      </c>
      <c r="L118">
        <v>4.8659230000000004</v>
      </c>
      <c r="M118">
        <f>F114</f>
        <v>5.3014650000000003</v>
      </c>
      <c r="N118">
        <v>1.9142619999999999</v>
      </c>
      <c r="O118">
        <f>D118/D114</f>
        <v>1.1391304347826088</v>
      </c>
      <c r="P118">
        <f>G118/G114</f>
        <v>1.0099183502935267</v>
      </c>
    </row>
    <row r="119" spans="1:16" x14ac:dyDescent="0.3">
      <c r="A119" t="s">
        <v>8</v>
      </c>
      <c r="B119">
        <v>2016.2</v>
      </c>
      <c r="C119">
        <v>221</v>
      </c>
      <c r="D119">
        <v>35.17</v>
      </c>
      <c r="E119">
        <v>45528</v>
      </c>
      <c r="F119">
        <v>4.7552269999999996</v>
      </c>
      <c r="G119">
        <v>239.59033333333301</v>
      </c>
      <c r="H119">
        <v>1.750156</v>
      </c>
      <c r="L119">
        <v>4.7552269999999996</v>
      </c>
      <c r="M119">
        <f>F115</f>
        <v>5.3635510000000002</v>
      </c>
      <c r="N119">
        <v>1.750156</v>
      </c>
      <c r="O119">
        <f>D119/D115</f>
        <v>1.1363489499192245</v>
      </c>
      <c r="P119">
        <f>G119/G115</f>
        <v>1.0111003263560643</v>
      </c>
    </row>
    <row r="120" spans="1:16" x14ac:dyDescent="0.3">
      <c r="A120" t="s">
        <v>8</v>
      </c>
      <c r="B120">
        <v>2016.3</v>
      </c>
      <c r="C120">
        <v>597</v>
      </c>
      <c r="D120">
        <v>35.5</v>
      </c>
      <c r="E120">
        <v>46125</v>
      </c>
      <c r="F120">
        <v>4.7117240000000002</v>
      </c>
      <c r="G120">
        <v>240.607333333333</v>
      </c>
      <c r="H120">
        <v>1.5643750000000001</v>
      </c>
      <c r="L120">
        <v>4.7117240000000002</v>
      </c>
      <c r="M120">
        <f>F116</f>
        <v>5.1388340000000001</v>
      </c>
      <c r="N120">
        <v>1.5643750000000001</v>
      </c>
      <c r="O120">
        <f>D120/D116</f>
        <v>1.1062636335306948</v>
      </c>
      <c r="P120">
        <f>G120/G116</f>
        <v>1.011571475618898</v>
      </c>
    </row>
    <row r="121" spans="1:16" x14ac:dyDescent="0.3">
      <c r="A121" t="s">
        <v>8</v>
      </c>
      <c r="B121">
        <v>2016.4</v>
      </c>
      <c r="C121">
        <v>441</v>
      </c>
      <c r="D121">
        <v>35.950000000000003</v>
      </c>
      <c r="E121">
        <v>46566</v>
      </c>
      <c r="F121">
        <v>4.7705739999999999</v>
      </c>
      <c r="G121">
        <v>242.13466666666699</v>
      </c>
      <c r="H121">
        <v>2.1386889999999998</v>
      </c>
      <c r="L121">
        <v>4.7705739999999999</v>
      </c>
      <c r="M121">
        <f>F117</f>
        <v>4.9349959999999999</v>
      </c>
      <c r="N121">
        <v>2.1386889999999998</v>
      </c>
      <c r="O121">
        <f>D121/D117</f>
        <v>1.086759371221282</v>
      </c>
      <c r="P121">
        <f>G121/G117</f>
        <v>1.0180697985034581</v>
      </c>
    </row>
    <row r="122" spans="1:16" x14ac:dyDescent="0.3">
      <c r="A122" t="s">
        <v>8</v>
      </c>
      <c r="B122">
        <v>2017.1</v>
      </c>
      <c r="C122">
        <v>578</v>
      </c>
      <c r="D122">
        <v>36.53</v>
      </c>
      <c r="E122">
        <v>47144</v>
      </c>
      <c r="F122">
        <v>4.7252029999999996</v>
      </c>
      <c r="G122">
        <v>243.838666666667</v>
      </c>
      <c r="H122">
        <v>2.4466130000000001</v>
      </c>
      <c r="L122">
        <v>4.7252029999999996</v>
      </c>
      <c r="M122">
        <f>F118</f>
        <v>4.8659230000000004</v>
      </c>
      <c r="N122">
        <v>2.4466130000000001</v>
      </c>
      <c r="O122">
        <f>D122/D118</f>
        <v>1.0725190839694656</v>
      </c>
      <c r="P122">
        <f>G122/G118</f>
        <v>1.0258713054014512</v>
      </c>
    </row>
    <row r="123" spans="1:16" x14ac:dyDescent="0.3">
      <c r="A123" t="s">
        <v>8</v>
      </c>
      <c r="B123">
        <v>2017.2</v>
      </c>
      <c r="C123">
        <v>732</v>
      </c>
      <c r="D123">
        <v>36.57</v>
      </c>
      <c r="E123">
        <v>47876</v>
      </c>
      <c r="F123">
        <v>4.7225149999999996</v>
      </c>
      <c r="G123">
        <v>244.12</v>
      </c>
      <c r="H123">
        <v>2.2609520000000001</v>
      </c>
      <c r="L123">
        <v>4.7225149999999996</v>
      </c>
      <c r="M123">
        <f>F119</f>
        <v>4.7552269999999996</v>
      </c>
      <c r="N123">
        <v>2.2609520000000001</v>
      </c>
      <c r="O123">
        <f>D123/D119</f>
        <v>1.0398066533977821</v>
      </c>
      <c r="P123">
        <f>G123/G119</f>
        <v>1.018905882402046</v>
      </c>
    </row>
    <row r="124" spans="1:16" x14ac:dyDescent="0.3">
      <c r="A124" t="s">
        <v>8</v>
      </c>
      <c r="B124">
        <v>2017.3</v>
      </c>
      <c r="C124">
        <v>1126</v>
      </c>
      <c r="D124">
        <v>36.5</v>
      </c>
      <c r="E124">
        <v>49002</v>
      </c>
      <c r="F124">
        <v>4.7311750000000004</v>
      </c>
      <c r="G124">
        <v>245.28700000000001</v>
      </c>
      <c r="H124">
        <v>2.2414290000000001</v>
      </c>
      <c r="L124">
        <v>4.7311750000000004</v>
      </c>
      <c r="M124">
        <f>F120</f>
        <v>4.7117240000000002</v>
      </c>
      <c r="N124">
        <v>2.2414290000000001</v>
      </c>
      <c r="O124">
        <f>D124/D120</f>
        <v>1.028169014084507</v>
      </c>
      <c r="P124">
        <f>G124/G120</f>
        <v>1.019449393340742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F518-9BC5-49D2-942F-1D1E3F07305C}">
  <dimension ref="A1:M12"/>
  <sheetViews>
    <sheetView workbookViewId="0">
      <selection activeCell="K8" sqref="K8"/>
    </sheetView>
  </sheetViews>
  <sheetFormatPr defaultRowHeight="14.4" x14ac:dyDescent="0.3"/>
  <cols>
    <col min="1" max="1" width="13.44140625" bestFit="1" customWidth="1"/>
    <col min="2" max="3" width="6.5546875" bestFit="1" customWidth="1"/>
    <col min="4" max="4" width="8.33203125" bestFit="1" customWidth="1"/>
    <col min="5" max="5" width="4.33203125" bestFit="1" customWidth="1"/>
    <col min="6" max="7" width="11.77734375" bestFit="1" customWidth="1"/>
    <col min="8" max="8" width="7.6640625" bestFit="1" customWidth="1"/>
    <col min="9" max="9" width="10.77734375" bestFit="1" customWidth="1"/>
    <col min="11" max="11" width="8.21875" bestFit="1" customWidth="1"/>
    <col min="12" max="12" width="15.6640625" customWidth="1"/>
    <col min="13" max="13" width="8.21875" bestFit="1" customWidth="1"/>
  </cols>
  <sheetData>
    <row r="1" spans="1:13" ht="18" x14ac:dyDescent="0.35">
      <c r="A1" s="7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3">
      <c r="A3" s="8"/>
      <c r="B3" s="13" t="s">
        <v>19</v>
      </c>
      <c r="C3" s="13"/>
      <c r="D3" s="13"/>
      <c r="E3" s="13"/>
      <c r="F3" s="15" t="s">
        <v>35</v>
      </c>
      <c r="G3" s="15"/>
      <c r="H3" s="15"/>
      <c r="I3" s="15"/>
      <c r="J3" s="17" t="s">
        <v>50</v>
      </c>
      <c r="K3" s="17"/>
      <c r="L3" s="17"/>
      <c r="M3" s="17"/>
    </row>
    <row r="4" spans="1:13" x14ac:dyDescent="0.3">
      <c r="A4" s="12" t="s">
        <v>51</v>
      </c>
      <c r="B4" s="14" t="s">
        <v>52</v>
      </c>
      <c r="C4" s="14" t="s">
        <v>53</v>
      </c>
      <c r="D4" s="14" t="s">
        <v>54</v>
      </c>
      <c r="E4" s="14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8" t="s">
        <v>29</v>
      </c>
      <c r="K4" s="18" t="s">
        <v>16</v>
      </c>
      <c r="L4" s="18" t="s">
        <v>4</v>
      </c>
      <c r="M4" s="18" t="s">
        <v>17</v>
      </c>
    </row>
    <row r="5" spans="1:13" x14ac:dyDescent="0.3">
      <c r="A5" s="10" t="s">
        <v>14</v>
      </c>
      <c r="B5" s="9">
        <f>'Model 1 ATL'!B5</f>
        <v>0.52095650023593698</v>
      </c>
      <c r="C5" s="9">
        <f>'Model 1 ATL'!B6</f>
        <v>0.50845971328557016</v>
      </c>
      <c r="D5" s="9">
        <f>'Model 1 ATL'!B7</f>
        <v>0.96119496609582311</v>
      </c>
      <c r="E5" s="10">
        <f>'Model 1 ATL'!B8</f>
        <v>119</v>
      </c>
      <c r="F5" s="9">
        <f>'Model 1 ATL'!B17</f>
        <v>3.5751792313385558</v>
      </c>
      <c r="G5" s="9">
        <f>'Model 1 ATL'!B18</f>
        <v>0.71464442396817329</v>
      </c>
      <c r="H5" s="9">
        <f>'Model 1 ATL'!B19</f>
        <v>7.4887427980389679E-2</v>
      </c>
      <c r="I5" s="9">
        <f>'Model 1 ATL'!B20</f>
        <v>-1.9126114879407081</v>
      </c>
      <c r="J5" s="11">
        <f>'Model 1 ATL'!E17</f>
        <v>6.76807893501713E-2</v>
      </c>
      <c r="K5" s="11">
        <f>'Model 1 ATL'!E18</f>
        <v>6.6078277127698794E-18</v>
      </c>
      <c r="L5" s="11">
        <f>'Model 1 ATL'!E19</f>
        <v>8.7805293854993791E-2</v>
      </c>
      <c r="M5" s="11">
        <f>'Model 1 ATL'!E20</f>
        <v>0.30688087527446822</v>
      </c>
    </row>
    <row r="6" spans="1:13" x14ac:dyDescent="0.3">
      <c r="A6" s="10" t="s">
        <v>3</v>
      </c>
      <c r="B6" s="9">
        <f>'Model1 Bos'!B5</f>
        <v>0.72841355255374751</v>
      </c>
      <c r="C6" s="9">
        <f>'Model1 Bos'!B6</f>
        <v>0.72132868870732347</v>
      </c>
      <c r="D6" s="9">
        <f>'Model1 Bos'!B7</f>
        <v>0.91712387310773869</v>
      </c>
      <c r="E6" s="10">
        <f>'Model1 Bos'!B8</f>
        <v>119</v>
      </c>
      <c r="F6" s="9">
        <f>'Model1 Bos'!B17</f>
        <v>2.9797851249097702</v>
      </c>
      <c r="G6" s="9">
        <f>'Model1 Bos'!B18</f>
        <v>0.84455618371599872</v>
      </c>
      <c r="H6" s="9">
        <f>'Model1 Bos'!B19</f>
        <v>6.7168611368123146E-2</v>
      </c>
      <c r="I6" s="9">
        <f>'Model1 Bos'!B20</f>
        <v>-2.2963516765320144</v>
      </c>
      <c r="J6" s="11">
        <f>'Model1 Bos'!E17</f>
        <v>5.9020636804312768E-4</v>
      </c>
      <c r="K6" s="11">
        <f>'Model1 Bos'!E18</f>
        <v>5.8093207104555377E-27</v>
      </c>
      <c r="L6" s="11">
        <f>'Model1 Bos'!E19</f>
        <v>0.15326937630970666</v>
      </c>
      <c r="M6" s="11">
        <f>'Model1 Bos'!E20</f>
        <v>2.8185317315437453E-3</v>
      </c>
    </row>
    <row r="7" spans="1:13" x14ac:dyDescent="0.3">
      <c r="A7" s="10" t="s">
        <v>2</v>
      </c>
      <c r="B7" s="9">
        <f>'Model 1 Chi'!B5</f>
        <v>0.69018211136640006</v>
      </c>
      <c r="C7" s="9">
        <f>'Model 1 Chi'!B6</f>
        <v>0.68209990557595834</v>
      </c>
      <c r="D7" s="9">
        <f>'Model 1 Chi'!B7</f>
        <v>0.70102626831119752</v>
      </c>
      <c r="E7" s="10">
        <f>'Model 1 Chi'!B8</f>
        <v>119</v>
      </c>
      <c r="F7" s="9">
        <f>'Model 1 Chi'!B17</f>
        <v>4.4476366989957663</v>
      </c>
      <c r="G7" s="9">
        <f>'Model 1 Chi'!B18</f>
        <v>0.81966887624713458</v>
      </c>
      <c r="H7" s="9">
        <f>'Model 1 Chi'!B19</f>
        <v>8.3104673470897936E-2</v>
      </c>
      <c r="I7" s="9">
        <f>'Model 1 Chi'!B20</f>
        <v>-3.6133749877689834</v>
      </c>
      <c r="J7" s="11">
        <f>'Model 1 Chi'!E17</f>
        <v>1.6929447151501603E-3</v>
      </c>
      <c r="K7" s="11">
        <f>'Model 1 Chi'!E18</f>
        <v>5.7700801632357078E-27</v>
      </c>
      <c r="L7" s="11">
        <f>'Model 1 Chi'!E19</f>
        <v>1.2865417457723264E-2</v>
      </c>
      <c r="M7" s="11">
        <f>'Model 1 Chi'!E20</f>
        <v>1.0159341204832797E-2</v>
      </c>
    </row>
    <row r="8" spans="1:13" x14ac:dyDescent="0.3">
      <c r="A8" s="10" t="s">
        <v>1</v>
      </c>
      <c r="B8" s="9">
        <f>'Model1 Dallas'!B5</f>
        <v>0.80144664634909479</v>
      </c>
      <c r="C8" s="9">
        <f>'Model1 Dallas'!B6</f>
        <v>0.79626699364515818</v>
      </c>
      <c r="D8" s="9">
        <f>'Model1 Dallas'!B7</f>
        <v>0.8101369749136863</v>
      </c>
      <c r="E8" s="10">
        <f>'Model1 Dallas'!B8</f>
        <v>119</v>
      </c>
      <c r="F8" s="9">
        <f>'Model1 Dallas'!B17</f>
        <v>2.0865650570679337</v>
      </c>
      <c r="G8" s="9">
        <f>'Model1 Dallas'!B18</f>
        <v>0.83782770202118739</v>
      </c>
      <c r="H8" s="9">
        <f>'Model1 Dallas'!B19</f>
        <v>0.16169399990416342</v>
      </c>
      <c r="I8" s="9">
        <f>'Model1 Dallas'!B20</f>
        <v>-1.6451235038908993</v>
      </c>
      <c r="J8" s="11">
        <f>'Model1 Dallas'!E17</f>
        <v>4.3157485381480287E-2</v>
      </c>
      <c r="K8" s="11">
        <f>'Model1 Dallas'!E18</f>
        <v>3.7384670255637319E-39</v>
      </c>
      <c r="L8" s="11">
        <f>'Model1 Dallas'!E19</f>
        <v>1.7097450682391697E-5</v>
      </c>
      <c r="M8" s="11">
        <f>'Model1 Dallas'!E20</f>
        <v>9.6379503964113725E-2</v>
      </c>
    </row>
    <row r="9" spans="1:13" x14ac:dyDescent="0.3">
      <c r="A9" s="10" t="s">
        <v>6</v>
      </c>
      <c r="B9" s="9">
        <f>'Model1 NY'!B5</f>
        <v>0.81302786084963308</v>
      </c>
      <c r="C9" s="9">
        <f>'Model1 NY'!B6</f>
        <v>0.80815032678484089</v>
      </c>
      <c r="D9" s="9">
        <f>'Model1 NY'!B7</f>
        <v>0.73478160732494247</v>
      </c>
      <c r="E9" s="10">
        <f>'Model1 NY'!B8</f>
        <v>119</v>
      </c>
      <c r="F9" s="9">
        <f>'Model1 NY'!B17</f>
        <v>4.1982002513012544</v>
      </c>
      <c r="G9" s="9">
        <f>'Model1 NY'!B18</f>
        <v>0.80544028766169695</v>
      </c>
      <c r="H9" s="9">
        <f>'Model1 NY'!B19</f>
        <v>0.12301427733122648</v>
      </c>
      <c r="I9" s="9">
        <f>'Model1 NY'!B20</f>
        <v>-3.5382127218267803</v>
      </c>
      <c r="J9" s="11">
        <f>'Model1 NY'!E17</f>
        <v>2.2030367343178703E-6</v>
      </c>
      <c r="K9" s="11">
        <f>'Model1 NY'!E18</f>
        <v>2.102844897756962E-28</v>
      </c>
      <c r="L9" s="11">
        <f>'Model1 NY'!E19</f>
        <v>3.4495786610855704E-3</v>
      </c>
      <c r="M9" s="11">
        <f>'Model1 NY'!E20</f>
        <v>6.8724186248908485E-6</v>
      </c>
    </row>
    <row r="10" spans="1:13" x14ac:dyDescent="0.3">
      <c r="A10" s="10" t="s">
        <v>15</v>
      </c>
      <c r="B10" s="9">
        <f>'Model1 OC'!B5</f>
        <v>0.86509296380714473</v>
      </c>
      <c r="C10" s="9">
        <f>'Model1 OC'!B6</f>
        <v>0.86157364981950502</v>
      </c>
      <c r="D10" s="9">
        <f>'Model1 OC'!B7</f>
        <v>0.58152413452218532</v>
      </c>
      <c r="E10" s="10">
        <f>'Model1 OC'!B8</f>
        <v>119</v>
      </c>
      <c r="F10" s="9">
        <f>'Model1 OC'!B17</f>
        <v>4.4389029607500552</v>
      </c>
      <c r="G10" s="9">
        <f>'Model1 OC'!B18</f>
        <v>0.91606644854716035</v>
      </c>
      <c r="H10" s="9">
        <f>'Model1 OC'!B19</f>
        <v>4.1569461915690137E-2</v>
      </c>
      <c r="I10" s="9">
        <f>'Model1 OC'!B20</f>
        <v>-4.1194907974739055</v>
      </c>
      <c r="J10" s="11">
        <f>'Model1 OC'!E17</f>
        <v>6.5950646415391964E-8</v>
      </c>
      <c r="K10" s="11">
        <f>'Model1 OC'!E18</f>
        <v>7.5033980360705551E-36</v>
      </c>
      <c r="L10" s="11">
        <f>'Model1 OC'!E19</f>
        <v>0.25158724345007805</v>
      </c>
      <c r="M10" s="11">
        <f>'Model1 OC'!E20</f>
        <v>2.601112848705448E-7</v>
      </c>
    </row>
    <row r="11" spans="1:13" x14ac:dyDescent="0.3">
      <c r="A11" s="10" t="s">
        <v>7</v>
      </c>
      <c r="B11" s="9">
        <f>'Model1 SD'!B5</f>
        <v>0.87749325046447779</v>
      </c>
      <c r="C11" s="9">
        <f>'Model1 SD'!B6</f>
        <v>0.87429742221572504</v>
      </c>
      <c r="D11" s="9">
        <f>'Model1 SD'!B7</f>
        <v>0.5924890188268882</v>
      </c>
      <c r="E11" s="10">
        <f>'Model1 SD'!B8</f>
        <v>119</v>
      </c>
      <c r="F11" s="9">
        <f>'Model1 SD'!B17</f>
        <v>3.1731828234480188</v>
      </c>
      <c r="G11" s="9">
        <f>'Model1 SD'!B18</f>
        <v>0.96010877440346809</v>
      </c>
      <c r="H11" s="9">
        <f>'Model1 SD'!B19</f>
        <v>6.6533438802921549E-2</v>
      </c>
      <c r="I11" s="9">
        <f>'Model1 SD'!B20</f>
        <v>-3.2438681938197855</v>
      </c>
      <c r="J11" s="11">
        <f>'Model1 SD'!E17</f>
        <v>2.9186291277831397E-4</v>
      </c>
      <c r="K11" s="11">
        <f>'Model1 SD'!E18</f>
        <v>6.1099077052866232E-43</v>
      </c>
      <c r="L11" s="11">
        <f>'Model1 SD'!E19</f>
        <v>3.8227649930951436E-2</v>
      </c>
      <c r="M11" s="11">
        <f>'Model1 SD'!E20</f>
        <v>3.3314368276214889E-4</v>
      </c>
    </row>
    <row r="12" spans="1:13" x14ac:dyDescent="0.3">
      <c r="A12" s="10" t="s">
        <v>8</v>
      </c>
      <c r="B12" s="9">
        <f>'Model1 San Jose'!B5</f>
        <v>0.73625320262804073</v>
      </c>
      <c r="C12" s="9">
        <f>'Model1 San Jose'!B6</f>
        <v>0.7293728513922505</v>
      </c>
      <c r="D12" s="9">
        <f>'Model1 San Jose'!B7</f>
        <v>0.83284874920116114</v>
      </c>
      <c r="E12" s="10">
        <f>'Model1 San Jose'!B8</f>
        <v>119</v>
      </c>
      <c r="F12" s="9">
        <f>'Model1 San Jose'!B17</f>
        <v>5.4454960875402261</v>
      </c>
      <c r="G12" s="9">
        <f>'Model1 San Jose'!B18</f>
        <v>0.53303837192463843</v>
      </c>
      <c r="H12" s="9">
        <f>'Model1 San Jose'!B19</f>
        <v>0.29859791892619075</v>
      </c>
      <c r="I12" s="9">
        <f>'Model1 San Jose'!B20</f>
        <v>-3.3658031963519894</v>
      </c>
      <c r="J12" s="11">
        <f>'Model1 San Jose'!E17</f>
        <v>1.6574916814396909E-10</v>
      </c>
      <c r="K12" s="11">
        <f>'Model1 San Jose'!E18</f>
        <v>2.4625610782624537E-14</v>
      </c>
      <c r="L12" s="11">
        <f>'Model1 San Jose'!E19</f>
        <v>3.4541409423938183E-10</v>
      </c>
      <c r="M12" s="11">
        <f>'Model1 San Jose'!E20</f>
        <v>3.7340328810938909E-8</v>
      </c>
    </row>
  </sheetData>
  <mergeCells count="4">
    <mergeCell ref="A1:M1"/>
    <mergeCell ref="B3:E3"/>
    <mergeCell ref="F3:I3"/>
    <mergeCell ref="J3:M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C7FC-E2A8-482C-98AD-2B80F3EA0787}">
  <dimension ref="A1:O12"/>
  <sheetViews>
    <sheetView workbookViewId="0">
      <selection activeCell="D8" sqref="D8"/>
    </sheetView>
  </sheetViews>
  <sheetFormatPr defaultRowHeight="14.4" x14ac:dyDescent="0.3"/>
  <cols>
    <col min="1" max="1" width="13.44140625" bestFit="1" customWidth="1"/>
    <col min="2" max="3" width="6.5546875" bestFit="1" customWidth="1"/>
    <col min="4" max="4" width="8.33203125" bestFit="1" customWidth="1"/>
    <col min="5" max="5" width="4.33203125" bestFit="1" customWidth="1"/>
    <col min="6" max="7" width="11.77734375" bestFit="1" customWidth="1"/>
    <col min="8" max="8" width="7.6640625" bestFit="1" customWidth="1"/>
    <col min="9" max="9" width="10.77734375" bestFit="1" customWidth="1"/>
    <col min="10" max="10" width="14.33203125" bestFit="1" customWidth="1"/>
    <col min="12" max="14" width="8.21875" bestFit="1" customWidth="1"/>
    <col min="15" max="15" width="10.44140625" bestFit="1" customWidth="1"/>
  </cols>
  <sheetData>
    <row r="1" spans="1:15" ht="18" x14ac:dyDescent="0.35">
      <c r="A1" s="7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x14ac:dyDescent="0.3">
      <c r="A3" s="8"/>
      <c r="B3" s="13" t="s">
        <v>19</v>
      </c>
      <c r="C3" s="13"/>
      <c r="D3" s="13"/>
      <c r="E3" s="13"/>
      <c r="F3" s="15" t="s">
        <v>35</v>
      </c>
      <c r="G3" s="15"/>
      <c r="H3" s="15"/>
      <c r="I3" s="15"/>
      <c r="J3" s="15"/>
      <c r="K3" s="17" t="s">
        <v>50</v>
      </c>
      <c r="L3" s="17"/>
      <c r="M3" s="17"/>
      <c r="N3" s="17"/>
      <c r="O3" s="17"/>
    </row>
    <row r="4" spans="1:15" x14ac:dyDescent="0.3">
      <c r="A4" s="12" t="s">
        <v>51</v>
      </c>
      <c r="B4" s="14" t="s">
        <v>52</v>
      </c>
      <c r="C4" s="14" t="s">
        <v>53</v>
      </c>
      <c r="D4" s="14" t="s">
        <v>54</v>
      </c>
      <c r="E4" s="14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6" t="s">
        <v>63</v>
      </c>
      <c r="K4" s="18" t="s">
        <v>29</v>
      </c>
      <c r="L4" s="18" t="s">
        <v>16</v>
      </c>
      <c r="M4" s="18" t="s">
        <v>4</v>
      </c>
      <c r="N4" s="18" t="s">
        <v>17</v>
      </c>
      <c r="O4" s="18" t="s">
        <v>64</v>
      </c>
    </row>
    <row r="5" spans="1:15" x14ac:dyDescent="0.3">
      <c r="A5" s="10" t="s">
        <v>14</v>
      </c>
      <c r="B5" s="9">
        <f>'Model 2 ATL'!B5</f>
        <v>0.61330752937955124</v>
      </c>
      <c r="C5" s="9">
        <f>'Model 2 ATL'!B6</f>
        <v>0.59973937251567588</v>
      </c>
      <c r="D5" s="9">
        <f>'Model 2 ATL'!B7</f>
        <v>0.86736793768652187</v>
      </c>
      <c r="E5" s="10">
        <f>'Model 2 ATL'!B8</f>
        <v>119</v>
      </c>
      <c r="F5" s="9">
        <f>'Model 2 ATL'!B17</f>
        <v>47.123532907289793</v>
      </c>
      <c r="G5" s="9">
        <f>'Model 2 ATL'!B18</f>
        <v>0.68744745955220088</v>
      </c>
      <c r="H5" s="9">
        <f>'Model 2 ATL'!B19</f>
        <v>0.25341246559544572</v>
      </c>
      <c r="I5" s="9">
        <f>'Model 2 ATL'!B20</f>
        <v>-3.0632230928247801</v>
      </c>
      <c r="J5" s="9">
        <f>'Model 2 ATL'!B21</f>
        <v>-41.969147976514122</v>
      </c>
      <c r="K5" s="11">
        <f>'Model 2 ATL'!E17</f>
        <v>2.0971043956479968E-7</v>
      </c>
      <c r="L5" s="11">
        <f>'Model 2 ATL'!E18</f>
        <v>2.3113173913672028E-19</v>
      </c>
      <c r="M5" s="11">
        <f>'Model 2 ATL'!E19</f>
        <v>3.6727758582347189E-6</v>
      </c>
      <c r="N5" s="11">
        <f>'Model 2 ATL'!E20</f>
        <v>7.3533920371517431E-2</v>
      </c>
      <c r="O5" s="11">
        <f>'Model 2 ATL'!E21</f>
        <v>8.2033628526367704E-7</v>
      </c>
    </row>
    <row r="6" spans="1:15" x14ac:dyDescent="0.3">
      <c r="A6" s="10" t="s">
        <v>3</v>
      </c>
      <c r="B6" s="9">
        <f>'Model 2 Bos'!B5</f>
        <v>0.76958119070560971</v>
      </c>
      <c r="C6" s="9">
        <f>'Model 2 Bos'!B6</f>
        <v>0.76149632020405211</v>
      </c>
      <c r="D6" s="9">
        <f>'Model 2 Bos'!B7</f>
        <v>0.84845616541631219</v>
      </c>
      <c r="E6" s="10">
        <f>'Model 2 Bos'!B8</f>
        <v>119</v>
      </c>
      <c r="F6" s="9">
        <f>'Model 2 Bos'!B17</f>
        <v>38.284174298774118</v>
      </c>
      <c r="G6" s="9">
        <f>'Model 2 Bos'!B18</f>
        <v>0.82652171677052877</v>
      </c>
      <c r="H6" s="9">
        <f>'Model 2 Bos'!B19</f>
        <v>0.22084760033220327</v>
      </c>
      <c r="I6" s="9">
        <f>'Model 2 Bos'!B20</f>
        <v>-2.0885149850296187</v>
      </c>
      <c r="J6" s="9">
        <f>'Model 2 Bos'!B21</f>
        <v>-35.23057408830703</v>
      </c>
      <c r="K6" s="11">
        <f>'Model 2 Bos'!E17</f>
        <v>3.6279363533198855E-6</v>
      </c>
      <c r="L6" s="11">
        <f>'Model 2 Bos'!E18</f>
        <v>1.2995747037075416E-28</v>
      </c>
      <c r="M6" s="11">
        <f>'Model 2 Bos'!E19</f>
        <v>1.0742096185758955E-4</v>
      </c>
      <c r="N6" s="11">
        <f>'Model 2 Bos'!E20</f>
        <v>3.3726989092732187E-3</v>
      </c>
      <c r="O6" s="11">
        <f>'Model 2 Bos'!E21</f>
        <v>1.5633590320575585E-5</v>
      </c>
    </row>
    <row r="7" spans="1:15" x14ac:dyDescent="0.3">
      <c r="A7" s="10" t="s">
        <v>2</v>
      </c>
      <c r="B7" s="9">
        <f>'Model 2 Chi'!B5</f>
        <v>0.72986186239928641</v>
      </c>
      <c r="C7" s="9">
        <f>'Model 2 Chi'!B6</f>
        <v>0.72038333125540166</v>
      </c>
      <c r="D7" s="9">
        <f>'Model 2 Chi'!B7</f>
        <v>0.65746175100169824</v>
      </c>
      <c r="E7" s="10">
        <f>'Model 2 Chi'!B8</f>
        <v>119</v>
      </c>
      <c r="F7" s="9">
        <f>'Model 2 Chi'!B17</f>
        <v>30.595862977567506</v>
      </c>
      <c r="G7" s="9">
        <f>'Model 2 Chi'!B18</f>
        <v>0.78059757278383324</v>
      </c>
      <c r="H7" s="9">
        <f>'Model 2 Chi'!B19</f>
        <v>0.19734729177248991</v>
      </c>
      <c r="I7" s="9">
        <f>'Model 2 Chi'!B20</f>
        <v>-4.1674381680829802</v>
      </c>
      <c r="J7" s="9">
        <f>'Model 2 Chi'!B21</f>
        <v>-25.21782712843827</v>
      </c>
      <c r="K7" s="11">
        <f>'Model 2 Chi'!E17</f>
        <v>7.5656024814253673E-6</v>
      </c>
      <c r="L7" s="11">
        <f>'Model 2 Chi'!E18</f>
        <v>6.938767660935101E-27</v>
      </c>
      <c r="M7" s="11">
        <f>'Model 2 Chi'!E19</f>
        <v>6.12835981122575E-6</v>
      </c>
      <c r="N7" s="11">
        <f>'Model 2 Chi'!E20</f>
        <v>1.7994548064478562E-3</v>
      </c>
      <c r="O7" s="11">
        <f>'Model 2 Chi'!E21</f>
        <v>8.0086589028345893E-5</v>
      </c>
    </row>
    <row r="8" spans="1:15" x14ac:dyDescent="0.3">
      <c r="A8" s="10" t="s">
        <v>1</v>
      </c>
      <c r="B8" s="9">
        <f>'Model 2 DAL'!B5</f>
        <v>0.81021524979037796</v>
      </c>
      <c r="C8" s="9">
        <f>'Model 2 DAL'!B6</f>
        <v>0.80355613574793516</v>
      </c>
      <c r="D8" s="9">
        <f>'Model 2 DAL'!B7</f>
        <v>0.79551246915741503</v>
      </c>
      <c r="E8" s="10">
        <f>'Model 2 DAL'!B8</f>
        <v>119</v>
      </c>
      <c r="F8" s="9">
        <f>'Model 2 DAL'!B17</f>
        <v>19.56787997725467</v>
      </c>
      <c r="G8" s="9">
        <f>'Model 2 DAL'!B18</f>
        <v>0.81185703922883445</v>
      </c>
      <c r="H8" s="9">
        <f>'Model 2 DAL'!B19</f>
        <v>0.23735650998975708</v>
      </c>
      <c r="I8" s="9">
        <f>'Model 2 DAL'!B20</f>
        <v>-1.5187947663202681</v>
      </c>
      <c r="J8" s="9">
        <f>'Model 2 DAL'!B21</f>
        <v>-17.343633018950463</v>
      </c>
      <c r="K8" s="11">
        <f>'Model 2 DAL'!E17</f>
        <v>1.2197557107013968E-2</v>
      </c>
      <c r="L8" s="11">
        <f>'Model 2 DAL'!E18</f>
        <v>4.1993641313150466E-37</v>
      </c>
      <c r="M8" s="11">
        <f>'Model 2 DAL'!E19</f>
        <v>3.0795211587660712E-6</v>
      </c>
      <c r="N8" s="11">
        <f>'Model 2 DAL'!E20</f>
        <v>0.1183647479917001</v>
      </c>
      <c r="O8" s="11">
        <f>'Model 2 DAL'!E21</f>
        <v>2.3561504467117491E-2</v>
      </c>
    </row>
    <row r="9" spans="1:15" x14ac:dyDescent="0.3">
      <c r="A9" s="10" t="s">
        <v>6</v>
      </c>
      <c r="B9" s="9">
        <f>'Model 2 NY'!B5</f>
        <v>0.83354769166709308</v>
      </c>
      <c r="C9" s="9">
        <f>'Model 2 NY'!B6</f>
        <v>0.8277072597957631</v>
      </c>
      <c r="D9" s="9">
        <f>'Model 2 NY'!B7</f>
        <v>0.69632379127369115</v>
      </c>
      <c r="E9" s="10">
        <f>'Model 2 NY'!B8</f>
        <v>119</v>
      </c>
      <c r="F9" s="9">
        <f>'Model 2 NY'!B17</f>
        <v>29.253254817384903</v>
      </c>
      <c r="G9" s="9">
        <f>'Model 2 NY'!B18</f>
        <v>0.77762864846074686</v>
      </c>
      <c r="H9" s="9">
        <f>'Model 2 NY'!B19</f>
        <v>0.24424366301956793</v>
      </c>
      <c r="I9" s="9">
        <f>'Model 2 NY'!B20</f>
        <v>-2.550896359358013</v>
      </c>
      <c r="J9" s="9">
        <f>'Model 2 NY'!B21</f>
        <v>-25.804413211554131</v>
      </c>
      <c r="K9" s="11">
        <f>'Model 2 NY'!E17</f>
        <v>3.0248638647007429E-5</v>
      </c>
      <c r="L9" s="11">
        <f>'Model 2 NY'!E18</f>
        <v>1.3772433535112961E-28</v>
      </c>
      <c r="M9" s="11">
        <f>'Model 2 NY'!E19</f>
        <v>4.4966843267069233E-6</v>
      </c>
      <c r="N9" s="11">
        <f>'Model 2 NY'!E20</f>
        <v>1.0502863673432412E-3</v>
      </c>
      <c r="O9" s="11">
        <f>'Model 2 NY'!E21</f>
        <v>2.8067376631843324E-4</v>
      </c>
    </row>
    <row r="10" spans="1:15" x14ac:dyDescent="0.3">
      <c r="A10" s="10" t="s">
        <v>15</v>
      </c>
      <c r="B10" s="9">
        <f>'Model 2 OC'!B5</f>
        <v>0.87203108882130465</v>
      </c>
      <c r="C10" s="9">
        <f>'Model 2 OC'!B6</f>
        <v>0.86754095158696443</v>
      </c>
      <c r="D10" s="9">
        <f>'Model 2 OC'!B7</f>
        <v>0.56885185006626093</v>
      </c>
      <c r="E10" s="10">
        <f>'Model 2 OC'!B8</f>
        <v>119</v>
      </c>
      <c r="F10" s="9">
        <f>'Model 2 OC'!B17</f>
        <v>17.845047121903953</v>
      </c>
      <c r="G10" s="9">
        <f>'Model 2 OC'!B18</f>
        <v>0.88508728104246792</v>
      </c>
      <c r="H10" s="9">
        <f>'Model 2 OC'!B19</f>
        <v>0.1129439846273254</v>
      </c>
      <c r="I10" s="9">
        <f>'Model 2 OC'!B20</f>
        <v>-3.9468342819086848</v>
      </c>
      <c r="J10" s="9">
        <f>'Model 2 OC'!B21</f>
        <v>-13.374112825795592</v>
      </c>
      <c r="K10" s="11">
        <f>'Model 2 OC'!E17</f>
        <v>1.3880042435924515E-3</v>
      </c>
      <c r="L10" s="11">
        <f>'Model 2 OC'!E18</f>
        <v>4.1082717757339336E-34</v>
      </c>
      <c r="M10" s="11">
        <f>'Model 2 OC'!E19</f>
        <v>1.4494951713983252E-2</v>
      </c>
      <c r="N10" s="11">
        <f>'Model 2 OC'!E20</f>
        <v>4.8289171780706007E-7</v>
      </c>
      <c r="O10" s="11">
        <f>'Model 2 OC'!E21</f>
        <v>1.4364288609487651E-2</v>
      </c>
    </row>
    <row r="11" spans="1:15" x14ac:dyDescent="0.3">
      <c r="A11" s="10" t="s">
        <v>7</v>
      </c>
      <c r="B11" s="9">
        <f>'Model 2 SD'!B5</f>
        <v>0.88477032550854551</v>
      </c>
      <c r="C11" s="9">
        <f>'Model 2 SD'!B6</f>
        <v>0.88072717903516118</v>
      </c>
      <c r="D11" s="9">
        <f>'Model 2 SD'!B7</f>
        <v>0.577137055166283</v>
      </c>
      <c r="E11" s="10">
        <f>'Model 2 SD'!B8</f>
        <v>119</v>
      </c>
      <c r="F11" s="9">
        <f>'Model 2 SD'!B17</f>
        <v>17.825573245344053</v>
      </c>
      <c r="G11" s="9">
        <f>'Model 2 SD'!B18</f>
        <v>0.92675316139772834</v>
      </c>
      <c r="H11" s="9">
        <f>'Model 2 SD'!B19</f>
        <v>0.14196105650291291</v>
      </c>
      <c r="I11" s="9">
        <f>'Model 2 SD'!B20</f>
        <v>-2.8622993702681772</v>
      </c>
      <c r="J11" s="9">
        <f>'Model 2 SD'!B21</f>
        <v>-14.793387212011226</v>
      </c>
      <c r="K11" s="11">
        <f>'Model 2 SD'!E17</f>
        <v>1.6311089380587364E-3</v>
      </c>
      <c r="L11" s="11">
        <f>'Model 2 SD'!E18</f>
        <v>9.0415159569588539E-41</v>
      </c>
      <c r="M11" s="11">
        <f>'Model 2 SD'!E19</f>
        <v>9.3710337753082334E-4</v>
      </c>
      <c r="N11" s="11">
        <f>'Model 2 SD'!E20</f>
        <v>1.2680671867279659E-3</v>
      </c>
      <c r="O11" s="11">
        <f>'Model 2 SD'!E21</f>
        <v>8.3780362388839093E-3</v>
      </c>
    </row>
    <row r="12" spans="1:15" x14ac:dyDescent="0.3">
      <c r="A12" s="10" t="s">
        <v>8</v>
      </c>
      <c r="B12" s="9">
        <f>'Model 2 San Jose'!B5</f>
        <v>0.75045582729640925</v>
      </c>
      <c r="C12" s="9">
        <f>'Model 2 San Jose'!B6</f>
        <v>0.74169989141207271</v>
      </c>
      <c r="D12" s="9">
        <f>'Model 2 San Jose'!B7</f>
        <v>0.81365959718621472</v>
      </c>
      <c r="E12" s="10">
        <f>'Model 2 San Jose'!B8</f>
        <v>119</v>
      </c>
      <c r="F12" s="9">
        <f>'Model 2 San Jose'!B17</f>
        <v>24.488671634532473</v>
      </c>
      <c r="G12" s="9">
        <f>'Model 2 San Jose'!B18</f>
        <v>0.5432367333643342</v>
      </c>
      <c r="H12" s="9">
        <f>'Model 2 San Jose'!B19</f>
        <v>0.37328241781029869</v>
      </c>
      <c r="I12" s="9">
        <f>'Model 2 San Jose'!B20</f>
        <v>-3.1460713401740987</v>
      </c>
      <c r="J12" s="9">
        <f>'Model 2 San Jose'!B21</f>
        <v>-19.215392606191791</v>
      </c>
      <c r="K12" s="11">
        <f>'Model 2 San Jose'!E17</f>
        <v>1.4744890367522072E-3</v>
      </c>
      <c r="L12" s="11">
        <f>'Model 2 San Jose'!E18</f>
        <v>3.9294121250619064E-15</v>
      </c>
      <c r="M12" s="11">
        <f>'Model 2 San Jose'!E19</f>
        <v>5.7675183288923014E-11</v>
      </c>
      <c r="N12" s="11">
        <f>'Model 2 San Jose'!E20</f>
        <v>1.6557226505442923E-7</v>
      </c>
      <c r="O12" s="11">
        <f>'Model 2 San Jose'!E21</f>
        <v>1.219138153831114E-2</v>
      </c>
    </row>
  </sheetData>
  <mergeCells count="4">
    <mergeCell ref="A1:O1"/>
    <mergeCell ref="B3:E3"/>
    <mergeCell ref="F3:J3"/>
    <mergeCell ref="K3:O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EDC4-F767-47C1-B3FB-E686BF515FE5}">
  <dimension ref="A1:F16"/>
  <sheetViews>
    <sheetView workbookViewId="0">
      <selection activeCell="E7" sqref="E7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8.21875" bestFit="1" customWidth="1"/>
    <col min="4" max="4" width="14.44140625" bestFit="1" customWidth="1"/>
    <col min="5" max="5" width="8.21875" bestFit="1" customWidth="1"/>
    <col min="6" max="6" width="7.33203125" bestFit="1" customWidth="1"/>
  </cols>
  <sheetData>
    <row r="1" spans="1:6" ht="18" x14ac:dyDescent="0.35">
      <c r="A1" s="7" t="s">
        <v>65</v>
      </c>
      <c r="B1" s="6"/>
      <c r="C1" s="6"/>
      <c r="D1" s="6"/>
      <c r="E1" s="6"/>
      <c r="F1" s="6"/>
    </row>
    <row r="3" spans="1:6" x14ac:dyDescent="0.3">
      <c r="A3" s="8"/>
      <c r="B3" s="13" t="s">
        <v>66</v>
      </c>
      <c r="C3" s="13"/>
      <c r="D3" s="15" t="s">
        <v>67</v>
      </c>
      <c r="E3" s="15"/>
      <c r="F3" s="8"/>
    </row>
    <row r="4" spans="1:6" x14ac:dyDescent="0.3">
      <c r="A4" s="12" t="s">
        <v>51</v>
      </c>
      <c r="B4" s="14" t="s">
        <v>68</v>
      </c>
      <c r="C4" s="14" t="s">
        <v>37</v>
      </c>
      <c r="D4" s="16" t="s">
        <v>68</v>
      </c>
      <c r="E4" s="16" t="s">
        <v>37</v>
      </c>
      <c r="F4" s="18" t="s">
        <v>69</v>
      </c>
    </row>
    <row r="5" spans="1:6" x14ac:dyDescent="0.3">
      <c r="A5" s="10" t="s">
        <v>14</v>
      </c>
      <c r="B5" s="9">
        <f>'Model 1 ATL'!B20</f>
        <v>-1.9126114879407081</v>
      </c>
      <c r="C5" s="11">
        <f>'Model 1 ATL'!E20</f>
        <v>0.30688087527446822</v>
      </c>
      <c r="D5" s="9">
        <f>'Model 2 ATL'!B20</f>
        <v>-3.0632230928247801</v>
      </c>
      <c r="E5" s="11">
        <f>'Model 2 ATL'!E20</f>
        <v>7.3533920371517431E-2</v>
      </c>
      <c r="F5" s="9">
        <f>D5-B5</f>
        <v>-1.150611604884072</v>
      </c>
    </row>
    <row r="6" spans="1:6" x14ac:dyDescent="0.3">
      <c r="A6" s="10" t="s">
        <v>3</v>
      </c>
      <c r="B6" s="9">
        <f>'Model1 Bos'!B20</f>
        <v>-2.2963516765320144</v>
      </c>
      <c r="C6" s="11">
        <f>'Model1 Bos'!E20</f>
        <v>2.8185317315437453E-3</v>
      </c>
      <c r="D6" s="9">
        <f>'Model 2 Bos'!B20</f>
        <v>-2.0885149850296187</v>
      </c>
      <c r="E6" s="11">
        <f>'Model 2 Bos'!E20</f>
        <v>3.3726989092732187E-3</v>
      </c>
      <c r="F6" s="9">
        <f>D6-B6</f>
        <v>0.2078366915023957</v>
      </c>
    </row>
    <row r="7" spans="1:6" x14ac:dyDescent="0.3">
      <c r="A7" s="10" t="s">
        <v>2</v>
      </c>
      <c r="B7" s="9">
        <f>'Model 1 Chi'!B20</f>
        <v>-3.6133749877689834</v>
      </c>
      <c r="C7" s="11">
        <f>'Model 1 Chi'!E20</f>
        <v>1.0159341204832797E-2</v>
      </c>
      <c r="D7" s="9">
        <f>'Model 2 Chi'!B20</f>
        <v>-4.1674381680829802</v>
      </c>
      <c r="E7" s="11">
        <f>'Model 2 Chi'!E20</f>
        <v>1.7994548064478562E-3</v>
      </c>
      <c r="F7" s="9">
        <f>D7-B7</f>
        <v>-0.55406318031399682</v>
      </c>
    </row>
    <row r="8" spans="1:6" x14ac:dyDescent="0.3">
      <c r="A8" s="10" t="s">
        <v>1</v>
      </c>
      <c r="B8" s="9">
        <f>'Model1 Dallas'!B20</f>
        <v>-1.6451235038908993</v>
      </c>
      <c r="C8" s="11">
        <f>'Model1 Dallas'!E20</f>
        <v>9.6379503964113725E-2</v>
      </c>
      <c r="D8" s="9">
        <f>'Model 2 DAL'!B20</f>
        <v>-1.5187947663202681</v>
      </c>
      <c r="E8" s="11">
        <f>'Model 2 DAL'!E20</f>
        <v>0.1183647479917001</v>
      </c>
      <c r="F8" s="9">
        <f>D8-B8</f>
        <v>0.12632873757063123</v>
      </c>
    </row>
    <row r="9" spans="1:6" x14ac:dyDescent="0.3">
      <c r="A9" s="10" t="s">
        <v>6</v>
      </c>
      <c r="B9" s="9">
        <f>'Model1 NY'!B20</f>
        <v>-3.5382127218267803</v>
      </c>
      <c r="C9" s="11">
        <f>'Model1 NY'!E20</f>
        <v>6.8724186248908485E-6</v>
      </c>
      <c r="D9" s="9">
        <f>'Model 2 NY'!B20</f>
        <v>-2.550896359358013</v>
      </c>
      <c r="E9" s="11">
        <f>'Model 2 NY'!E20</f>
        <v>1.0502863673432412E-3</v>
      </c>
      <c r="F9" s="9">
        <f>D9-B9</f>
        <v>0.98731636246876731</v>
      </c>
    </row>
    <row r="10" spans="1:6" x14ac:dyDescent="0.3">
      <c r="A10" s="10" t="s">
        <v>15</v>
      </c>
      <c r="B10" s="9">
        <f>'Model1 OC'!B20</f>
        <v>-4.1194907974739055</v>
      </c>
      <c r="C10" s="11">
        <f>'Model1 OC'!E20</f>
        <v>2.601112848705448E-7</v>
      </c>
      <c r="D10" s="9">
        <f>'Model 2 OC'!B20</f>
        <v>-3.9468342819086848</v>
      </c>
      <c r="E10" s="11">
        <f>'Model 2 OC'!E20</f>
        <v>4.8289171780706007E-7</v>
      </c>
      <c r="F10" s="9">
        <f>D10-B10</f>
        <v>0.17265651556522066</v>
      </c>
    </row>
    <row r="11" spans="1:6" x14ac:dyDescent="0.3">
      <c r="A11" s="10" t="s">
        <v>7</v>
      </c>
      <c r="B11" s="9">
        <f>'Model1 SD'!B20</f>
        <v>-3.2438681938197855</v>
      </c>
      <c r="C11" s="11">
        <f>'Model1 SD'!E20</f>
        <v>3.3314368276214889E-4</v>
      </c>
      <c r="D11" s="9">
        <f>'Model 2 SD'!B20</f>
        <v>-2.8622993702681772</v>
      </c>
      <c r="E11" s="11">
        <f>'Model 2 SD'!E20</f>
        <v>1.2680671867279659E-3</v>
      </c>
      <c r="F11" s="9">
        <f>D11-B11</f>
        <v>0.38156882355160837</v>
      </c>
    </row>
    <row r="12" spans="1:6" x14ac:dyDescent="0.3">
      <c r="A12" s="10" t="s">
        <v>8</v>
      </c>
      <c r="B12" s="9">
        <f>'Model1 San Jose'!B20</f>
        <v>-3.3658031963519894</v>
      </c>
      <c r="C12" s="11">
        <f>'Model1 San Jose'!E20</f>
        <v>3.7340328810938909E-8</v>
      </c>
      <c r="D12" s="9">
        <f>'Model 2 San Jose'!B20</f>
        <v>-3.1460713401740987</v>
      </c>
      <c r="E12" s="11">
        <f>'Model 2 San Jose'!E20</f>
        <v>1.6557226505442923E-7</v>
      </c>
      <c r="F12" s="9">
        <f>D12-B12</f>
        <v>0.21973185617789071</v>
      </c>
    </row>
    <row r="14" spans="1:6" x14ac:dyDescent="0.3">
      <c r="A14" s="20" t="s">
        <v>70</v>
      </c>
    </row>
    <row r="15" spans="1:6" x14ac:dyDescent="0.3">
      <c r="A15" s="20" t="s">
        <v>71</v>
      </c>
    </row>
    <row r="16" spans="1:6" x14ac:dyDescent="0.3">
      <c r="A16" s="20" t="s">
        <v>72</v>
      </c>
    </row>
  </sheetData>
  <mergeCells count="3">
    <mergeCell ref="A1:F1"/>
    <mergeCell ref="B3:C3"/>
    <mergeCell ref="D3:E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DF20-6107-4C34-8F5D-A27FFA9B809C}">
  <dimension ref="A1:E17"/>
  <sheetViews>
    <sheetView workbookViewId="0">
      <selection activeCell="B7" sqref="B7"/>
    </sheetView>
  </sheetViews>
  <sheetFormatPr defaultRowHeight="14.4" x14ac:dyDescent="0.3"/>
  <cols>
    <col min="1" max="1" width="72.21875" bestFit="1" customWidth="1"/>
    <col min="2" max="2" width="10.77734375" bestFit="1" customWidth="1"/>
    <col min="3" max="3" width="7.6640625" bestFit="1" customWidth="1"/>
    <col min="4" max="4" width="6.5546875" bestFit="1" customWidth="1"/>
    <col min="5" max="5" width="12.33203125" bestFit="1" customWidth="1"/>
  </cols>
  <sheetData>
    <row r="1" spans="1:5" ht="18" x14ac:dyDescent="0.35">
      <c r="A1" s="7" t="s">
        <v>73</v>
      </c>
      <c r="B1" s="6"/>
      <c r="C1" s="6"/>
      <c r="D1" s="6"/>
      <c r="E1" s="6"/>
    </row>
    <row r="2" spans="1:5" x14ac:dyDescent="0.3">
      <c r="A2" s="19" t="s">
        <v>74</v>
      </c>
    </row>
    <row r="4" spans="1:5" x14ac:dyDescent="0.3">
      <c r="A4" s="14" t="s">
        <v>51</v>
      </c>
      <c r="B4" s="14" t="s">
        <v>75</v>
      </c>
      <c r="C4" s="14" t="s">
        <v>76</v>
      </c>
      <c r="D4" s="14" t="s">
        <v>77</v>
      </c>
      <c r="E4" s="16" t="s">
        <v>78</v>
      </c>
    </row>
    <row r="5" spans="1:5" x14ac:dyDescent="0.3">
      <c r="A5" s="10" t="s">
        <v>14</v>
      </c>
      <c r="B5" s="9">
        <f>'Model 2 ATL'!B18</f>
        <v>0.68744745955220088</v>
      </c>
      <c r="C5" s="9">
        <f>'Model 2 ATL'!B19</f>
        <v>0.25341246559544572</v>
      </c>
      <c r="D5" s="9">
        <f>1-B5</f>
        <v>0.31255254044779912</v>
      </c>
      <c r="E5" s="21">
        <f>C5/D5</f>
        <v>0.81078357332299256</v>
      </c>
    </row>
    <row r="6" spans="1:5" x14ac:dyDescent="0.3">
      <c r="A6" s="10" t="s">
        <v>3</v>
      </c>
      <c r="B6" s="9">
        <f>'Model 2 Bos'!B18</f>
        <v>0.82652171677052877</v>
      </c>
      <c r="C6" s="9">
        <f>'Model 2 Bos'!B19</f>
        <v>0.22084760033220327</v>
      </c>
      <c r="D6" s="9">
        <f>1-B6</f>
        <v>0.17347828322947123</v>
      </c>
      <c r="E6" s="21">
        <f>C6/D6</f>
        <v>1.2730561786807257</v>
      </c>
    </row>
    <row r="7" spans="1:5" x14ac:dyDescent="0.3">
      <c r="A7" s="10" t="s">
        <v>2</v>
      </c>
      <c r="B7" s="9">
        <f>'Model 2 Chi'!B18</f>
        <v>0.78059757278383324</v>
      </c>
      <c r="C7" s="9">
        <f>'Model 2 Chi'!B19</f>
        <v>0.19734729177248991</v>
      </c>
      <c r="D7" s="9">
        <f>1-B7</f>
        <v>0.21940242721616676</v>
      </c>
      <c r="E7" s="21">
        <f>C7/D7</f>
        <v>0.89947633796253779</v>
      </c>
    </row>
    <row r="8" spans="1:5" x14ac:dyDescent="0.3">
      <c r="A8" s="10" t="s">
        <v>1</v>
      </c>
      <c r="B8" s="9">
        <f>'Model 2 DAL'!B18</f>
        <v>0.81185703922883445</v>
      </c>
      <c r="C8" s="9">
        <f>'Model 2 DAL'!B19</f>
        <v>0.23735650998975708</v>
      </c>
      <c r="D8" s="9">
        <f>1-B8</f>
        <v>0.18814296077116555</v>
      </c>
      <c r="E8" s="21">
        <f>C8/D8</f>
        <v>1.2615752883704694</v>
      </c>
    </row>
    <row r="9" spans="1:5" x14ac:dyDescent="0.3">
      <c r="A9" s="10" t="s">
        <v>6</v>
      </c>
      <c r="B9" s="9">
        <f>'Model 2 NY'!B18</f>
        <v>0.77762864846074686</v>
      </c>
      <c r="C9" s="9">
        <f>'Model 2 NY'!B19</f>
        <v>0.24424366301956793</v>
      </c>
      <c r="D9" s="9">
        <f>1-B9</f>
        <v>0.22237135153925314</v>
      </c>
      <c r="E9" s="21">
        <f>C9/D9</f>
        <v>1.0983593944494863</v>
      </c>
    </row>
    <row r="10" spans="1:5" x14ac:dyDescent="0.3">
      <c r="A10" s="10" t="s">
        <v>15</v>
      </c>
      <c r="B10" s="9">
        <f>'Model 2 OC'!B18</f>
        <v>0.88508728104246792</v>
      </c>
      <c r="C10" s="9">
        <f>'Model 2 OC'!B19</f>
        <v>0.1129439846273254</v>
      </c>
      <c r="D10" s="9">
        <f>1-B10</f>
        <v>0.11491271895753208</v>
      </c>
      <c r="E10" s="21">
        <f>C10/D10</f>
        <v>0.98286756811546461</v>
      </c>
    </row>
    <row r="11" spans="1:5" x14ac:dyDescent="0.3">
      <c r="A11" s="10" t="s">
        <v>7</v>
      </c>
      <c r="B11" s="9">
        <f>'Model 2 SD'!B18</f>
        <v>0.92675316139772834</v>
      </c>
      <c r="C11" s="9">
        <f>'Model 2 SD'!B19</f>
        <v>0.14196105650291291</v>
      </c>
      <c r="D11" s="9">
        <f>1-B11</f>
        <v>7.3246838602271658E-2</v>
      </c>
      <c r="E11" s="21">
        <f>C11/D11</f>
        <v>1.9381185483479715</v>
      </c>
    </row>
    <row r="12" spans="1:5" x14ac:dyDescent="0.3">
      <c r="A12" s="10" t="s">
        <v>8</v>
      </c>
      <c r="B12" s="9">
        <f>'Model 2 San Jose'!B18</f>
        <v>0.5432367333643342</v>
      </c>
      <c r="C12" s="9">
        <f>'Model 2 San Jose'!B19</f>
        <v>0.37328241781029869</v>
      </c>
      <c r="D12" s="9">
        <f>1-B12</f>
        <v>0.4567632666356658</v>
      </c>
      <c r="E12" s="21">
        <f>C12/D12</f>
        <v>0.81723388257498597</v>
      </c>
    </row>
    <row r="14" spans="1:5" x14ac:dyDescent="0.3">
      <c r="A14" s="1" t="s">
        <v>79</v>
      </c>
      <c r="E14" s="22">
        <f>AVERAGE(E5:E12)</f>
        <v>1.135183846478079</v>
      </c>
    </row>
    <row r="16" spans="1:5" x14ac:dyDescent="0.3">
      <c r="A16" s="20" t="s">
        <v>80</v>
      </c>
    </row>
    <row r="17" spans="1:1" x14ac:dyDescent="0.3">
      <c r="A17" s="20" t="s">
        <v>81</v>
      </c>
    </row>
  </sheetData>
  <mergeCells count="1">
    <mergeCell ref="A1:E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04B4-59E9-4D4A-B067-5BDD683E0077}">
  <dimension ref="A1:G20"/>
  <sheetViews>
    <sheetView workbookViewId="0">
      <selection activeCell="A19" sqref="A19"/>
    </sheetView>
  </sheetViews>
  <sheetFormatPr defaultRowHeight="14.4" x14ac:dyDescent="0.3"/>
  <cols>
    <col min="1" max="1" width="90.109375" bestFit="1" customWidth="1"/>
    <col min="2" max="2" width="7.6640625" bestFit="1" customWidth="1"/>
    <col min="3" max="3" width="10.77734375" bestFit="1" customWidth="1"/>
    <col min="4" max="4" width="14.33203125" bestFit="1" customWidth="1"/>
    <col min="5" max="5" width="13.21875" bestFit="1" customWidth="1"/>
    <col min="6" max="6" width="14.109375" bestFit="1" customWidth="1"/>
    <col min="7" max="7" width="10.109375" bestFit="1" customWidth="1"/>
  </cols>
  <sheetData>
    <row r="1" spans="1:7" ht="18" x14ac:dyDescent="0.35">
      <c r="A1" s="7" t="s">
        <v>82</v>
      </c>
      <c r="B1" s="6"/>
      <c r="C1" s="6"/>
      <c r="D1" s="6"/>
      <c r="E1" s="6"/>
      <c r="F1" s="6"/>
      <c r="G1" s="6"/>
    </row>
    <row r="2" spans="1:7" x14ac:dyDescent="0.3">
      <c r="A2" s="20" t="s">
        <v>83</v>
      </c>
    </row>
    <row r="4" spans="1:7" x14ac:dyDescent="0.3">
      <c r="A4" s="12" t="s">
        <v>51</v>
      </c>
      <c r="B4" s="16" t="s">
        <v>76</v>
      </c>
      <c r="C4" s="14" t="s">
        <v>84</v>
      </c>
      <c r="D4" s="14" t="s">
        <v>85</v>
      </c>
      <c r="E4" s="18" t="s">
        <v>86</v>
      </c>
      <c r="F4" s="18" t="s">
        <v>87</v>
      </c>
      <c r="G4" s="23" t="s">
        <v>88</v>
      </c>
    </row>
    <row r="5" spans="1:7" x14ac:dyDescent="0.3">
      <c r="A5" s="10" t="s">
        <v>14</v>
      </c>
      <c r="B5" s="9">
        <f>'Model 2 ATL'!B19</f>
        <v>0.25341246559544572</v>
      </c>
      <c r="C5" s="9">
        <f>'Model 2 ATL'!B20</f>
        <v>-3.0632230928247801</v>
      </c>
      <c r="D5" s="9">
        <f>'Model 2 ATL'!B21</f>
        <v>-41.969147976514122</v>
      </c>
      <c r="E5" s="9">
        <f>(C5+D5)/2</f>
        <v>-22.51618553466945</v>
      </c>
      <c r="F5" s="9">
        <f>ABS(E5)</f>
        <v>22.51618553466945</v>
      </c>
      <c r="G5" s="9">
        <f>B5-F5</f>
        <v>-22.262773069074004</v>
      </c>
    </row>
    <row r="6" spans="1:7" x14ac:dyDescent="0.3">
      <c r="A6" s="10" t="s">
        <v>3</v>
      </c>
      <c r="B6" s="9">
        <f>'Model 2 Bos'!B19</f>
        <v>0.22084760033220327</v>
      </c>
      <c r="C6" s="9">
        <f>'Model 2 Bos'!B20</f>
        <v>-2.0885149850296187</v>
      </c>
      <c r="D6" s="9">
        <f>'Model 2 Bos'!B21</f>
        <v>-35.23057408830703</v>
      </c>
      <c r="E6" s="9">
        <f>(C6+D6)/2</f>
        <v>-18.659544536668324</v>
      </c>
      <c r="F6" s="9">
        <f>ABS(E6)</f>
        <v>18.659544536668324</v>
      </c>
      <c r="G6" s="9">
        <f>B6-F6</f>
        <v>-18.438696936336122</v>
      </c>
    </row>
    <row r="7" spans="1:7" x14ac:dyDescent="0.3">
      <c r="A7" s="10" t="s">
        <v>2</v>
      </c>
      <c r="B7" s="9">
        <f>'Model 2 Chi'!B19</f>
        <v>0.19734729177248991</v>
      </c>
      <c r="C7" s="9">
        <f>'Model 2 Chi'!B20</f>
        <v>-4.1674381680829802</v>
      </c>
      <c r="D7" s="9">
        <f>'Model 2 Chi'!B21</f>
        <v>-25.21782712843827</v>
      </c>
      <c r="E7" s="9">
        <f>(C7+D7)/2</f>
        <v>-14.692632648260625</v>
      </c>
      <c r="F7" s="9">
        <f>ABS(E7)</f>
        <v>14.692632648260625</v>
      </c>
      <c r="G7" s="9">
        <f>B7-F7</f>
        <v>-14.495285356488136</v>
      </c>
    </row>
    <row r="8" spans="1:7" x14ac:dyDescent="0.3">
      <c r="A8" s="10" t="s">
        <v>1</v>
      </c>
      <c r="B8" s="9">
        <f>'Model 2 DAL'!B19</f>
        <v>0.23735650998975708</v>
      </c>
      <c r="C8" s="9">
        <f>'Model 2 DAL'!B20</f>
        <v>-1.5187947663202681</v>
      </c>
      <c r="D8" s="9">
        <f>'Model 2 DAL'!B21</f>
        <v>-17.343633018950463</v>
      </c>
      <c r="E8" s="9">
        <f>(C8+D8)/2</f>
        <v>-9.4312138926353661</v>
      </c>
      <c r="F8" s="9">
        <f>ABS(E8)</f>
        <v>9.4312138926353661</v>
      </c>
      <c r="G8" s="9">
        <f>B8-F8</f>
        <v>-9.1938573826456089</v>
      </c>
    </row>
    <row r="9" spans="1:7" x14ac:dyDescent="0.3">
      <c r="A9" s="10" t="s">
        <v>6</v>
      </c>
      <c r="B9" s="9">
        <f>'Model 2 NY'!B19</f>
        <v>0.24424366301956793</v>
      </c>
      <c r="C9" s="9">
        <f>'Model 2 NY'!B20</f>
        <v>-2.550896359358013</v>
      </c>
      <c r="D9" s="9">
        <f>'Model 2 NY'!B21</f>
        <v>-25.804413211554131</v>
      </c>
      <c r="E9" s="9">
        <f>(C9+D9)/2</f>
        <v>-14.177654785456072</v>
      </c>
      <c r="F9" s="9">
        <f>ABS(E9)</f>
        <v>14.177654785456072</v>
      </c>
      <c r="G9" s="9">
        <f>B9-F9</f>
        <v>-13.933411122436505</v>
      </c>
    </row>
    <row r="10" spans="1:7" x14ac:dyDescent="0.3">
      <c r="A10" s="10" t="s">
        <v>15</v>
      </c>
      <c r="B10" s="9">
        <f>'Model 2 OC'!B19</f>
        <v>0.1129439846273254</v>
      </c>
      <c r="C10" s="9">
        <f>'Model 2 OC'!B20</f>
        <v>-3.9468342819086848</v>
      </c>
      <c r="D10" s="9">
        <f>'Model 2 OC'!B21</f>
        <v>-13.374112825795592</v>
      </c>
      <c r="E10" s="9">
        <f>(C10+D10)/2</f>
        <v>-8.6604735538521389</v>
      </c>
      <c r="F10" s="9">
        <f>ABS(E10)</f>
        <v>8.6604735538521389</v>
      </c>
      <c r="G10" s="9">
        <f>B10-F10</f>
        <v>-8.5475295692248139</v>
      </c>
    </row>
    <row r="11" spans="1:7" x14ac:dyDescent="0.3">
      <c r="A11" s="10" t="s">
        <v>7</v>
      </c>
      <c r="B11" s="9">
        <f>'Model 2 SD'!B19</f>
        <v>0.14196105650291291</v>
      </c>
      <c r="C11" s="9">
        <f>'Model 2 SD'!B20</f>
        <v>-2.8622993702681772</v>
      </c>
      <c r="D11" s="9">
        <f>'Model 2 SD'!B21</f>
        <v>-14.793387212011226</v>
      </c>
      <c r="E11" s="9">
        <f>(C11+D11)/2</f>
        <v>-8.8278432911397005</v>
      </c>
      <c r="F11" s="9">
        <f>ABS(E11)</f>
        <v>8.8278432911397005</v>
      </c>
      <c r="G11" s="9">
        <f>B11-F11</f>
        <v>-8.6858822346367877</v>
      </c>
    </row>
    <row r="12" spans="1:7" x14ac:dyDescent="0.3">
      <c r="A12" s="10" t="s">
        <v>8</v>
      </c>
      <c r="B12" s="9">
        <f>'Model 2 San Jose'!B19</f>
        <v>0.37328241781029869</v>
      </c>
      <c r="C12" s="9">
        <f>'Model 2 San Jose'!B20</f>
        <v>-3.1460713401740987</v>
      </c>
      <c r="D12" s="9">
        <f>'Model 2 San Jose'!B21</f>
        <v>-19.215392606191791</v>
      </c>
      <c r="E12" s="9">
        <f>(C12+D12)/2</f>
        <v>-11.180731973182946</v>
      </c>
      <c r="F12" s="9">
        <f>ABS(E12)</f>
        <v>11.180731973182946</v>
      </c>
      <c r="G12" s="9">
        <f>B12-F12</f>
        <v>-10.807449555372648</v>
      </c>
    </row>
    <row r="14" spans="1:7" x14ac:dyDescent="0.3">
      <c r="A14" s="1" t="s">
        <v>79</v>
      </c>
      <c r="B14" s="24">
        <f>AVERAGE(B5:B12)</f>
        <v>0.22267437370625012</v>
      </c>
      <c r="C14" s="24">
        <f>AVERAGE(C5:C12)</f>
        <v>-2.9180090454958276</v>
      </c>
      <c r="D14" s="24">
        <f>AVERAGE(D5:D12)</f>
        <v>-24.118561008470326</v>
      </c>
      <c r="E14" s="24">
        <f>AVERAGE(E5:E12)</f>
        <v>-13.518285026983078</v>
      </c>
      <c r="F14" s="24">
        <f>AVERAGE(F5:F12)</f>
        <v>13.518285026983078</v>
      </c>
      <c r="G14" s="24">
        <f>AVERAGE(G5:G12)</f>
        <v>-13.29561065327683</v>
      </c>
    </row>
    <row r="16" spans="1:7" x14ac:dyDescent="0.3">
      <c r="A16" s="1"/>
    </row>
    <row r="17" spans="1:1" x14ac:dyDescent="0.3">
      <c r="A17" s="25"/>
    </row>
    <row r="18" spans="1:1" x14ac:dyDescent="0.3">
      <c r="A18" s="26"/>
    </row>
    <row r="19" spans="1:1" x14ac:dyDescent="0.3">
      <c r="A19" s="25"/>
    </row>
    <row r="20" spans="1:1" x14ac:dyDescent="0.3">
      <c r="A20" s="25"/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4E59-54AD-4D7D-AE49-F4A030C8091D}">
  <dimension ref="A1:K31"/>
  <sheetViews>
    <sheetView workbookViewId="0">
      <selection activeCell="F25" sqref="F25"/>
    </sheetView>
  </sheetViews>
  <sheetFormatPr defaultRowHeight="14.4" x14ac:dyDescent="0.3"/>
  <cols>
    <col min="1" max="1" width="21.5546875" customWidth="1"/>
    <col min="2" max="2" width="13.44140625" bestFit="1" customWidth="1"/>
    <col min="3" max="3" width="11.88671875" bestFit="1" customWidth="1"/>
    <col min="4" max="9" width="10.109375" bestFit="1" customWidth="1"/>
    <col min="10" max="10" width="11.88671875" bestFit="1" customWidth="1"/>
    <col min="11" max="11" width="13.33203125" bestFit="1" customWidth="1"/>
  </cols>
  <sheetData>
    <row r="1" spans="1:11" ht="18" x14ac:dyDescent="0.35">
      <c r="A1" s="7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20" t="s">
        <v>89</v>
      </c>
    </row>
    <row r="4" spans="1:11" x14ac:dyDescent="0.3">
      <c r="A4" s="12" t="s">
        <v>51</v>
      </c>
      <c r="B4" s="37">
        <v>2015.4</v>
      </c>
      <c r="C4" s="37">
        <v>2016.1</v>
      </c>
      <c r="D4" s="37">
        <v>2016.2</v>
      </c>
      <c r="E4" s="37">
        <v>2016.3</v>
      </c>
      <c r="F4" s="37">
        <v>2016.4</v>
      </c>
      <c r="G4" s="37">
        <v>2017.1</v>
      </c>
      <c r="H4" s="37">
        <v>2017.2</v>
      </c>
      <c r="I4" s="37">
        <v>2017.3</v>
      </c>
      <c r="J4" s="16" t="s">
        <v>90</v>
      </c>
      <c r="K4" s="18" t="s">
        <v>91</v>
      </c>
    </row>
    <row r="5" spans="1:11" x14ac:dyDescent="0.3">
      <c r="A5" s="10" t="s">
        <v>14</v>
      </c>
      <c r="B5" s="9">
        <f>'Model 2 ATL'!C138</f>
        <v>-0.83186853512621983</v>
      </c>
      <c r="C5" s="9">
        <f>'Model 2 ATL'!C139</f>
        <v>-1.3267225042155539</v>
      </c>
      <c r="D5" s="9">
        <f>'Model 2 ATL'!C140</f>
        <v>-1.1060325981993655</v>
      </c>
      <c r="E5" s="9">
        <f>'Model 2 ATL'!C141</f>
        <v>-0.98822095874633664</v>
      </c>
      <c r="F5" s="9">
        <f>'Model 2 ATL'!C142</f>
        <v>-0.55749667654357893</v>
      </c>
      <c r="G5" s="9">
        <f>'Model 2 ATL'!C143</f>
        <v>-0.37686945355183532</v>
      </c>
      <c r="H5" s="9">
        <f>'Model 2 ATL'!C144</f>
        <v>-4.3237817252496313E-2</v>
      </c>
      <c r="I5" s="9">
        <f>'Model 2 ATL'!C145</f>
        <v>-0.18358202908709398</v>
      </c>
      <c r="J5" s="9">
        <f>AVERAGE(B5:I5)</f>
        <v>-0.67675382159031006</v>
      </c>
      <c r="K5" s="10" t="str">
        <f>IF(J5&gt;0,"Undervalued","Overvalued")</f>
        <v>Overvalued</v>
      </c>
    </row>
    <row r="6" spans="1:11" x14ac:dyDescent="0.3">
      <c r="A6" s="10" t="s">
        <v>3</v>
      </c>
      <c r="B6" s="9">
        <f>'Model 2 Bos'!C138</f>
        <v>-0.80811186336407026</v>
      </c>
      <c r="C6" s="9">
        <f>'Model 2 Bos'!C139</f>
        <v>-0.74569013034438747</v>
      </c>
      <c r="D6" s="9">
        <f>'Model 2 Bos'!C140</f>
        <v>-0.55118532117966801</v>
      </c>
      <c r="E6" s="9">
        <f>'Model 2 Bos'!C141</f>
        <v>-0.66202301025871257</v>
      </c>
      <c r="F6" s="9">
        <f>'Model 2 Bos'!C142</f>
        <v>-0.63130953840706816</v>
      </c>
      <c r="G6" s="9">
        <f>'Model 2 Bos'!C143</f>
        <v>-0.41442198322573631</v>
      </c>
      <c r="H6" s="9">
        <f>'Model 2 Bos'!C144</f>
        <v>-7.5487639109363069E-2</v>
      </c>
      <c r="I6" s="9">
        <f>'Model 2 Bos'!C145</f>
        <v>-0.20011941639088437</v>
      </c>
      <c r="J6" s="9">
        <f>AVERAGE(B6:I6)</f>
        <v>-0.51104361278498622</v>
      </c>
      <c r="K6" s="10" t="str">
        <f>IF(J6&gt;0,"Undervalued","Overvalued")</f>
        <v>Overvalued</v>
      </c>
    </row>
    <row r="7" spans="1:11" x14ac:dyDescent="0.3">
      <c r="A7" s="10" t="s">
        <v>2</v>
      </c>
      <c r="B7" s="9">
        <f>'Model 2 Chi'!C138</f>
        <v>-0.60899412593650393</v>
      </c>
      <c r="C7" s="9">
        <f>'Model 2 Chi'!C139</f>
        <v>-0.65063342379664491</v>
      </c>
      <c r="D7" s="9">
        <f>'Model 2 Chi'!C140</f>
        <v>-0.30985111321149006</v>
      </c>
      <c r="E7" s="9">
        <f>'Model 2 Chi'!C141</f>
        <v>-0.18545533836386241</v>
      </c>
      <c r="F7" s="9">
        <f>'Model 2 Chi'!C142</f>
        <v>-0.22288024623204628</v>
      </c>
      <c r="G7" s="9">
        <f>'Model 2 Chi'!C143</f>
        <v>-5.1005610745574081E-2</v>
      </c>
      <c r="H7" s="9">
        <f>'Model 2 Chi'!C144</f>
        <v>2.7072890397126237E-2</v>
      </c>
      <c r="I7" s="9">
        <f>'Model 2 Chi'!C145</f>
        <v>1.6366377144452215E-3</v>
      </c>
      <c r="J7" s="9">
        <f>AVERAGE(B7:I7)</f>
        <v>-0.25001379127181877</v>
      </c>
      <c r="K7" s="10" t="str">
        <f>IF(J7&gt;0,"Undervalued","Overvalued")</f>
        <v>Overvalued</v>
      </c>
    </row>
    <row r="8" spans="1:11" x14ac:dyDescent="0.3">
      <c r="A8" s="10" t="s">
        <v>1</v>
      </c>
      <c r="B8" s="9">
        <f>'Model 2 DAL'!C138</f>
        <v>-0.34779919368219137</v>
      </c>
      <c r="C8" s="9">
        <f>'Model 2 DAL'!C139</f>
        <v>-0.29434610673961714</v>
      </c>
      <c r="D8" s="9">
        <f>'Model 2 DAL'!C140</f>
        <v>-4.2467790198943867E-2</v>
      </c>
      <c r="E8" s="9">
        <f>'Model 2 DAL'!C141</f>
        <v>0.11680843606900115</v>
      </c>
      <c r="F8" s="9">
        <f>'Model 2 DAL'!C142</f>
        <v>0.18230941062564732</v>
      </c>
      <c r="G8" s="9">
        <f>'Model 2 DAL'!C143</f>
        <v>-9.7568834419747397E-2</v>
      </c>
      <c r="H8" s="9">
        <f>'Model 2 DAL'!C144</f>
        <v>-0.31530809628590273</v>
      </c>
      <c r="I8" s="9">
        <f>'Model 2 DAL'!C145</f>
        <v>-0.5953469353973091</v>
      </c>
      <c r="J8" s="9">
        <f>AVERAGE(B8:I8)</f>
        <v>-0.17421488875363289</v>
      </c>
      <c r="K8" s="10" t="str">
        <f>IF(J8&gt;0,"Undervalued","Overvalued")</f>
        <v>Overvalued</v>
      </c>
    </row>
    <row r="9" spans="1:11" x14ac:dyDescent="0.3">
      <c r="A9" s="10" t="s">
        <v>6</v>
      </c>
      <c r="B9" s="9">
        <f>'Model 2 NY'!C138</f>
        <v>-0.61030356208035386</v>
      </c>
      <c r="C9" s="9">
        <f>'Model 2 NY'!C139</f>
        <v>-0.66240919630459905</v>
      </c>
      <c r="D9" s="9">
        <f>'Model 2 NY'!C140</f>
        <v>-0.34237173935024945</v>
      </c>
      <c r="E9" s="9">
        <f>'Model 2 NY'!C141</f>
        <v>-0.43638830054581801</v>
      </c>
      <c r="F9" s="9">
        <f>'Model 2 NY'!C142</f>
        <v>-0.44273863996251706</v>
      </c>
      <c r="G9" s="9">
        <f>'Model 2 NY'!C143</f>
        <v>-0.37479248009994803</v>
      </c>
      <c r="H9" s="9">
        <f>'Model 2 NY'!C144</f>
        <v>-0.21909914084619553</v>
      </c>
      <c r="I9" s="9">
        <f>'Model 2 NY'!C145</f>
        <v>-0.18034259827589905</v>
      </c>
      <c r="J9" s="9">
        <f>AVERAGE(B9:I9)</f>
        <v>-0.4085557071831975</v>
      </c>
      <c r="K9" s="10" t="str">
        <f>IF(J9&gt;0,"Undervalued","Overvalued")</f>
        <v>Overvalued</v>
      </c>
    </row>
    <row r="10" spans="1:11" x14ac:dyDescent="0.3">
      <c r="A10" s="10" t="s">
        <v>15</v>
      </c>
      <c r="B10" s="9">
        <f>'Model 2 OC'!C138</f>
        <v>-4.0689609832904594E-3</v>
      </c>
      <c r="C10" s="9">
        <f>'Model 2 OC'!C139</f>
        <v>0.13782392260040233</v>
      </c>
      <c r="D10" s="9">
        <f>'Model 2 OC'!C140</f>
        <v>0.46593607333897147</v>
      </c>
      <c r="E10" s="9">
        <f>'Model 2 OC'!C141</f>
        <v>0.60681494198239694</v>
      </c>
      <c r="F10" s="9">
        <f>'Model 2 OC'!C142</f>
        <v>0.64788518085188773</v>
      </c>
      <c r="G10" s="9">
        <f>'Model 2 OC'!C143</f>
        <v>0.29345739020109285</v>
      </c>
      <c r="H10" s="9">
        <f>'Model 2 OC'!C144</f>
        <v>0.22354398939888753</v>
      </c>
      <c r="I10" s="9">
        <f>'Model 2 OC'!C145</f>
        <v>0.15981101451955126</v>
      </c>
      <c r="J10" s="9">
        <f>AVERAGE(B10:I10)</f>
        <v>0.31640044398873746</v>
      </c>
      <c r="K10" s="10" t="str">
        <f>IF(J10&gt;0,"Undervalued","Overvalued")</f>
        <v>Undervalued</v>
      </c>
    </row>
    <row r="11" spans="1:11" x14ac:dyDescent="0.3">
      <c r="A11" s="10" t="s">
        <v>7</v>
      </c>
      <c r="B11" s="9">
        <f>'Model 2 SD'!C138</f>
        <v>-1.6923132346525982E-2</v>
      </c>
      <c r="C11" s="9">
        <f>'Model 2 SD'!C139</f>
        <v>8.4355110169277658E-2</v>
      </c>
      <c r="D11" s="9">
        <f>'Model 2 SD'!C140</f>
        <v>7.7032979785313316E-2</v>
      </c>
      <c r="E11" s="9">
        <f>'Model 2 SD'!C141</f>
        <v>-0.10249702153914697</v>
      </c>
      <c r="F11" s="9">
        <f>'Model 2 SD'!C142</f>
        <v>-0.13265370957990008</v>
      </c>
      <c r="G11" s="9">
        <f>'Model 2 SD'!C143</f>
        <v>-3.865146731171798E-2</v>
      </c>
      <c r="H11" s="9">
        <f>'Model 2 SD'!C144</f>
        <v>0.12300635561179263</v>
      </c>
      <c r="I11" s="9">
        <f>'Model 2 SD'!C145</f>
        <v>0.2375147714250998</v>
      </c>
      <c r="J11" s="9">
        <f>AVERAGE(B11:I11)</f>
        <v>2.8897985776774049E-2</v>
      </c>
      <c r="K11" s="10" t="str">
        <f>IF(J11&gt;0,"Undervalued","Overvalued")</f>
        <v>Undervalued</v>
      </c>
    </row>
    <row r="12" spans="1:11" x14ac:dyDescent="0.3">
      <c r="A12" s="10" t="s">
        <v>8</v>
      </c>
      <c r="B12" s="9">
        <f>'Model 2 San Jose'!C138</f>
        <v>-0.44873293185762275</v>
      </c>
      <c r="C12" s="9">
        <f>'Model 2 San Jose'!C139</f>
        <v>-0.42272812740060495</v>
      </c>
      <c r="D12" s="9">
        <f>'Model 2 San Jose'!C140</f>
        <v>-0.22749629618292921</v>
      </c>
      <c r="E12" s="9">
        <f>'Model 2 San Jose'!C141</f>
        <v>-0.29670042327245305</v>
      </c>
      <c r="F12" s="9">
        <f>'Model 2 San Jose'!C142</f>
        <v>-0.23437734698635992</v>
      </c>
      <c r="G12" s="9">
        <f>'Model 2 San Jose'!C143</f>
        <v>-0.21567035138740565</v>
      </c>
      <c r="H12" s="9">
        <f>'Model 2 San Jose'!C144</f>
        <v>-0.23335291735948349</v>
      </c>
      <c r="I12" s="9">
        <f>'Model 2 San Jose'!C145</f>
        <v>-0.34336177484068209</v>
      </c>
      <c r="J12" s="9">
        <f>AVERAGE(B12:I12)</f>
        <v>-0.30280252116094264</v>
      </c>
      <c r="K12" s="10" t="str">
        <f>IF(J12&gt;0,"Undervalued","Overvalued")</f>
        <v>Overvalued</v>
      </c>
    </row>
    <row r="15" spans="1:11" ht="15.6" x14ac:dyDescent="0.3">
      <c r="A15" s="27" t="s">
        <v>92</v>
      </c>
    </row>
    <row r="17" spans="1:3" x14ac:dyDescent="0.3">
      <c r="A17" s="14" t="s">
        <v>93</v>
      </c>
      <c r="B17" s="14" t="s">
        <v>51</v>
      </c>
      <c r="C17" s="14" t="s">
        <v>90</v>
      </c>
    </row>
    <row r="18" spans="1:3" x14ac:dyDescent="0.3">
      <c r="A18" s="34">
        <v>1</v>
      </c>
      <c r="B18" s="28" t="s">
        <v>15</v>
      </c>
      <c r="C18" s="31">
        <f>J10</f>
        <v>0.31640044398873746</v>
      </c>
    </row>
    <row r="19" spans="1:3" x14ac:dyDescent="0.3">
      <c r="A19" s="34">
        <v>2</v>
      </c>
      <c r="B19" s="28" t="s">
        <v>7</v>
      </c>
      <c r="C19" s="31">
        <f>J11</f>
        <v>2.8897985776774049E-2</v>
      </c>
    </row>
    <row r="20" spans="1:3" x14ac:dyDescent="0.3">
      <c r="A20" s="35">
        <v>3</v>
      </c>
      <c r="B20" s="29" t="s">
        <v>2</v>
      </c>
      <c r="C20" s="32">
        <f>J7</f>
        <v>-0.25001379127181877</v>
      </c>
    </row>
    <row r="21" spans="1:3" x14ac:dyDescent="0.3">
      <c r="A21" s="35">
        <v>4</v>
      </c>
      <c r="B21" s="29" t="s">
        <v>95</v>
      </c>
      <c r="C21" s="32">
        <f>J12</f>
        <v>-0.30280252116094264</v>
      </c>
    </row>
    <row r="22" spans="1:3" x14ac:dyDescent="0.3">
      <c r="A22" s="36">
        <v>5</v>
      </c>
      <c r="B22" s="30" t="s">
        <v>6</v>
      </c>
      <c r="C22" s="33">
        <f>J9</f>
        <v>-0.4085557071831975</v>
      </c>
    </row>
    <row r="23" spans="1:3" x14ac:dyDescent="0.3">
      <c r="A23" s="36">
        <v>6</v>
      </c>
      <c r="B23" s="30" t="s">
        <v>1</v>
      </c>
      <c r="C23" s="33">
        <f>J8</f>
        <v>-0.17421488875363289</v>
      </c>
    </row>
    <row r="24" spans="1:3" x14ac:dyDescent="0.3">
      <c r="A24" s="36">
        <v>7</v>
      </c>
      <c r="B24" s="30" t="s">
        <v>3</v>
      </c>
      <c r="C24" s="33">
        <f>J6</f>
        <v>-0.51104361278498622</v>
      </c>
    </row>
    <row r="25" spans="1:3" x14ac:dyDescent="0.3">
      <c r="A25" s="36">
        <v>8</v>
      </c>
      <c r="B25" s="30" t="s">
        <v>14</v>
      </c>
      <c r="C25" s="33">
        <f>J5</f>
        <v>-0.67675382159031006</v>
      </c>
    </row>
    <row r="27" spans="1:3" x14ac:dyDescent="0.3">
      <c r="A27" s="1"/>
    </row>
    <row r="28" spans="1:3" x14ac:dyDescent="0.3">
      <c r="A28" s="25"/>
    </row>
    <row r="29" spans="1:3" x14ac:dyDescent="0.3">
      <c r="A29" s="25"/>
    </row>
    <row r="30" spans="1:3" x14ac:dyDescent="0.3">
      <c r="A30" s="25"/>
    </row>
    <row r="31" spans="1:3" x14ac:dyDescent="0.3">
      <c r="A31" s="25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composit</vt:lpstr>
      <vt:lpstr>Model 1 ATL</vt:lpstr>
      <vt:lpstr>Model 2 ATL</vt:lpstr>
      <vt:lpstr>Atlanta</vt:lpstr>
      <vt:lpstr>Model1 Bos</vt:lpstr>
      <vt:lpstr>Model 2 Bos</vt:lpstr>
      <vt:lpstr>Boston</vt:lpstr>
      <vt:lpstr>Model 1 Chi</vt:lpstr>
      <vt:lpstr>Model 2 Chi</vt:lpstr>
      <vt:lpstr>Chicago</vt:lpstr>
      <vt:lpstr>Model1 Dallas</vt:lpstr>
      <vt:lpstr>Model 2 DAL</vt:lpstr>
      <vt:lpstr>Dallas</vt:lpstr>
      <vt:lpstr>Model1 NY</vt:lpstr>
      <vt:lpstr>Model 2 NY</vt:lpstr>
      <vt:lpstr>NewYork</vt:lpstr>
      <vt:lpstr>Model1 OC</vt:lpstr>
      <vt:lpstr>Model 2 OC</vt:lpstr>
      <vt:lpstr>OrangeCounty</vt:lpstr>
      <vt:lpstr>Model1 SD</vt:lpstr>
      <vt:lpstr>Model 2 SD</vt:lpstr>
      <vt:lpstr>SanDiego</vt:lpstr>
      <vt:lpstr>Model1 San Jose</vt:lpstr>
      <vt:lpstr>Model 2 San Jose</vt:lpstr>
      <vt:lpstr>SanJose</vt:lpstr>
      <vt:lpstr>Model 1 Summary</vt:lpstr>
      <vt:lpstr>Model 2 Summary</vt:lpstr>
      <vt:lpstr>Rt Coefficient Comparison</vt:lpstr>
      <vt:lpstr>Long Run T10 Coefficient</vt:lpstr>
      <vt:lpstr>T10 vs Avg Growth Comparison</vt:lpstr>
      <vt:lpstr>Residual Analysis (Last 2 Yrs)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wksadmin</dc:creator>
  <cp:lastModifiedBy>Daniel Tapia</cp:lastModifiedBy>
  <dcterms:created xsi:type="dcterms:W3CDTF">2017-12-13T20:40:47Z</dcterms:created>
  <dcterms:modified xsi:type="dcterms:W3CDTF">2026-03-18T00:45:38Z</dcterms:modified>
</cp:coreProperties>
</file>